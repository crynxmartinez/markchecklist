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ing 2026" sheetId="1" r:id="rId5"/>
    <sheet state="visible" name="Closed 2026" sheetId="2" r:id="rId6"/>
    <sheet state="visible" name="Cancelled 2026" sheetId="3" r:id="rId7"/>
    <sheet state="visible" name="Pending 2026 connected to Form" sheetId="4" r:id="rId8"/>
    <sheet state="visible" name="Listing Board 2026" sheetId="5" r:id="rId9"/>
    <sheet state="visible" name="Closed  Canc  Exp 2026" sheetId="6" r:id="rId10"/>
    <sheet state="visible" name="Referrals" sheetId="7" r:id="rId11"/>
    <sheet state="visible" name="Agent Reimbursements" sheetId="8" r:id="rId12"/>
    <sheet state="visible" name="Agent Contracts" sheetId="9" r:id="rId13"/>
    <sheet state="visible" name="Agent Pay Reference" sheetId="10" r:id="rId14"/>
  </sheets>
  <definedNames>
    <definedName hidden="1" localSheetId="8" name="_xlnm._FilterDatabase">'Agent Contracts'!$A$77:$AG$106</definedName>
    <definedName hidden="1" localSheetId="0" name="Z_96B63109_D3DD_47A7_9601_9CB805816F85_.wvu.FilterData">'Pending 2026'!$A$2:$AX$2</definedName>
    <definedName hidden="1" localSheetId="1" name="Z_96B63109_D3DD_47A7_9601_9CB805816F85_.wvu.FilterData">'Closed 2026'!$A$1:$AZ$2</definedName>
    <definedName hidden="1" localSheetId="2" name="Z_96B63109_D3DD_47A7_9601_9CB805816F85_.wvu.FilterData">'Cancelled 2026'!$D$3:$AZ$148</definedName>
  </definedNames>
  <calcPr/>
  <customWorkbookViews>
    <customWorkbookView activeSheetId="0" maximized="1" windowHeight="0" windowWidth="0" guid="{96B63109-D3DD-47A7-9601-9CB805816F85}"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tc={009ca082-cc4b-4d0f-85a7-9c3aa4d8640b}</author>
    <author>tc={00cf966d-d81d-48ba-8bfe-d5d97687a77b}</author>
    <author>tc={00de8bae-67f0-4fa1-a302-442b5c908ac4}</author>
    <author>tc={00fec1d8-273f-4e96-b4d3-24d059e03436}</author>
    <author>tc={019d8845-41ac-4532-8109-c4c1dde7c0e4}</author>
    <author>tc={01c345c2-6db8-47a1-aead-3e44dfdd5429}</author>
    <author>tc={01e236b3-793a-4f6f-9d43-ff8f9b06ed9d}</author>
    <author>tc={029da55e-aade-40df-ab7f-15ec07394f24}</author>
    <author>tc={02af233d-a410-4517-90a4-03321a3a0641}</author>
    <author>tc={03065c2f-4aec-45ef-a903-27e9142ee29c}</author>
    <author>tc={0336dbf6-ed50-46fc-b839-34ac758946f7}</author>
    <author>tc={033a0ace-e63f-4a46-8e1a-633eea965339}</author>
    <author>tc={03c1c07a-c399-4282-917a-5f398e360b26}</author>
    <author>tc={03e04270-08e0-46db-9a7b-11eaff26e442}</author>
    <author>tc={03f6ff10-f5fa-413d-b075-4f76b79b488e}</author>
    <author>tc={047c374f-6b20-4891-a3b5-10ed407f2627}</author>
    <author>tc={048da284-bb0c-4d80-933f-100ac0d09e50}</author>
    <author>tc={04917be0-bf7a-45a8-a024-7f5a01f48747}</author>
    <author>tc={04c4f60b-d5d1-4c4e-8e5d-b6280dc3af33}</author>
    <author>tc={04d472bb-8487-40ae-8647-3d02cf0f4334}</author>
    <author>tc={05455023-632e-4a88-815c-b8152c34a78e}</author>
    <author>tc={05646f1a-69ee-42e4-b29c-b0cf01fd4cbb}</author>
    <author>tc={059bb3c5-657e-461b-bd03-613c7544a1a3}</author>
    <author>tc={061bcd2f-2772-471c-822c-6132d98ee3f5}</author>
    <author>tc={061f11fa-7b12-4ec6-916f-41cc9e72d1c8}</author>
    <author>tc={06b2b3bc-7081-4f0b-a863-da89678827b0}</author>
    <author>tc={07ae263e-5cc5-4ff1-97d3-5d3dc9401c57}</author>
    <author>tc={07e4b77b-baa7-446c-a365-ea028af5f485}</author>
    <author>tc={07fac7ca-6ef1-404b-a83f-729ef2aeeb61}</author>
    <author>tc={086a6cc3-6388-4f89-8b27-2874d860b3fb}</author>
    <author>tc={08c0c49d-bd66-4430-aeb6-81f6febcedb9}</author>
    <author>tc={08eb42ab-ec0f-4447-9136-c12577ace4c9}</author>
    <author>tc={0920fc8e-582d-422b-8670-6f5733e195ca}</author>
    <author>tc={0943b18a-d14f-4aa2-846d-c4a668d038a1}</author>
    <author>tc={0945a558-fe96-49a3-917c-a913721f1f69}</author>
    <author>tc={09ab6840-eb5a-4c2d-957d-08db6dc5a9e1}</author>
    <author>tc={09ac6329-e5f6-4502-9607-91be44d88374}</author>
    <author>tc={09bb713f-c5f7-4682-b8d1-7a3bcfc839b2}</author>
    <author>tc={0a24af61-2764-48cf-bc85-0bf77489b853}</author>
    <author>tc={0a62db3d-1fa4-48ac-993e-32660a1ec519}</author>
    <author>tc={0a7ad40b-a8a2-484f-b707-b0332fee2cdf}</author>
    <author>tc={0aa71d8e-f53c-4c42-bf24-3a27f64349c3}</author>
    <author>tc={0bc767f5-3c41-4da0-bc2d-7ed1710e1d7d}</author>
    <author>tc={0bd5cce0-2e5d-4974-a729-d43c4bddeb8f}</author>
    <author>tc={0c2becad-feab-467f-9dbd-d56908349727}</author>
    <author>tc={0c739895-5113-40c5-accc-d41dfa407905}</author>
    <author>tc={0cefedec-e0d9-4517-9726-c7f1115f2853}</author>
    <author>tc={0cf39054-b208-419b-8c17-c8f42d86b299}</author>
    <author>tc={0d58cccc-d79d-41a8-8be9-08a438de1977}</author>
    <author>tc={0d769449-f7f0-4655-9fae-9855cf7dc02b}</author>
    <author>tc={0d82fbde-75d1-42eb-b02c-15f6735f7223}</author>
    <author>tc={0d856646-29b6-493b-9f6f-9f8283764322}</author>
    <author>tc={0ea398c3-d574-4713-92d2-739f261f3776}</author>
    <author>tc={0ed22a62-5ee3-4e7e-99c2-ae2a17f8a40c}</author>
    <author>tc={0ed44129-f956-498a-937f-79b95c6ba7c4}</author>
    <author>tc={0ee84f7e-530f-494d-ad4d-4ddc0a3afb8b}</author>
    <author>tc={1016b023-bcf5-4ed2-9c6b-394c3316b575}</author>
    <author>tc={1018f52d-0969-428c-a3a7-7b90d6b34602}</author>
    <author>tc={1066eae4-077f-43ec-97ea-c7620717d017}</author>
    <author>tc={107444ed-3c63-4e2a-a6a9-a5e6f2368184}</author>
    <author>tc={1094d3dc-a9e4-4fb5-a96d-f379ab1277b9}</author>
    <author>tc={1123bab0-c233-4b85-aebe-1bf8c58ed7a2}</author>
    <author>tc={116e80e4-a8b3-4b89-8cf0-a577b8a300a0}</author>
    <author>tc={121b2c68-0c17-4e6f-ad33-50d7f6169e37}</author>
    <author>tc={1248849b-0a15-4162-9c14-e83abe605324}</author>
    <author>tc={12a01f3f-3fad-46ba-85bf-e87a623f6d28}</author>
    <author>tc={12d83ca4-1624-4232-8be2-d0ca818d9add}</author>
    <author>tc={131217c2-dca2-4236-bf91-6fec551c6b00}</author>
    <author>tc={1350081d-31c7-4b78-a801-67f1e82a55b1}</author>
    <author>tc={1388f55e-9972-4e2b-a79d-51ca68728ae4}</author>
    <author>tc={13ba2b28-bfda-42fd-87c3-d8993f1599cf}</author>
    <author>tc={13cdfa9a-1a8e-456b-893b-ea976ac2d4d5}</author>
    <author>tc={13d7b5f5-a452-4b4f-9386-18a4725b362e}</author>
    <author>tc={143d1a70-fc91-4ca2-b882-5bf26aa9a974}</author>
    <author>tc={144213bd-9e9e-4a66-ab2b-737bc2d5e53c}</author>
    <author>tc={14885b39-4dfc-4f90-9ee5-544d6250f815}</author>
    <author>tc={15a9ec00-4833-4b3f-8181-ac5ec6957e5a}</author>
    <author>tc={15dfdbf5-90c8-41c3-a16c-a676332088c1}</author>
    <author>tc={15f5ea6e-008c-4c05-ae4b-e789b64ef60e}</author>
    <author>tc={16beb964-aae3-4cf3-a961-ddb175e005e1}</author>
    <author>tc={1708a9c6-150c-42ae-96ca-cb32522def44}</author>
    <author>tc={172df199-2280-41c8-a143-144ba97aae9e}</author>
    <author>tc={1795088c-8781-424d-9fff-1c9bc5d2785e}</author>
    <author>tc={17fb1f98-f55a-4438-b7b0-1120ac76f304}</author>
    <author>tc={180c20a7-b318-475d-bb6b-7aa1df048689}</author>
    <author>tc={18912d69-7c53-452c-8565-9121c6ba8910}</author>
    <author>tc={189d8c85-5fa5-414e-aae1-de790ba0aae9}</author>
    <author>tc={18f3bb6b-2792-483c-b90a-8dd7d7663066}</author>
    <author>tc={19c62d5d-616b-4538-a209-e54b90d18e07}</author>
    <author>tc={19f2512f-f1e6-4caf-b39d-6f3a50b52231}</author>
    <author>tc={1a0d46e9-e600-46ca-96c1-afec618169b8}</author>
    <author>tc={1adb4316-6f3e-47b3-8772-dbe64916009a}</author>
    <author>tc={1ae76984-c3bf-4770-896c-5eeda5b4448b}</author>
    <author>tc={1b4fa215-a0c3-4b6d-9f0b-ffe40ac479c7}</author>
    <author>tc={1bec9627-c2d9-44b8-9f3a-959b18f5e7a2}</author>
    <author>tc={1c2f146a-aafa-4ec3-bee3-5bff6cadda3d}</author>
    <author>tc={1c4f305f-3ddc-4614-b3f6-b971145f827f}</author>
    <author>tc={1c5fc9fb-f0d6-47fb-9898-c2ef27d3de41}</author>
    <author>tc={1ca249b9-99f1-46b1-a111-577fedc84cdb}</author>
    <author>tc={1ca3448d-0a90-4222-9e0d-20efa1b3dc92}</author>
    <author>tc={1cc0754f-c0d0-4dc2-857a-ddb64d9f39ed}</author>
    <author>tc={1cee8a69-10b2-4975-b146-c15b35907d4b}</author>
    <author>tc={1d19ba11-5555-4775-adc1-dbe818343c77}</author>
    <author>tc={1d2c174c-8e48-48ce-a83b-2f0ea37887b0}</author>
    <author>tc={1d3f418d-b3d2-4e40-997f-40ff1691ac51}</author>
    <author>tc={1d9d10eb-8a65-4830-9b50-40e0f5ae1ba1}</author>
    <author>tc={1dbe8a68-44a1-4082-9cc7-aac01ff6624b}</author>
    <author>tc={1dddd2f4-d8a4-40b3-badf-a6b7276c34d7}</author>
    <author>tc={1de62b0a-2cfd-4875-a756-fdadbeef09aa}</author>
    <author>tc={1e9ffde8-1672-49bf-8856-2a94f291beab}</author>
    <author>tc={1eae4e18-7b31-409e-b34b-a0505e94196e}</author>
    <author>tc={1f42ae67-1308-4110-930e-9693af4088f3}</author>
    <author>tc={1f763415-260d-42b7-b133-ab284dd6f111}</author>
    <author>tc={1fca9bdc-60ee-4add-b91d-3ff935219589}</author>
    <author>tc={1fdc855d-bd20-4b3b-9ace-5ba49fd726d5}</author>
    <author>tc={20299f22-0139-471c-a42b-c5ff26c8bdb7}</author>
    <author>tc={202cfd23-878f-40af-bb09-73d1039f0332}</author>
    <author>tc={20886cee-9276-48d7-a4fb-c1284aebeb64}</author>
    <author>tc={20ffadd1-4220-4795-b1b6-c980c89a8e88}</author>
    <author>tc={210e7117-4cfa-4cc0-ac74-5ff1556aa9b3}</author>
    <author>tc={2153d942-f64d-420f-9286-562b5d4dac82}</author>
    <author>tc={21648889-77dc-4541-8f50-837332c5a54e}</author>
    <author>tc={2196055e-d631-4329-9fc2-83da9f618e68}</author>
    <author>tc={21c83097-0272-439b-8e42-831ac7d7588e}</author>
    <author>tc={21fa72fc-51d1-4f6e-bde8-899a0c53b52c}</author>
    <author>tc={220335c5-30b7-4e27-9207-9ef7f4b81ef9}</author>
    <author>tc={220ddfa8-5d3a-4bfa-a1ed-24fbb9b928c7}</author>
    <author>tc={2291253f-2182-403b-8e36-ac476c59717f}</author>
    <author>tc={22942efb-80a6-4b17-ac4e-7263746e46cd}</author>
    <author>tc={22bfb8b1-660b-4833-9394-607e3455b868}</author>
    <author>tc={233f242a-d2b1-4d59-ab73-351f6c9ab59b}</author>
    <author>tc={23590b7b-a385-45a0-9dc6-e2b449635621}</author>
    <author>tc={23abcfa1-7c45-447f-909d-c13a2830ea6b}</author>
    <author>tc={23abf761-cb53-49c3-8181-a69ef3d8fae6}</author>
    <author>tc={23b56db6-31f6-480f-a82c-4284800202e7}</author>
    <author>tc={23ff1d18-eb5e-46fd-9bc4-3358bf29421e}</author>
    <author>tc={247a0403-fb84-461b-a9ad-e24e3c323f6c}</author>
    <author>tc={24c32d8d-447a-47d7-8f45-9fc061b198fc}</author>
    <author>tc={251d1e19-a578-4d84-a498-1c7efbd18c10}</author>
    <author>tc={252bb347-704b-4c39-b604-2d5d45d7c3aa}</author>
    <author>tc={25a72ee1-03e2-498a-93b1-71384deae152}</author>
    <author>tc={26317a9c-3c44-4feb-ac47-84f453f14e65}</author>
    <author>tc={26474206-b0bc-4e48-ac9f-09d6e59af22a}</author>
    <author>tc={265cbd35-c5ef-4820-825d-e845e44863f2}</author>
    <author>tc={2679fdfa-5a84-4ba4-a11d-d06ad5711f63}</author>
    <author>tc={26bf6efd-66c3-44f7-9a0d-555919675540}</author>
    <author>tc={26c45990-dc91-44f8-b8bc-b944ac5f0e40}</author>
    <author>tc={26dbef08-bdf1-4108-8540-fbcf5bd2d7dd}</author>
    <author>tc={27cd039b-d647-4797-b82b-5a78c6144d85}</author>
    <author>tc={27ff6fc7-a33d-4b46-9ecf-e435ebd6cc7e}</author>
    <author>tc={281098b5-cd69-48ae-b123-1029dc0bb073}</author>
    <author>tc={284e7a4e-a5b3-4f16-9409-0e6cbcc5a384}</author>
    <author>tc={28763276-c52a-43ed-a00e-7719a2f22a2f}</author>
    <author>tc={296d46cf-3a83-42c8-96f0-59518c2388ee}</author>
    <author>tc={299897c8-78c6-4f05-9ef8-454efcc2ed7e}</author>
    <author>tc={29a2b3fd-b819-48d3-9b10-8087f66cbe5a}</author>
    <author>tc={29d4361d-5d64-4471-b59c-48220f327771}</author>
    <author>tc={29ff7a72-eb50-4b8f-98f2-63c05a227b13}</author>
    <author>tc={2a36c715-1b14-4c90-bdef-1a1d8be7516d}</author>
    <author>tc={2a6382bb-86da-4fe0-8440-5c91bbede05f}</author>
    <author>tc={2a806478-5609-494a-9c55-36aa8459eeb5}</author>
    <author>tc={2ac18436-e0f8-468e-9d51-d818e70184d2}</author>
    <author>tc={2aed6ef0-e993-476e-81c4-6c9779a166ac}</author>
    <author>tc={2b21b688-1b3f-417a-b87a-255df457d055}</author>
    <author>tc={2b383d78-eba0-4140-99e4-5b4610923d51}</author>
    <author>tc={2b66cb43-d025-43f4-b471-7327b89f3125}</author>
    <author>tc={2b8c7858-1c19-4c0e-a0cb-a5a1f6756521}</author>
    <author>tc={2bc96a5b-b5af-4913-ad1c-67f3596e7f6f}</author>
    <author>tc={2bd59933-b37d-4c81-9dce-9c4bd0bf7cf2}</author>
    <author>tc={2be49cbf-8577-4cff-9973-c9ace56947ef}</author>
    <author>tc={2be4c2c1-259f-4ba0-8cf4-834799d45a1a}</author>
    <author>tc={2c6bbd0d-f919-4a41-9154-140ed68513e5}</author>
    <author>tc={2c8fa152-b86f-4d8d-a4a1-ce94664c7274}</author>
    <author>tc={2c932b67-cc08-4d27-b9d1-d003a5fc5d41}</author>
    <author>tc={2d20252a-bee3-47d5-87a6-311ef127a9f8}</author>
    <author>tc={2d252144-4af8-4a25-88fd-2868d4b04a64}</author>
    <author>tc={2dab4bcc-135f-4300-b24b-659e204cd4f7}</author>
    <author>tc={2db6e327-673f-4f00-98d4-597359b07cc1}</author>
    <author>tc={2dcd0678-6d7b-4b5c-8ac0-15343511636d}</author>
    <author>tc={2deff835-31e9-4378-8cd7-e04d2830b725}</author>
    <author>tc={2e2c9e46-579c-4285-a911-ce9bd9374a2e}</author>
    <author>tc={2e3d55ea-e115-45da-9b01-1f92238547ae}</author>
    <author>tc={2e44f74b-be54-470a-9db1-2d50ed2a39c1}</author>
    <author>tc={2e50b025-c690-4296-8696-8cc1425fe23e}</author>
    <author>tc={2e7ed732-bf5a-4c41-b875-b467df30f052}</author>
    <author>tc={2eb3a6b0-fbd9-4ffb-90d5-65390eb8a4a9}</author>
    <author>tc={2ef27975-ac3a-466b-8d9c-9e9c922e4fdc}</author>
    <author>tc={2f22d33d-22bc-4b87-8c34-87ebf334d2f4}</author>
    <author>tc={2f6ead8f-a885-486a-b358-1333dd889041}</author>
    <author>tc={30707373-0c43-44ef-a13e-381fb4d3bc6a}</author>
    <author>tc={30b7f26e-6a5e-4d41-86ce-26752777a61f}</author>
    <author>tc={30f2acdf-d3f4-433a-bf5d-9ba280f3c7c4}</author>
    <author>tc={3104fa43-8d5e-428b-9484-93ef945cd688}</author>
    <author>tc={3157c2da-2376-4f61-84ba-4ac1d2dda3b4}</author>
    <author>tc={3163d7c4-6e2a-4281-aca4-4a3b3256c35b}</author>
    <author>tc={31db99bb-9f63-40c7-80ee-bf5bd691649c}</author>
    <author>tc={32779486-01db-452d-9042-6cd66f7cd2ff}</author>
    <author>tc={328e32a4-63c8-49c4-bdba-1326ea3b642b}</author>
    <author>tc={32a31084-83c6-41a0-940c-d64c1ce3a291}</author>
    <author>tc={33409692-502d-4dce-8245-53e48741c992}</author>
    <author>tc={338f0139-1a35-4612-aca2-843e40c445c3}</author>
    <author>tc={33c313a4-8e78-4969-8a45-e2c57e31c773}</author>
    <author>tc={33ddca00-c78b-45a3-98e7-41e97434ae0a}</author>
    <author>tc={3416d6f3-5e01-4209-9de5-4d882b6c9e07}</author>
    <author>tc={35166cba-afc8-4ffb-a791-1e2204f57411}</author>
    <author>tc={352e962d-9b83-4e84-8632-a81f475b08c1}</author>
    <author>tc={357af2ef-330e-4dad-afd2-819026d1d855}</author>
    <author>tc={364a8ede-df38-443b-987d-0fa0ad8784e2}</author>
    <author>tc={369ad0c5-456b-4dc3-8caa-f231091a03de}</author>
    <author>tc={36a2a75e-fd07-416c-83b6-47d0eade59c6}</author>
    <author>tc={36fb07d7-5751-4a28-a9eb-729a6c62543f}</author>
    <author>tc={375e64c4-f9a9-4c44-ae62-fd90a31fef96}</author>
    <author>tc={38883a00-6db4-4559-93af-1992b05892af}</author>
    <author>tc={38c4b0cc-1e17-410d-a2c9-6d3ef86f2b87}</author>
    <author>tc={38c91fbc-6f61-4efb-b523-30352607f178}</author>
    <author>tc={38d2b4da-f1d4-4464-99d6-ce50548a11b2}</author>
    <author>tc={38dbab87-414d-44ef-80f4-306c5fa101aa}</author>
    <author>tc={38f6993f-625f-4af5-a70a-4707ee85db69}</author>
    <author>tc={394e9f28-6c40-4d13-a119-3c20b39ae5b4}</author>
    <author>tc={3992469f-8fd6-4078-b2f6-636eae4d0e96}</author>
    <author>tc={3999991b-a11f-4da6-91ce-e7c02c94aa6b}</author>
    <author>tc={39ca661d-dc7b-4266-8a78-34597e376e0e}</author>
    <author>tc={39d44032-2441-4089-b9d1-319069eaf843}</author>
    <author>tc={3a105ffb-f7f4-4fa0-8403-6214d71f78b4}</author>
    <author>tc={3a2cedbb-bc0c-4124-8469-e12ba0465e49}</author>
    <author>tc={3a9def99-6556-4f0d-a198-69cf8eb6cdc4}</author>
    <author>tc={3abe7744-ef9d-4c00-9f67-148076f1d54e}</author>
    <author>tc={3b1f1a6b-7110-4615-b36b-d9e6e06eacbc}</author>
    <author>tc={3b5cd081-bf56-4cd1-9c2b-1a7c17ea3532}</author>
    <author>tc={3b75cf89-6d56-43ac-a864-a367e3227516}</author>
    <author>tc={3bbf8f6c-ea49-4ed7-a1f5-a7a4abd48fd4}</author>
    <author>tc={3bdefb5b-b8ca-4a13-984a-18fe87b29f58}</author>
    <author>tc={3c0059fc-e277-45b6-9214-c522e6e2eb22}</author>
    <author>tc={3c30e569-bcb0-41e5-a917-178248e90eac}</author>
    <author>tc={3c3a53c7-436e-4814-9e57-1c6156b3814a}</author>
    <author>tc={3cdd4922-92c7-44d4-a610-434ad9b8d374}</author>
    <author>tc={3d53f376-5353-4133-98da-45c827e24d5d}</author>
    <author>tc={3e47e363-fee2-47f0-b0a8-10cbdf6b516d}</author>
    <author>tc={3eaaf8dd-d049-43c4-bb33-a929999b9523}</author>
    <author>tc={3ee83abd-a7f9-41a7-8b75-6b9b5f242d55}</author>
    <author>tc={3f000262-339b-477c-85ff-affa3218e9ec}</author>
    <author>tc={3f40046a-91e1-48b3-8ce0-32bd5b809e87}</author>
    <author>tc={3f858e8c-8b22-4a86-b168-59a55b24c99f}</author>
    <author>tc={3f971410-dbe9-4044-8a17-43f8d6856af2}</author>
    <author>tc={3fa8a36e-98ea-43e4-a541-879aa16755f0}</author>
    <author>tc={3fe3e58b-1481-44f6-acae-e3a75588349c}</author>
    <author>tc={3ff1b32d-3c0a-42e3-834a-8d7f4002fbfc}</author>
    <author>tc={3ff73274-1949-46d1-9202-f3ff2fc9fda4}</author>
    <author>tc={40032895-658c-4115-97aa-14fdfcb431f4}</author>
    <author>tc={4094519b-a073-4f23-ae37-a4dcb49ab432}</author>
    <author>tc={40c722a4-d450-465f-aad1-e22ca11769eb}</author>
    <author>tc={40cdfcc0-afa8-4740-9cd8-db4b0780d0a5}</author>
    <author>tc={413f6bef-0ef5-4c9d-8b22-127ee6afa104}</author>
    <author>tc={416e9527-b1eb-44c4-9441-f938a750cace}</author>
    <author>tc={41714db9-6930-44d0-b1da-22d42a90d7b4}</author>
    <author>tc={41a7a8a3-867a-414f-93c1-1bac06efe37c}</author>
    <author>tc={431c41a0-e38d-4323-8a38-81764a41356c}</author>
    <author>tc={437da0ed-f51b-4f85-aa5d-1608cc54ca44}</author>
    <author>tc={439d4237-8d80-4ea4-8a26-14a14eda995a}</author>
    <author>tc={43de3e26-39d1-4d66-ba90-6db0c544b9f6}</author>
    <author>tc={43ee7537-b653-4465-a940-1f8cc21a69d5}</author>
    <author>tc={43f63ad2-ad7b-41c5-bb5c-eefe03e363e4}</author>
    <author>tc={43f675a4-d4ed-4b5a-988b-20742e795718}</author>
    <author>tc={44029d52-d807-43c4-aabd-2784513aaf0a}</author>
    <author>tc={4473638a-13b1-4198-ab18-db74195570eb}</author>
    <author>tc={44ae1ef2-2848-4186-ab8f-a4d51b58d97e}</author>
    <author>tc={44b4a751-45e4-400d-b2b7-640b0659bda7}</author>
    <author>tc={44fc6b85-7cd4-45d8-901f-785a315c4fd8}</author>
    <author>tc={45568cec-707c-47a7-b5c5-71e632bfbf44}</author>
    <author>tc={466a45c4-6351-40c6-82d9-1204c9865040}</author>
    <author>tc={47024e94-8f49-420e-b327-018b9e00ca19}</author>
    <author>tc={470441b8-04b6-4724-9c03-803953cef86e}</author>
    <author>tc={4709f7e3-70c6-4507-af7c-8ea14b18d0ab}</author>
    <author>tc={4748ebdd-4bd6-47d8-bf95-819fbcfeff0b}</author>
    <author>tc={477b8aad-06b0-4ee1-8a69-c9674c13274e}</author>
    <author>tc={47e841c1-b20d-4ac7-a909-eecf3cc9865a}</author>
    <author>tc={47f2d330-8e2d-466c-9aa2-fda79035aaed}</author>
    <author>tc={47ffa218-48d4-4b40-9d36-0bef3e9f9137}</author>
    <author>tc={4813f7ba-6302-4ec9-869a-a3216dc6cebb}</author>
    <author>tc={48188836-ee21-4867-840f-62a8d245aab2}</author>
    <author>tc={481d6299-d781-482c-a0a6-abb1e79db425}</author>
    <author>tc={48521250-357d-4147-bd29-e687b0877b99}</author>
    <author>tc={485763af-dbc5-4405-9a64-4f583a9a7d4a}</author>
    <author>tc={48886a62-f7ff-40c9-b232-07a24c62adb3}</author>
    <author>tc={4896e0d4-717c-4e72-8c45-3b54fb92471e}</author>
    <author>tc={48cf288c-1ffa-4f19-a893-d17f8195fc75}</author>
    <author>tc={48ff2c17-7b71-4164-bc48-c32d345d53f5}</author>
    <author>tc={49347cc5-f6a2-412b-ae21-ecfb088c3a57}</author>
    <author>tc={4948b892-b441-4580-a6ed-34467b8a9ab8}</author>
    <author>tc={497543da-6e6c-4694-b0e8-5e426836cdbb}</author>
    <author>tc={49a6fded-02a6-4844-8c17-89bd169eebea}</author>
    <author>tc={49a9b9e9-c9a5-437c-9f81-88e193c16796}</author>
    <author>tc={49b45d28-f157-429c-8561-c35d33d4b1ef}</author>
    <author>tc={4a971e90-eb3f-4646-80e8-8b12133361e0}</author>
    <author>tc={4aa26d52-a0b8-49d8-890d-9ab45797df47}</author>
    <author>tc={4ae88ebd-da22-4be2-bdf1-f25c92b5e60d}</author>
    <author>tc={4afe66dc-553a-4a5f-aaaf-a7c5a28cc55a}</author>
    <author>tc={4b90312d-9fe1-4b8f-a45c-9357e46800dc}</author>
    <author>tc={4bb7300e-ee66-40e6-93e4-cc27a5127ca7}</author>
    <author>tc={4bca3cc2-0bc3-417c-9bfe-75ee6abc7005}</author>
    <author>tc={4cef7efe-4e34-4ed4-b14a-18c674752885}</author>
    <author>tc={4d3f2ae5-c2a9-4c6a-8ed4-13dfb36b2247}</author>
    <author>tc={4d4bd357-1c08-463d-8051-154d2a50d3c9}</author>
    <author>tc={4d745b8f-ad86-42d1-8261-0fa2d72292bb}</author>
    <author>tc={4d7add7b-3030-4972-b2b3-db92fae7c047}</author>
    <author>tc={4dc6d324-5fb3-4264-af1a-21a72e6b36e5}</author>
    <author>tc={4deb8098-8be5-443b-b02e-5f801f768643}</author>
    <author>tc={501f8f21-252e-4142-92ce-1afeabb85c7a}</author>
    <author>tc={50774a9c-90dc-48d0-adfd-17b435f2f18c}</author>
    <author>tc={507a8df2-fdba-4a3d-b785-ffff952171b2}</author>
    <author>tc={508fd683-2caf-4c5b-ae54-ddfd02a82c1c}</author>
    <author>tc={50e50615-8d90-48bd-9345-a1fbc9f221bf}</author>
    <author>tc={50fd8e75-8ee5-4bfe-81c1-d30397b51421}</author>
    <author>tc={512ca21a-dbfb-4e40-8154-9fd567104955}</author>
    <author>tc={5150bf60-ac65-4521-9ee6-81ad849f5294}</author>
    <author>tc={51a45d58-22cb-4f45-9ae2-4bc9579c67ed}</author>
    <author>tc={5208a200-ddf5-402f-814f-b0ce0c9dc009}</author>
    <author>tc={52370f48-f7e8-483a-8cf2-18aaf0a4e932}</author>
    <author>tc={525d9668-98cb-46d4-8478-d22868fee3a2}</author>
    <author>tc={52abc30b-2b74-4ef8-8a2c-22b73a064eca}</author>
    <author>tc={52cbe462-08ec-4caa-8b55-92e8cda95bb5}</author>
    <author>tc={52cd8f77-a684-4b0e-93ad-c0c8ed950f1d}</author>
    <author>tc={53bc13ba-09bb-4319-bd17-d4f8f66a8295}</author>
    <author>tc={53c10b0d-ed64-4f69-a566-1bdb880c6edf}</author>
    <author>tc={541c8e6a-1ab5-4f54-aafa-d79e1df4b30d}</author>
    <author>tc={546f4967-bf0b-4516-aa6a-a7e3407269e4}</author>
    <author>tc={54793a47-ddb4-4bff-9812-a6e0382dfaa2}</author>
    <author>tc={54ac39d3-3d93-4ea6-af35-7609d02ab6ff}</author>
    <author>tc={54fa1bce-0ef9-4c91-baea-79dfcdd32468}</author>
    <author>tc={552ddb2a-0aaf-471b-9024-6562a6bac487}</author>
    <author>tc={556b8e8c-062e-4160-a7c4-884ed91a4734}</author>
    <author>tc={55a70f23-965a-41a7-b49c-b073c86d4b3f}</author>
    <author>tc={566a2c75-aa17-4169-bb66-ed03655eb4fd}</author>
    <author>tc={567c5d71-b5c0-450b-aa67-1cf806f0fdbb}</author>
    <author>tc={56e597ff-08d2-413e-84af-f4e1b4a7af79}</author>
    <author>tc={57224220-dcce-4c3b-a5f3-c9267d5dda38}</author>
    <author>tc={574fb6f2-1bd1-4a22-8997-3968152e6d22}</author>
    <author>tc={57785e44-a51a-42ae-9799-b2764e71797f}</author>
    <author>tc={57a376f7-6542-4d40-bc74-2b7925287fe2}</author>
    <author>tc={5873bb31-0bea-46db-babf-1a9884a80150}</author>
    <author>tc={59033052-d789-47c6-85e1-807745f6377a}</author>
    <author>tc={59399378-5895-406c-83ee-dda1916a51d9}</author>
    <author>tc={596d2b19-b1e5-4dc4-b02b-cc6eaeaeaabf}</author>
    <author>tc={597844fe-ad8f-4749-9ee0-b2e21194bd68}</author>
    <author>tc={59916aee-95c5-4641-938e-aefdf6f88c34}</author>
    <author>tc={5999b149-ca4a-4abb-b1f9-8d7690d1da71}</author>
    <author>tc={5a2b737e-42e1-4418-9792-15287db4088a}</author>
    <author>tc={5a2c8905-36da-4e53-8c46-cb0dea7fd88a}</author>
    <author>tc={5a30357b-a982-4bc4-ae4d-773a81bb9a85}</author>
    <author>tc={5aaa1888-eb41-48c9-b978-b8c13b95a917}</author>
    <author>tc={5ae1dbb9-b25f-42e3-96b0-4a996d3a40fe}</author>
    <author>tc={5af0e2dd-f427-46fe-8913-2a406b8ebfb3}</author>
    <author>tc={5b7e568e-a1f8-4be2-bc1e-14e5be68eba0}</author>
    <author>tc={5bcd2125-51d8-44b5-ae42-92f767fbfb85}</author>
    <author>tc={5bd970bd-e413-4f1c-9f65-689c1c9cd180}</author>
    <author>tc={5be3087e-1978-47c4-87db-36ff04a9b657}</author>
    <author>tc={5be3f76c-b2f5-4ab4-a55d-ba918983cf92}</author>
    <author>tc={5cbe3938-fec3-4341-855e-8377e91d6e61}</author>
    <author>tc={5cfaed6b-441a-4006-b887-d1bb287fc323}</author>
    <author>tc={5e0e10a3-18c0-4dc5-a5cb-9f66c96c3b83}</author>
    <author>tc={5e8ec96c-71b1-4b80-b31f-0518dfa801a1}</author>
    <author>tc={5ea8ae49-0de5-490f-9d44-2e12776685f8}</author>
    <author>tc={5f4b8044-5d9d-4221-9e44-89fcef17ad41}</author>
    <author>tc={5f6472c0-7a4b-4692-98f1-32e0729136e4}</author>
    <author>tc={5f778d8c-56fc-4c98-a4ad-91624cae386a}</author>
    <author>tc={5fa62132-998e-4ec5-8157-f203d13da3e9}</author>
    <author>tc={5feb8a07-8cf7-4405-818b-e6164073d1fc}</author>
    <author>tc={5ff35fab-9e5f-40ed-8505-0e49396a4b1b}</author>
    <author>tc={6091b86d-8f1f-4725-be91-c87ef3086f58}</author>
    <author>tc={60c043ae-cf55-4265-ac57-9e2db9e52603}</author>
    <author>tc={60ecc1d3-c641-45bc-8b7b-934188eeebce}</author>
    <author>tc={610fde10-308a-46fc-aad2-e3deb7926ed4}</author>
    <author>tc={6126128b-3bdf-46d1-9347-15ce1ed568d5}</author>
    <author>tc={6139b63a-2c29-4ba5-b52d-d681e64fef10}</author>
    <author>tc={615399d1-1ae4-486b-b9f3-7cc9fdc4d909}</author>
    <author>tc={619465ff-4567-4405-8c03-07ff2568a520}</author>
    <author>tc={61ca4ed2-f37f-4322-be75-f7198b43292d}</author>
    <author>tc={621eff27-52b2-4478-a224-8229bd3a7709}</author>
    <author>tc={626e689b-6ed8-4fc2-9050-7b8f649d6826}</author>
    <author>tc={63414c73-1ed2-4224-a796-c2bad93fec4e}</author>
    <author>tc={637ef153-a155-4875-83ca-42de384c344b}</author>
    <author>tc={638087ee-9c49-4793-9d87-841d76e3cb0a}</author>
    <author>tc={638c3b75-5712-4134-9525-27b364e64cbf}</author>
    <author>tc={63d1046b-c449-42ca-81b5-cc62b13a8293}</author>
    <author>tc={64a2022f-5272-4d5d-8f5b-f1961e3f8519}</author>
    <author>tc={64ade26b-456e-482e-819d-e87f311adea4}</author>
    <author>tc={64c36a78-ae10-48f6-978a-4085a5bcd194}</author>
    <author>tc={64c6a047-335c-4363-89e6-8eb58c8dd478}</author>
    <author>tc={65727ee3-8c50-4787-8a60-5d73ea6f6c2e}</author>
    <author>tc={6593b04a-92bd-4e1a-864c-e403e0225797}</author>
    <author>tc={65c1d451-1023-4b1b-9ba3-4ba5be1c14a1}</author>
    <author>tc={65da16c7-a3bd-4724-a7a2-85e472f49d32}</author>
    <author>tc={668846bc-76d5-4044-9847-94243b06baaa}</author>
    <author>tc={66d56110-436e-4173-a53d-2d7d5e6f9ab4}</author>
    <author>tc={670f8fa5-a220-4657-bb7b-e48525c0f92e}</author>
    <author>tc={675ad8d1-46d7-49dd-83da-7636f3e8ffc8}</author>
    <author>tc={68342b4a-273a-492a-a261-bdbc8494a020}</author>
    <author>tc={68504f55-ab2b-4549-b2d8-8e13485085f5}</author>
    <author>tc={6864b104-1789-42a5-bfd7-2b91fe8b547a}</author>
    <author>tc={686ff9b2-31c8-44f2-bc32-60c5bd347bd7}</author>
    <author>tc={687fa02e-4c0e-4b30-bf48-996b53f05b11}</author>
    <author>tc={68810a6c-0dc0-4327-9a22-2a217c4d30e7}</author>
    <author>tc={688cce16-2aee-41b6-ad17-46f50ab53cf9}</author>
    <author>tc={68fecf6d-abfc-47c2-909f-53249a806af3}</author>
    <author>tc={696fd0de-bd73-4224-8515-b83d246f2db9}</author>
    <author>tc={69bbe443-571a-4b9f-8cfd-d7b6ed0147c3}</author>
    <author>tc={69fba3a0-c72d-466a-9ea7-35620429df34}</author>
    <author>tc={6a11f572-b7ef-45cb-a98c-7ac784c98e25}</author>
    <author>tc={6a1f0086-691c-4ed7-a8e3-662fde5c6533}</author>
    <author>tc={6a3059ba-8ef0-4cb8-9dff-f18e9eaba9ca}</author>
    <author>tc={6a62197e-973a-4339-bca9-7fcf6cbd0de1}</author>
    <author>tc={6a82f562-c882-4132-9684-ca6c1b16cfa9}</author>
    <author>tc={6a83c614-0a5d-4bd7-90c8-87b5a83073be}</author>
    <author>tc={6ac56ad5-47b3-46fd-9d24-7b2ad331883c}</author>
    <author>tc={6ac7768a-145f-4ea5-898b-aa4d8adafbcf}</author>
    <author>tc={6ad86df4-ec20-47d8-8d9b-6879f13cc364}</author>
    <author>tc={6b488482-5ad8-40af-8b78-0728dd0f9eb6}</author>
    <author>tc={6c39954d-2739-4ee9-bbaf-6038ba6ec5d2}</author>
    <author>tc={6c449d49-bb3c-43b1-89e6-6648875df89b}</author>
    <author>tc={6c69dd8d-b634-4634-b3a3-e0226ca8d1a2}</author>
    <author>tc={6cac074e-a33b-4494-bca8-4e4390ab394f}</author>
    <author>tc={6ccfb987-7d9e-4e47-b73b-e8949b459496}</author>
    <author>tc={6cd3d1f9-5df9-46a8-9069-d5fd4da6bdc2}</author>
    <author>tc={6ce25ff9-99f1-41fa-adf1-67e69c4c720e}</author>
    <author>tc={6cee146b-76d4-42a2-a0f0-869ba7191db9}</author>
    <author>tc={6d4892cf-0449-424d-b0a0-2707b46d51ab}</author>
    <author>tc={6db99e66-392f-410f-8edd-cf5fd46ccf93}</author>
    <author>tc={6dcc3a1c-7e7a-4a70-93ad-de578c5d8cb2}</author>
    <author>tc={6de07742-e9c2-4f40-9a90-221753409edf}</author>
    <author>tc={6ef426a2-83cd-470f-ab70-7b22db06cf1e}</author>
    <author>tc={6f0538a8-e47b-48ac-8dff-fbdaf754e0a8}</author>
    <author>tc={70072293-ddb4-4699-9bb3-6afb93582629}</author>
    <author>tc={703df442-5c3b-4159-9340-9408782820cd}</author>
    <author>tc={70509bbe-4e45-443f-815d-87be1baa35b2}</author>
    <author>tc={7072a8d6-6ecd-4f17-9b7a-4099e98e0c90}</author>
    <author>tc={70ab1efb-e5ea-4c36-9fb2-d1095099e363}</author>
    <author>tc={70c6ce8f-7d4e-4142-ba07-08fa0d07a19e}</author>
    <author>tc={70d2e878-d4c0-4eea-9651-f5e9d09f82e0}</author>
    <author>tc={711a04be-b352-4ffc-b6e9-8f4ea914a965}</author>
    <author>tc={712f9af5-b778-4d2a-a009-c800932ec5b1}</author>
    <author>tc={717ffeb7-d108-43da-8294-281e97091381}</author>
    <author>tc={721add8c-c04a-46c9-80bb-9026c08a8d52}</author>
    <author>tc={72965167-79c1-4f7e-882f-c072af8307c5}</author>
    <author>tc={72cf3a54-b513-4537-8111-ff4f9e811de2}</author>
    <author>tc={733b6148-2ce5-499e-afe0-eb9897f856a1}</author>
    <author>tc={73b2e239-97d6-4bb1-88e6-7d59f80f13c8}</author>
    <author>tc={7413fee2-dccf-4236-b350-30edb1ad58e0}</author>
    <author>tc={7467ffac-a9ea-4855-bd44-ba7795a9f479}</author>
    <author>tc={748a4d0e-d6ed-499c-b11f-674fe25db861}</author>
    <author>tc={749fd407-8a47-4edc-b3ba-6bb38c09153b}</author>
    <author>tc={74a2d38d-d298-4b87-8ab3-b032820593ed}</author>
    <author>tc={74b7c9d2-93e0-469d-a740-72023b75494c}</author>
    <author>tc={74b7f6ce-dfdf-4a9f-9366-86948cc12639}</author>
    <author>tc={74c49905-aa83-4dbc-87cf-7eae0d9f1975}</author>
    <author>tc={74ed5d64-259c-4988-9a9c-3df45b3e2f44}</author>
    <author>tc={7541ebed-9510-47a0-a988-ff68333c9f68}</author>
    <author>tc={7637ed8e-6f12-477f-a6b2-0bca23738c14}</author>
    <author>tc={766d5390-88ad-4162-af7b-4ac2aefd6b81}</author>
    <author>tc={767c799d-ade1-4bd7-b63d-10c460337058}</author>
    <author>tc={76ae7f27-ac7a-4e64-9deb-2537aba85b42}</author>
    <author>tc={76d50824-8642-4de3-a89f-f5a26075f6e2}</author>
    <author>tc={77424916-9a77-45dc-856f-99dd6966d7db}</author>
    <author>tc={77adf335-dff2-49b4-bd02-19049e18cd27}</author>
    <author>tc={77c51142-ac00-45b2-88d3-a9aa496e175c}</author>
    <author>tc={780db042-d6d5-4516-851e-823b192f6938}</author>
    <author>tc={79db26e4-d9fe-41a5-9792-daeca305a102}</author>
    <author>tc={7aac36d0-a690-47db-af77-7d65189be34c}</author>
    <author>tc={7b793dde-11a5-4fa9-9493-0f9f11d5136a}</author>
    <author>tc={7b9c76b2-02f7-478e-8b5c-fbaafc903da3}</author>
    <author>tc={7bc5d558-c2f0-4c55-8350-5d5af6017b1b}</author>
    <author>tc={7c5f6809-9e0a-44c0-9ecc-b7599f337a0a}</author>
    <author>tc={7c6ef333-f528-4b38-a42b-b47913ede479}</author>
    <author>tc={7c972c01-482a-4eeb-a574-505d79654330}</author>
    <author>tc={7ca9e846-40b8-4231-8f6a-ac71ad27dbcb}</author>
    <author>tc={7cc9c447-a1a4-4e22-9bd9-8a46c21b0f05}</author>
    <author>tc={7d4ee238-2455-408d-a04d-4ee4d638622a}</author>
    <author>tc={7dbdadf7-67fb-4f6c-8526-920c0df203ff}</author>
    <author>tc={7e305c0d-a522-42ee-bd1c-2ec50c6a1fff}</author>
    <author>tc={7e362ad8-88eb-406b-b364-945e3535a360}</author>
    <author>tc={7f7a9804-8a30-4042-bba6-d60896ac3309}</author>
    <author>tc={7f833a62-8e2a-4a64-9535-001a5266c1cc}</author>
    <author>tc={7fab7eb0-2af7-43ca-b4c0-4ca09738170d}</author>
    <author>tc={7fbf7b9d-c3a9-45be-aa9c-ce6ba29ad36f}</author>
    <author>tc={811a2d1f-8b66-4c07-b31f-2a4312b7512a}</author>
    <author>tc={81a991c6-c95b-4417-a9f7-5bf883b70aba}</author>
    <author>tc={81f01602-3e0f-4263-aeaa-6ee16698ce29}</author>
    <author>tc={825effcc-0a72-428f-b353-6aa3fe2f4c05}</author>
    <author>tc={827e1ff9-f83b-4dcb-8e0b-d17979bf466f}</author>
    <author>tc={82b6458a-9e49-4209-b46d-406aaa2c0c02}</author>
    <author>tc={82bcb60c-467e-4859-909c-b978f15b54d0}</author>
    <author>tc={83189293-5dfe-4393-8bbb-3701ceb4563a}</author>
    <author>tc={8336db16-7c5b-45d5-803a-e631821f97fb}</author>
    <author>tc={834d3af9-2d7b-45e0-bc10-f40ffb7dc051}</author>
    <author>tc={83ac5508-776e-4567-8317-9f3fa642c441}</author>
    <author>tc={84222177-07d1-48ef-946a-50383a0ae4e6}</author>
    <author>tc={8440cb31-1312-40c0-8c0f-7232ac126de0}</author>
    <author>tc={846933b9-9b24-48dd-8f7c-e71aed5b8064}</author>
    <author>tc={849a586b-66f8-44ee-8d22-edfa1e13c846}</author>
    <author>tc={84b7886a-4a64-4673-a742-b36033c711b6}</author>
    <author>tc={854ef886-4a6d-4c87-b11a-061b17e65816}</author>
    <author>tc={857c7ef5-b73d-4c08-ab9f-1f2a2547ac9e}</author>
    <author>tc={860b8fd8-c5a9-42e7-a125-88ffa233e4dc}</author>
    <author>tc={861017ce-d5c5-438b-b067-83d92d0cc657}</author>
    <author>tc={865a793e-1b6e-4c68-8944-6f5a5ecff26a}</author>
    <author>tc={867821ed-acb6-4a8f-b189-9e7c9e7837cf}</author>
    <author>tc={87515cec-3d8b-4279-b000-577a8ad4f938}</author>
    <author>tc={876f5503-1a60-413f-94cf-4f057faafb60}</author>
    <author>tc={87e52c5c-ad2c-48d4-a674-61a771fdd4bd}</author>
    <author>tc={880680b8-d6b1-41d6-831d-f031e611f3e7}</author>
    <author>tc={8842eb90-8862-41f8-9024-6c2017d266e7}</author>
    <author>tc={884f8148-c305-4378-b9d6-675c83dfd879}</author>
    <author>tc={8862f329-1945-4414-9195-1a65f3b110dc}</author>
    <author>tc={88912d1a-8209-48a6-9c64-30c9f7f4f390}</author>
    <author>tc={88a61d56-b9ef-4f80-9d17-96c749b02e9c}</author>
    <author>tc={89036c23-ca58-4a47-8797-0c5c02f32551}</author>
    <author>tc={8907faac-6f44-46c9-b267-9a1649f83a85}</author>
    <author>tc={896624b4-1a76-45b2-a9e5-ef12d65e7b6f}</author>
    <author>tc={89a0ac8e-3ed1-4ec7-bed6-5307c2922716}</author>
    <author>tc={89d1311d-b0eb-4a2a-8449-f0e914689e79}</author>
    <author>tc={89da9ed4-9b80-4a2e-962f-889848aa0fa6}</author>
    <author>tc={8a2391bd-6682-4319-88e2-e5ed818a402d}</author>
    <author>tc={8a5df992-bbcc-4f98-b09a-dfeeba3d1252}</author>
    <author>tc={8a696afa-80fd-4f3f-9194-2dcd4cbfaf82}</author>
    <author>tc={8a6d4e67-bffd-4e3d-b0b3-55ae07de43db}</author>
    <author>tc={8a8ee4a7-5085-4bc6-900b-bbe2dbba1c0d}</author>
    <author>tc={8b5f84bd-52ba-46ac-ab67-5d117245b23e}</author>
    <author>tc={8bdfc535-4c32-4032-a04d-4f255527411b}</author>
    <author>tc={8be1d2c9-f0d1-4ead-a07a-086a72959f5e}</author>
    <author>tc={8be7e9f1-261d-4ec1-a7cb-5746995fa2ef}</author>
    <author>tc={8c12c825-79e4-4f01-8e83-d33450e727db}</author>
    <author>tc={8c2b32cd-54e4-411c-97b2-658b6dc49d5f}</author>
    <author>tc={8c910574-9ef5-467b-ae2d-c7e77ca68e07}</author>
    <author>tc={8cd608a7-73ee-4322-bda2-34e53a699165}</author>
    <author>tc={8cdc70a9-92ba-4124-b6b8-5ec0710b79f4}</author>
    <author>tc={8d798f3b-69cd-4a1d-bf70-0b5ffee7ad01}</author>
    <author>tc={8d87642c-1770-4d68-bb72-a97dbd6097a3}</author>
    <author>tc={8da7b486-a184-458d-8a4a-d5bb81596537}</author>
    <author>tc={8db8ae78-2852-4dcf-80ed-156c73ceddd0}</author>
    <author>tc={8dfbaa02-e356-4380-9c52-f84867be0f0a}</author>
    <author>tc={8e0c4030-3e6d-4998-9b73-17d513431cb1}</author>
    <author>tc={8f1cea74-06ef-4ae0-96f1-6fc18d524436}</author>
    <author>tc={8f85705f-b813-4a01-a81f-fff790634c9d}</author>
    <author>tc={8ffc69cb-cb50-4c47-b4f7-3f07a7c194ec}</author>
    <author>tc={909fe6a5-958c-4f8a-930f-db26322ce115}</author>
    <author>tc={90da4224-2b02-44c7-80f3-889829b2a120}</author>
    <author>tc={91461510-975e-4b95-ba55-77a37ced3eb9}</author>
    <author>tc={91fe89fa-274d-48a3-ae89-a513f9764d2f}</author>
    <author>tc={926f2943-f44c-4581-8db1-31051bc7d29b}</author>
    <author>tc={9301e918-5c53-4a14-a634-53361012bc73}</author>
    <author>tc={935291ba-b913-4908-83af-61c73ae45cc9}</author>
    <author>tc={93f14cbd-0185-41e3-8106-0c8e3114c2ea}</author>
    <author>tc={940925d6-b990-4d48-ae08-7fc4601fc2b3}</author>
    <author>tc={94132f0f-b1cc-4118-8b39-334aafe891a4}</author>
    <author>tc={943ef051-5ba5-4944-badd-e6032fe08f0f}</author>
    <author>tc={9461e97a-58a6-4c7c-84a7-129db2573103}</author>
    <author>tc={9463f9d9-b204-4315-9ecb-c45418777baf}</author>
    <author>tc={94ef3144-a5dd-4fd5-a840-9abb4cb795ad}</author>
    <author>tc={95748453-88eb-4c27-aae9-34f478cb61d5}</author>
    <author>tc={963b6f90-0a31-414f-a5a4-6f798e90f472}</author>
    <author>tc={964f55a8-322f-4032-a34c-75b7240d3f72}</author>
    <author>tc={96a86ae1-b9e9-4e1e-856d-4853c217e50a}</author>
    <author>tc={96d44535-1402-4313-a7bc-774e5ead22bc}</author>
    <author>tc={971c3bd5-0d7b-402c-a3a5-f1ef8b6e9af1}</author>
    <author>tc={9787af80-b9d7-46f3-b898-6629a12d05b8}</author>
    <author>tc={97b8b87c-dbda-43d2-9494-8cb8df92d786}</author>
    <author>tc={97e62f1c-23ab-4470-a950-5cc4a1e1aa32}</author>
    <author>tc={98a7bf2e-cf65-47ad-8493-795501e7d99a}</author>
    <author>tc={9914a8df-a51e-4f1a-a6aa-839ea2fbd5af}</author>
    <author>tc={996d9d91-f7d9-4054-9802-790c10592184}</author>
    <author>tc={9a2fd6dc-57dc-42eb-b3fb-49663919b69f}</author>
    <author>tc={9a34acb4-bc74-4195-ad5a-ac0848c4ed0b}</author>
    <author>tc={9b8c2b4a-121c-4a5f-8b94-1bbc69dc470a}</author>
    <author>tc={9bcfb93e-d567-4a11-a6b7-66ba91bfa319}</author>
    <author>tc={9c4d7970-51a0-4bdd-ac8f-ed1ada337df3}</author>
    <author>tc={9c7c2713-fdfc-481c-871f-5b35605695b4}</author>
    <author>tc={9e509f66-8f31-4d88-bf47-c9c62b2c5b97}</author>
    <author>tc={9e9ab2d2-d9d3-433f-ae65-7d42ad01c5fa}</author>
    <author>tc={9ec840a7-7d81-4afb-a1d1-0457122432df}</author>
    <author>tc={9ef73855-fd5e-49c7-b299-6f4d37ee2ff1}</author>
    <author>tc={9f0562a5-3cdd-4017-a053-f169781652c4}</author>
    <author>tc={9f3be519-1124-4660-8055-b2a68a17a437}</author>
    <author>tc={9f916eb0-16c2-4279-a9b9-7f13b05391ed}</author>
    <author>tc={9ff62d17-aff1-4ff0-84ef-d05fde8600ad}</author>
    <author>tc={a095c97d-d458-48db-95e5-b19c905051fe}</author>
    <author>tc={a0b07931-84df-4e45-bd26-08e19f34a746}</author>
    <author>tc={a15015dd-b0b0-4425-8eed-6887817b27b7}</author>
    <author>tc={a1eac31b-e55b-407b-b714-b9532aac3c60}</author>
    <author>tc={a259327b-eda5-4db8-89d6-056f0d1f1380}</author>
    <author>tc={a2c35adc-0528-44f9-bc69-4adeb2611e8b}</author>
    <author>tc={a2f19df2-b0b4-4cf3-b8e2-3bbcd24abce7}</author>
    <author>tc={a304a7a2-8c86-4e0b-8f64-6c710379e4b0}</author>
    <author>tc={a315f166-b771-488c-aeb5-ee5b921c2a2e}</author>
    <author>tc={a31d040e-053b-4e17-a54a-b7e9eb26bf3d}</author>
    <author>tc={a32171c0-044f-4f17-bec7-1c8bd96d9eec}</author>
    <author>tc={a3bc81a2-ac7b-4b84-a1be-1bbf2c0cfd0d}</author>
    <author>tc={a3c9545b-9205-4e0a-9374-49832a222645}</author>
    <author>tc={a411f939-9945-41aa-882d-7a5e5e3a9d17}</author>
    <author>tc={a42142e9-014f-4900-b857-311bdb8356a4}</author>
    <author>tc={a45cf5f3-d3ec-450e-bab6-55be77749fc5}</author>
    <author>tc={a4731c2e-97b2-48ef-9792-cc0d5df4df83}</author>
    <author>tc={a53cd32c-dc97-4bb0-8a92-562e734f0306}</author>
    <author>tc={a54ee93c-e867-4213-880a-d11a90257403}</author>
    <author>tc={a56274fb-24a2-44d6-83e4-772c57aafb7b}</author>
    <author>tc={a5ea441a-ad03-4088-b371-393fbfd5a6dc}</author>
    <author>tc={a73c2ed1-361e-4f58-ab9a-1d8e9ae9dee3}</author>
    <author>tc={a7595ff1-e2dc-483a-9506-67ed5fecd9e0}</author>
    <author>tc={a75dc635-2ae0-4c64-8d95-31bf6afd6000}</author>
    <author>tc={a78a4888-0c96-4830-aeba-2102be425128}</author>
    <author>tc={a8041cf4-aa29-4b2b-96f7-08931cf8358e}</author>
    <author>tc={a8701e8a-4088-4870-931e-84f89b4fc69e}</author>
    <author>tc={a940e6e3-80dc-436c-931b-2895fcf1df57}</author>
    <author>tc={a979def0-0746-43c3-bdaf-4a6ebb155354}</author>
    <author>tc={aa5f6c4c-58ad-4476-aa3a-caf2b76e9d25}</author>
    <author>tc={aa686980-40e6-48a0-b297-27ad7ed0eca6}</author>
    <author>tc={aab7e3af-33ef-4fd9-b8b6-3f93103bf2b6}</author>
    <author>tc={ab071c2f-2fbe-48d1-a129-be1f606e9a38}</author>
    <author>tc={ab6fb17f-1666-4b3e-8d2d-e5a7207dd6a9}</author>
    <author>tc={abd58092-6671-4e63-a9c6-7546a204203c}</author>
    <author>tc={ac01cc1d-f46a-4f80-b2ee-4402636c83b3}</author>
    <author>tc={ad8e4394-ad4e-4927-a14e-7135b3b0e979}</author>
    <author>tc={ad9f3e79-4302-421e-a18c-afb419e6c50b}</author>
    <author>tc={ada11b1f-17ab-4c55-af34-11e9162a2674}</author>
    <author>tc={adcea63b-7ed1-4688-8620-ba78beb92d23}</author>
    <author>tc={ae069849-153b-43ab-88c9-cb73e00abaa8}</author>
    <author>tc={ae3c503f-a006-4bd7-abae-ae2ef3b4690c}</author>
    <author>tc={ae462318-b430-4aa1-b6ed-92e9b71955c7}</author>
    <author>tc={ae4b7c06-a72f-4619-85d0-b6c0611e9908}</author>
    <author>tc={aed36ce0-2d6f-4b3a-928c-90d3592adcf2}</author>
    <author>tc={aef12b25-8f45-45e7-8316-eb15ea77fb8a}</author>
    <author>tc={af376b1d-ba63-4c70-8700-1f28668a140a}</author>
    <author>tc={af7013f5-859e-46f1-a3ae-b447f92ff3cb}</author>
    <author>tc={b07ad30c-2873-4b48-98cb-1e02fb6ad698}</author>
    <author>tc={b08dd57f-a5fe-4683-9f3c-cc5cd9f10b95}</author>
    <author>tc={b0a9a4c1-0fd1-4c99-a165-5a91105c51d0}</author>
    <author>tc={b17af604-fa7e-4a6a-b32e-54fe31ba99ec}</author>
    <author>tc={b1c1e9f3-a836-4cdb-a525-e9e7cb19b2c6}</author>
    <author>tc={b1c2d6a1-8037-4b1d-90f0-c74dc0113431}</author>
    <author>tc={b26e19bc-54ce-4f0b-8267-5fd778341f2d}</author>
    <author>tc={b2897a6b-c147-4d33-9483-72a064f0e016}</author>
    <author>tc={b2ba71a1-1807-439c-aa04-2d9451078ffc}</author>
    <author>tc={b2c6b757-de1a-4e33-80d4-57e655e84f51}</author>
    <author>tc={b33595bc-aa73-490b-b2fd-8ec23765c276}</author>
    <author>tc={b37447b5-631d-400e-9de2-d8ed97ba8d62}</author>
    <author>tc={b39bc35a-6aeb-46f7-a8e3-d720cbcb5134}</author>
    <author>tc={b3bb13ed-1023-4b2f-bc81-db0a9068022a}</author>
    <author>tc={b52e9a44-a992-4ce1-90ed-afad3caab2a7}</author>
    <author>tc={b5380456-2873-4940-a22a-fecf0aa9316a}</author>
    <author>tc={b53ac7f2-14a0-427e-a619-397df2dff574}</author>
    <author>tc={b5d2a961-d9f4-4287-88a6-baeef9dead4f}</author>
    <author>tc={b69817d6-2f8e-42b2-8eaa-4753d5f03696}</author>
    <author>tc={b6a58a80-0cdb-488f-9017-f2f8703bc35b}</author>
    <author>tc={b6d78996-86aa-470f-a722-73c6aa20b297}</author>
    <author>tc={b6d89d69-8dad-4058-9173-e6d525a0d1c4}</author>
    <author>tc={b6ed67b9-2ed1-4d7a-a7c4-c6ac7e481266}</author>
    <author>tc={b72ef4bb-ac2d-4979-8dab-3819cf301b12}</author>
    <author>tc={b75932bc-9504-4a12-9403-035283d32387}</author>
    <author>tc={b7595b0d-6dce-4b56-88d8-aa598ff50eae}</author>
    <author>tc={b7ce7c3d-c0af-4ad9-a1b1-fbb7b5989e18}</author>
    <author>tc={b7d12af6-fa53-47a0-b4da-e941e45866d6}</author>
    <author>tc={b8159950-13e4-4afb-9062-b26e431e813a}</author>
    <author>tc={b83deab6-fbde-4c66-a213-ebe036024b9b}</author>
    <author>tc={b85a2017-7179-42c5-89b1-ee4cf08a04f7}</author>
    <author>tc={b8913123-d4aa-45b1-a11e-19f90cda8511}</author>
    <author>tc={b9089482-283f-4db9-ac4b-ff28fc23a1fe}</author>
    <author>tc={b96baa58-5f2d-4cfb-bb4a-3f4abe1f97cd}</author>
    <author>tc={b988e857-8d5c-4399-8cc5-44087ae2cefb}</author>
    <author>tc={b98d85e2-697d-4f8b-aa31-5da85f69d33c}</author>
    <author>tc={b99fd052-b79c-4cb4-b652-153a013c7882}</author>
    <author>tc={b9e8688b-0947-4c88-95c8-b07a1346e25b}</author>
    <author>tc={ba5ddea4-77e6-4d35-943e-e6420ecb507d}</author>
    <author>tc={bb54d279-ba1e-4f7e-a133-fcde217ec71d}</author>
    <author>tc={bbb75b10-902f-449a-a578-8089ba474c40}</author>
    <author>tc={bc143d72-976a-4ce5-b168-ee5c2ff44446}</author>
    <author>tc={bc9b45dd-2a75-4b96-b8a6-bd669318da87}</author>
    <author>tc={bd20da46-6102-45ad-b3fc-da32d2afefcf}</author>
    <author>tc={bd68f8eb-3e28-448f-b24f-292ffbe8e587}</author>
    <author>tc={bda1549b-d08a-44fd-83d1-f6bec4b81b6d}</author>
    <author>tc={bdec0def-5be2-414a-921c-58e52a00ff01}</author>
    <author>tc={be23459f-69e4-4b1a-b339-955aa02d7c4f}</author>
    <author>tc={be8ad9c8-dcea-4e0f-befd-46adcb736d13}</author>
    <author>tc={bf9ea35c-1cf8-41aa-bf1b-46732c7b7903}</author>
    <author>tc={bfaa4ad9-94f7-4814-8fba-5905ed865f20}</author>
    <author>tc={bff0f204-4dad-4aeb-a051-670b6f13ca50}</author>
    <author>tc={c006c171-0910-4c9b-9f03-45140e3b50e9}</author>
    <author>tc={c0125f6c-2e4e-491a-8464-fb56f8485d0d}</author>
    <author>tc={c028baa9-2685-46eb-a60b-03826970b51e}</author>
    <author>tc={c02b782c-c988-4333-b899-3629f2ec85a4}</author>
    <author>tc={c044c5b1-6642-4889-b17f-d8d5f62b583b}</author>
    <author>tc={c048d19a-6b12-4604-8ec9-ad80de1fb93d}</author>
    <author>tc={c056c2de-167e-43cb-9bf1-a9d8c616b688}</author>
    <author>tc={c0583b63-8f7b-4518-804a-3206a297a27a}</author>
    <author>tc={c078ff98-3ae8-4686-bc62-7e2c26e08667}</author>
    <author>tc={c09db860-ac1e-4cdc-a09c-a8a2cbe5a06f}</author>
    <author>tc={c0bbe656-d824-4327-b18f-01b9f9731cc4}</author>
    <author>tc={c0dbc571-9fb6-4956-a7d1-35a8469e8fa0}</author>
    <author>tc={c130c8cd-be08-4386-9719-09f53b9dd71e}</author>
    <author>tc={c13b1606-107e-48b7-8d41-152013a8e042}</author>
    <author>tc={c156b7ae-1942-47db-9837-796753646a00}</author>
    <author>tc={c15ee938-925f-4061-a91f-658830a90e2b}</author>
    <author>tc={c17d746e-3140-4448-87d9-163a4f016fc7}</author>
    <author>tc={c1805751-ea9b-4f20-8385-671899fbee0e}</author>
    <author>tc={c190cdae-f4a3-45c8-9c54-28612cce08d2}</author>
    <author>tc={c1bc3ffe-f564-40e4-8ac4-3dbe33ab8c57}</author>
    <author>tc={c1d18c19-5e3b-4fab-88d7-745920e9a29d}</author>
    <author>tc={c1e93a73-8d41-4a6f-9d11-1d0be61c4b8c}</author>
    <author>tc={c26302cb-55e8-487c-a76f-39f4b78e4d85}</author>
    <author>tc={c28d0bba-369d-4df7-91d4-341e585d5b5f}</author>
    <author>tc={c296ccf1-4ab6-48cf-9768-4d3146bf799a}</author>
    <author>tc={c3b74751-fa3e-4091-8bab-726999af5860}</author>
    <author>tc={c3bb991e-0747-4dda-89f5-73c92be9abc3}</author>
    <author>tc={c489f165-93f5-46c8-865a-8538afd405ee}</author>
    <author>tc={c48f6d48-9e0f-4d5f-a651-a0e7484e3d5e}</author>
    <author>tc={c4c46961-ea8a-4767-b478-d13bb2ea9807}</author>
    <author>tc={c4c552ff-bba9-436a-8887-56c254374438}</author>
    <author>tc={c5264ea7-177e-4e40-b44e-00fb8d046aac}</author>
    <author>tc={c5315187-c986-414d-9b16-6244aa8f6037}</author>
    <author>tc={c5741103-8811-4cb5-8129-3d47de6ad259}</author>
    <author>tc={c5d72b65-4554-47e6-818e-dbdd50409fe4}</author>
    <author>tc={c608d5f6-7b10-4a20-ab12-bdf8fed526ef}</author>
    <author>tc={c609e3eb-7b25-4af8-9875-b1459d7640c5}</author>
    <author>tc={c65c1cc0-75f0-4ab7-b405-cccfe502524e}</author>
    <author>tc={c6bf49d3-3985-4277-acd1-652dbd010993}</author>
    <author>tc={c7fc1147-1460-4142-9774-f18c4ad52539}</author>
    <author>tc={c8b4c131-4871-4b5b-8506-c11c3da8afa1}</author>
    <author>tc={c959d6ba-af93-4bda-b66f-673d908007c3}</author>
    <author>tc={c974aad7-9995-4051-8e1f-df838b6b2559}</author>
    <author>tc={cac05cc5-5990-411f-86be-9f669673b436}</author>
    <author>tc={caed0d81-0f11-4c23-aeaa-533dc1aeafb9}</author>
    <author>tc={cb07e0b0-87bf-4883-af9f-b6bd563f2a93}</author>
    <author>tc={cb34f724-c08c-4509-b357-2bd7a021ade8}</author>
    <author>tc={cb649939-9054-4ff8-9ee9-c6b270ebb91a}</author>
    <author>tc={cb972610-d972-4ca6-97aa-02b8babfea35}</author>
    <author>tc={cc86fe17-f154-46bb-b22f-33c83182ef1c}</author>
    <author>tc={cc9a1982-89ca-4b46-a160-16d62d0db563}</author>
    <author>tc={ccdc1cae-a2c0-4faa-8d17-b96c45e81fbe}</author>
    <author>tc={cd4cfe6b-9c17-41e7-98a8-38488a6a216c}</author>
    <author>tc={cd787d70-a019-4108-8e8f-04463110e0b2}</author>
    <author>tc={cd99ca28-1ce7-4787-94a1-445db10c1c38}</author>
    <author>tc={ceab70d5-5b5a-4c92-8863-9596416591c2}</author>
    <author>tc={ceb80ee5-37da-4935-bbb1-cdcec76fa65b}</author>
    <author>tc={cedbe9d8-1c0e-4591-9176-74bfb480adad}</author>
    <author>tc={cf77342e-4438-4da2-8254-c3e7bbc83e45}</author>
    <author>tc={cfa1e6d0-1564-4f8d-9189-e4ae5c192ff0}</author>
    <author>tc={cfbd493f-f2e7-4e67-95e4-00a054147532}</author>
    <author>tc={cfbfed1e-e36f-436a-b70f-c1fb0e0b10cc}</author>
    <author>tc={d030e89e-e74b-4979-9b82-5ccc1668a72b}</author>
    <author>tc={d098b398-e8e4-4c1c-b5fe-6d081eed2e28}</author>
    <author>tc={d09dc8be-bb32-4670-a5a2-8791b273aa53}</author>
    <author>tc={d0c007ec-0d7c-4bd4-b814-28706b53562d}</author>
    <author>tc={d0c730eb-b8ce-44f2-8089-9a6c433250d0}</author>
    <author>tc={d0d0d8c7-1061-46fc-8c5d-ed92c1f99dfa}</author>
    <author>tc={d0e7b6dd-b63b-484f-8975-e51a7cde7ea3}</author>
    <author>tc={d13b8f04-85d8-4a53-b915-d9bbd8862098}</author>
    <author>tc={d1b8c516-f1c3-437f-b02b-668033512040}</author>
    <author>tc={d1d37114-9a49-4336-af6c-bee432f598b9}</author>
    <author>tc={d24ef50c-00b3-4a66-a291-1133ac720873}</author>
    <author>tc={d2826a3d-29ba-4d14-8708-4f0ae305a1b5}</author>
    <author>tc={d288d736-842c-480c-a006-6e15230cd969}</author>
    <author>tc={d2a867de-8b98-4226-9ed7-5169879da3cb}</author>
    <author>tc={d30e9311-9ed0-4daa-8854-64109ca11e19}</author>
    <author>tc={d31f1d16-47a7-4dac-882b-f04f3a9984c2}</author>
    <author>tc={d3302d53-ba1b-40c5-8396-2ee61c728bf7}</author>
    <author>tc={d3715ff6-0f6f-4a05-8baf-16490df007e5}</author>
    <author>tc={d3b7b323-49d4-4958-a6dc-149213efbec2}</author>
    <author>tc={d3ee9593-34b8-4de0-b79d-e878e7566bc2}</author>
    <author>tc={d41afee4-f299-4174-89ca-5adb889009a1}</author>
    <author>tc={d48e62e2-f399-49a4-9b62-1d3f462abea0}</author>
    <author>tc={d4a5236c-becb-4532-8264-34d3ff554e66}</author>
    <author>tc={d5dac387-6b19-40ad-a976-9a207ad837ed}</author>
    <author>tc={d5fa9324-ab43-4d0b-b971-c8a8a89abec6}</author>
    <author>tc={d6128a09-0983-44c4-bcca-2217490d8077}</author>
    <author>tc={d6ae509d-b88f-4d8b-8690-040af4038d8e}</author>
    <author>tc={d757ebe3-8722-4a62-b63a-f762cc8ab717}</author>
    <author>tc={d770f360-90f2-44b1-87f0-e3341d3f29ab}</author>
    <author>tc={d77cbaa3-e938-40ab-bf63-c498abbe8925}</author>
    <author>tc={d7fc4787-7781-469d-8937-300fe081ed3c}</author>
    <author>tc={d8017d1c-679d-4052-8331-1019b41a8d7e}</author>
    <author>tc={d8608206-b67e-4170-b02c-fe2b3ee60eff}</author>
    <author>tc={d884d30a-49cb-4533-84f6-c95cafcbe1b9}</author>
    <author>tc={d8e0077f-335d-4ee3-8995-9f5385dd1dc3}</author>
    <author>tc={d8f4a0e2-5c35-4b05-a13e-04671e75442a}</author>
    <author>tc={d9a57e78-4703-4417-a38e-3626aee2e4b2}</author>
    <author>tc={da5ba4d8-b267-43d4-a6c2-65d85e723619}</author>
    <author>tc={da8fd149-39fd-4e0c-ab31-037ad0d5b44f}</author>
    <author>tc={daada13d-b9b6-4885-9849-f26328c22c4d}</author>
    <author>tc={daef87cb-d655-4e6f-a7e5-e68dcc736b4b}</author>
    <author>tc={daf585ab-8c67-4b19-8b95-b2aaa3949efc}</author>
    <author>tc={db097d03-9427-457d-a394-004f924a5022}</author>
    <author>tc={db3aed57-d8a1-468f-bb3f-7e18d0108d4f}</author>
    <author>tc={db79839b-7876-41e4-be33-d8f8eb5c1cbc}</author>
    <author>tc={dc63d9c3-2666-49ab-a7d1-db307658ac36}</author>
    <author>tc={dc6f119c-4cc7-4dd4-aa87-2a05061acf07}</author>
    <author>tc={dc70d6c5-a1bd-4066-a3bd-8a47f8b80072}</author>
    <author>tc={dc89e572-93c3-467c-95db-7d28e4868fae}</author>
    <author>tc={dcb7efb4-f076-432c-a60a-84b688a78e68}</author>
    <author>tc={dcfb952c-696e-47e9-9f1b-13a16b545545}</author>
    <author>tc={dd339b9c-3b27-4e1e-b9e3-8d24ae7558bb}</author>
    <author>tc={dd5bf87f-e455-4438-a4e8-b2cff10bb181}</author>
    <author>tc={dd67602c-4352-4f89-8717-c1b901d8eea5}</author>
    <author>tc={de08e637-dcf3-426b-9adb-b9c1edcc8aa6}</author>
    <author>tc={de154c5b-e196-4096-b9c7-1b6f87ebfce3}</author>
    <author>tc={de2fad11-879e-48c1-8041-494552c0e618}</author>
    <author>tc={dedf866b-aaeb-4fc8-9127-1fd871f34af9}</author>
    <author>tc={dee1d7bd-74fd-4d43-8543-403b9598a309}</author>
    <author>tc={df3ffc57-2166-4b4d-bf19-24729aec56bf}</author>
    <author>tc={df636135-c8f8-49a9-a750-b25f7d94a65c}</author>
    <author>tc={dff79816-8cec-4d59-8974-cff721112252}</author>
    <author>tc={e03310ec-553b-4caf-a0e5-42769807a7f6}</author>
    <author>tc={e07ca856-a650-4039-89e5-f0c31154780f}</author>
    <author>tc={e0cba235-cb10-46c9-9099-c009a24dcf9c}</author>
    <author>tc={e0ecd005-03d8-4aa4-a108-f15d783b7eab}</author>
    <author>tc={e0f0579c-06e2-4ae4-a35a-eaec9fa75326}</author>
    <author>tc={e1c3e6f4-adb4-4af5-9ab6-3df0bb32d788}</author>
    <author>tc={e20d605a-1b14-4870-ac9b-7a9f99bbb5de}</author>
    <author>tc={e333db3d-0a40-4bf4-ace7-13d3af8dbfab}</author>
    <author>tc={e350dcd9-5721-457a-983a-daad4f7e097b}</author>
    <author>tc={e3851954-bef0-4697-b2b2-b020906eb833}</author>
    <author>tc={e3dacdc8-5261-4ab4-a21e-7e1381bcafae}</author>
    <author>tc={e4305af2-9270-4ca5-9f9b-937e023df818}</author>
    <author>tc={e449afb4-840b-406f-a696-6ec6521a8dad}</author>
    <author>tc={e495e64b-e703-4d87-8b0a-45c03bfab8c8}</author>
    <author>tc={e4de6881-fcb9-410b-9652-844f8ddc7491}</author>
    <author>tc={e54200cb-93b1-4ac5-9cd5-366a971c61e7}</author>
    <author>tc={e56051e7-9fea-4d01-8291-6bbd4e4c0d80}</author>
    <author>tc={e5ca3d4f-91c7-46fd-b940-88e30a3e61f5}</author>
    <author>tc={e5d60f2a-62a8-4312-a243-e2d6569709e3}</author>
    <author>tc={e5f2648a-0059-478c-93a2-89f02a2fcc8c}</author>
    <author>tc={e5f8e561-3909-44ff-971a-ac600b0d52b2}</author>
    <author>tc={e612c0b6-295e-4b79-820d-9c34d7e5c9f7}</author>
    <author>tc={e62563bd-4ea2-4f1d-831b-4041974741c9}</author>
    <author>tc={e66d87d7-1465-4074-a2e4-2c73c8ed1a3f}</author>
    <author>tc={e6dbba0c-bb08-4900-8ca4-0d6140992285}</author>
    <author>tc={e74e1d5a-7da4-4d42-a065-d8b99dd201d5}</author>
    <author>tc={e790496a-8cf5-4c30-8a41-b80d4391d7e2}</author>
    <author>tc={e7ee8fc1-c639-4db2-8b9a-6105990efe0f}</author>
    <author>tc={e80532e8-50d4-4e0e-a56c-1b1c3e52ad9b}</author>
    <author>tc={e838a445-f14d-46eb-9c3b-f22198c7d177}</author>
    <author>tc={e8f761e6-edb4-4868-a694-ee243b6c0e92}</author>
    <author>tc={e92158b5-1d8c-4816-b123-e96183b8cbf8}</author>
    <author>tc={e977eb3d-57f9-4503-8943-8fc53eab788d}</author>
    <author>tc={e9e4b9e5-eb93-49d2-b937-dcf4e356e5ac}</author>
    <author>tc={e9fea6b8-87cf-47c3-9db3-7e9cd24b9780}</author>
    <author>tc={ea6fdec6-5058-40d7-96d4-06e14c02d1d5}</author>
    <author>tc={ea9cee1e-1080-4df1-9eb7-db4f2b968129}</author>
    <author>tc={eae2ebe9-d09a-411b-858b-4325d2a1fbc2}</author>
    <author>tc={eb2a33b2-1f71-4be8-87d2-7f89478b7090}</author>
    <author>tc={eb4e3355-36b1-4880-be6b-2665263376a3}</author>
    <author>tc={eb952a2b-8a94-4a10-a047-92c9d85e1d90}</author>
    <author>tc={ebae0f62-7f46-425d-b607-7a8f426b56c2}</author>
    <author>tc={ec656f8b-eead-41a8-9419-828e312cd262}</author>
    <author>tc={ec868d9d-cb68-4ec2-b5b7-4be631e4f7c1}</author>
    <author>tc={ec97e5a5-6d50-417a-903c-4f7f0943728c}</author>
    <author>tc={ecfd07cf-3a5a-4f63-9097-fe229dd75406}</author>
    <author>tc={ed02bcf7-c26f-434a-85bf-794f3c3fb25b}</author>
    <author>tc={ed503f76-0496-420b-9e75-d95d8fc16c30}</author>
    <author>tc={ed71d9d1-53fb-467b-9055-79ad31d9b3e0}</author>
    <author>tc={ed991098-8b3b-4491-a83c-05bb265142ea}</author>
    <author>tc={edb50359-1661-4c72-9425-7eecd9032071}</author>
    <author>tc={edc4ad47-dba9-4aa6-be51-737a2026b9d8}</author>
    <author>tc={eddf27b4-e6cf-460b-9008-655dc52c9349}</author>
    <author>tc={edf42921-d1cd-41b1-b710-90c88aa26bff}</author>
    <author>tc={ee3a95bb-c33a-43c7-a571-ab4f15fdd1a8}</author>
    <author>tc={ee7d7674-4a7b-4d8a-90d2-9bfc22209959}</author>
    <author>tc={eec6999c-37c5-48e6-bbf4-2f38de6625aa}</author>
    <author>tc={ef54a70e-adb7-4abc-b0e6-ca8ac1cf36f8}</author>
    <author>tc={efdea76e-332e-4b6c-8bae-3dd97be0ef51}</author>
    <author>tc={eff3997f-c9d6-439d-8e14-508c1700e831}</author>
    <author>tc={f0409f86-2b69-4b28-b8ca-95f9217a1fda}</author>
    <author>tc={f06ea3b5-9fc8-4193-a906-f03a4518bab5}</author>
    <author>tc={f08ce365-5f2c-44cb-8a96-6a91eaa9a509}</author>
    <author>tc={f0e6eefd-8c0f-452c-8533-fbe5983d35dd}</author>
    <author>tc={f1b8f9b0-110f-4afe-9326-88ff65fdd5b5}</author>
    <author>tc={f1e51367-6def-47aa-937d-472288f055bc}</author>
    <author>tc={f22b4531-a0ac-490a-94d5-3a9c4d1768ca}</author>
    <author>tc={f249335c-3325-403c-8073-6e84ddb219f6}</author>
    <author>tc={f2499d80-800d-4b18-a53d-2924a3b2cf96}</author>
    <author>tc={f2674401-d052-43da-adfc-0a39234a27b9}</author>
    <author>tc={f2d18444-dd17-4b36-8772-f55f686e07cd}</author>
    <author>tc={f3099d6b-251d-4ca8-b894-02cbdd1e72eb}</author>
    <author>tc={f3177327-456a-4bc4-b645-0d36ee8b8479}</author>
    <author>tc={f346cab8-338d-4925-bfbe-938697e8367a}</author>
    <author>tc={f37bf4ec-5100-4875-8945-3052937fbdfc}</author>
    <author>tc={f3b13ca8-f53f-4e10-9330-cb68d747b9ec}</author>
    <author>tc={f443f343-dbb3-484e-86e6-d23d43e67444}</author>
    <author>tc={f47399ff-9ceb-4856-852c-b4a38722b0f4}</author>
    <author>tc={f4927b37-df55-49d9-a89a-dd473d862562}</author>
    <author>tc={f49f25ea-a8e2-4df0-9018-917d340ef6ab}</author>
    <author>tc={f6888f47-1e87-46f8-810e-cac76038ec66}</author>
    <author>tc={f6a5b305-2b5b-48bc-8117-06ec4deca4b3}</author>
    <author>tc={f6a6c779-fe72-4c9b-a0bf-b45c624d56c2}</author>
    <author>tc={f6a7a185-b0d1-447a-b2fd-e960f5987da2}</author>
    <author>tc={f6d9cf9d-510f-4933-9942-bc1f17d27d34}</author>
    <author>tc={f6e22ea7-10a4-43d4-8d34-2b8ee4754289}</author>
    <author>tc={f73834ff-56fd-46d1-b15c-831f79db59cd}</author>
    <author>tc={f75fd022-a621-4bf2-b2e0-4ac7fc863ead}</author>
    <author>tc={f780481f-f9d9-463d-9c85-306603f7fbdf}</author>
    <author>tc={f7814ac3-d398-43a2-8be8-8946378a3c17}</author>
    <author>tc={f7c29625-c8a3-486f-8ad3-f03661165415}</author>
    <author>tc={f85b6854-8c65-4d1d-8902-d4b36887399f}</author>
    <author>tc={f90e7227-2f46-4015-b7cc-cd9c9fd78258}</author>
    <author>tc={f96d5431-0be7-4e0d-abfa-972161c750ff}</author>
    <author>tc={f9e77ea2-c396-4b93-9954-66c86771aabf}</author>
    <author>tc={fa2152a3-0965-42fb-84ff-534bab17a4e4}</author>
    <author>tc={fa239c5b-35f7-4aee-9484-3d51ed451cc0}</author>
    <author>tc={fa399b80-99e8-48b7-b5d6-4275fa252cb2}</author>
    <author>tc={fa8ca91b-4677-4c82-a524-efd15a402f63}</author>
    <author>tc={faca8c53-7ab3-4109-906e-4820eb77f495}</author>
    <author>tc={fb0b4edb-e77a-4d67-b1ba-6826b73f9987}</author>
    <author>tc={fb0f37d7-9565-437c-8f90-a93ba2806aa0}</author>
    <author>tc={fb176d8d-4ab9-453b-93ea-2792c50cfb74}</author>
    <author>tc={fba0dff9-4663-4b9a-ad73-a657c7f7a662}</author>
    <author>tc={fc943304-4e8c-4851-ac7b-df9e522c37b3}</author>
    <author>tc={fcc3a908-9170-4c12-bdd5-48573f21c1f2}</author>
    <author>tc={fcca6a6e-7b47-4f2e-93bc-88b828cc5b1a}</author>
    <author>tc={fce6a4e3-ce63-474e-b05b-f5057628816e}</author>
    <author>tc={fcec030e-eebc-4045-9b4f-23d1a0129b02}</author>
    <author>tc={fd0a8476-4361-43c9-80a3-18a06ed7c8ee}</author>
    <author>tc={fd469813-f973-4e16-8351-4fb9566f9509}</author>
    <author>tc={fd4eef3c-1603-4ef4-9e4e-82fee0b6aad8}</author>
    <author>tc={fd6a9673-0ed1-4c82-8f05-e2ffc3e3e366}</author>
    <author>tc={fd808b99-0c6d-403a-a7a9-58a3e7abd560}</author>
    <author>tc={fdca5dc8-dfd1-4d07-8be2-f6405f45422c}</author>
    <author>tc={fdd4ea44-bd7e-4401-9a66-f7759f9e4555}</author>
    <author>tc={fe8cb1e8-09f0-45dc-bd5d-9fdee9819d9e}</author>
    <author>tc={fef65de5-7930-44ae-9c6e-16f0f2ca3c34}</author>
    <author>tc={ff2114b7-0dec-4ff4-9638-0c8785f701b8}</author>
    <author>tc={ff3d414e-801e-49cc-8d55-9a4aa9b0cf91}</author>
    <author>tc={ffdf608e-a47d-4199-bcde-42465a57c83b}</author>
    <author>tc={ffe1b57b-2b0d-46a6-a519-9030a1da19d1}</author>
  </authors>
  <commentList>
    <comment authorId="0" ref="T2">
      <text>
        <t xml:space="preserve">Please use both email and phone number if available.
</t>
      </text>
    </comment>
    <comment authorId="0" ref="AJ2">
      <text>
        <t xml:space="preserve">leave $0 if no additional deduction
 amt</t>
      </text>
    </comment>
    <comment authorId="0" ref="AK2">
      <text>
        <t xml:space="preserve">Calculated including VIP Fee
-upload into skyslope; input referral amount into skyslope
Opcity: ask eXp payment processor for agreement
Zillow Inc: pull referral agreement from PA app 
Homelight: 25%
HCO 25%
SoCalHomeBuyer: 30%
Outside Referral: ask Office Manager
OJO 
under $80,000 - 20%
$80,000 - $125,000 -25%
Over $125,000 - 35%</t>
      </text>
    </comment>
    <comment authorId="0" ref="AB9">
      <text>
        <t xml:space="preserve">Seller Virginia Kellison - Flex Seller</t>
      </text>
    </comment>
    <comment authorId="0" ref="AL2">
      <text>
        <t xml:space="preserve">Pending tab to reflect original advance amount + 1 month interest, closed tab to be updated with final due amount from seller. confirmed with comments.</t>
      </text>
    </comment>
    <comment authorId="0" ref="AP2">
      <text>
        <t xml:space="preserve">For Aileen</t>
      </text>
    </comment>
    <comment authorId="0" ref="AT2">
      <text>
        <t xml:space="preserve">1. Pending Splits (TC has verified commission/transaction fee/referral fees/concessions) add TS verified comment @isabel
2.Commission Disbursement- Dana approved splits; Commission Disbursement received; Commission breakdown sent to agent
3. Complete- payment remittance received; Isabel verifies correct payment</t>
      </text>
    </comment>
    <comment authorId="0" ref="AB14">
      <text>
        <t xml:space="preserve">There is a referral due to Cheree's previous broker.</t>
      </text>
    </comment>
    <comment authorId="1" xr:uid="{009ca082-cc4b-4d0f-85a7-9c3aa4d8640b}" ref="A1">
      <text>
        <t xml:space="preserve">[Threaded comment]
 Your version of Excel allows you to read this threaded comment; however, any edits to it will get removed if the file is opened in a newer version of Excel. Learn more: https://go.microsoft.com/fwlink/?linkid=870924
Comment:
	On Mon, Mar 31, 2025 at 1:39 PM Giuliana Mainardi &lt;gmainardi.mtg@gmail.com&gt; wrote:
HI Kenia,
They will not be opening escrow until Jaime is Park approved.
We are waiting for the park approval however I am waiting on an updated loan estimate to provide the park.
Thank you!
Reply:
	3.29 Per Petra: Hi Ladies, the offer is accepted, escrow however wants to have the buyer park approved prior to giving an escrow number.
</t>
      </text>
    </comment>
    <comment authorId="2" xr:uid="{00cf966d-d81d-48ba-8bfe-d5d97687a77b}" ref="A1">
      <text>
        <t xml:space="preserve">[Threaded comment]
 Your version of Excel allows you to read this threaded comment; however, any edits to it will get removed if the file is opened in a newer version of Excel. Learn more: https://go.microsoft.com/fwlink/?linkid=870924
Comment:
	1217 Leopard Ln 
AM verified.
@isabel@coryhometeam.com 
@kenia@coryhometeam.com 
6.18 CI sent to Escrow.
Assigned to isabel@coryhometeam.com
</t>
      </text>
    </comment>
    <comment authorId="3" xr:uid="{00de8bae-67f0-4fa1-a302-442b5c908ac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2.5 CI sent to Escrow.
Assigned to isabel@coryhometeam.com
</t>
      </text>
    </comment>
    <comment authorId="4" xr:uid="{00fec1d8-273f-4e96-b4d3-24d059e03436}" ref="A1">
      <text>
        <t xml:space="preserve">[Threaded comment]
 Your version of Excel allows you to read this threaded comment; however, any edits to it will get removed if the file is opened in a newer version of Excel. Learn more: https://go.microsoft.com/fwlink/?linkid=870924
Comment:
	3.27 LA commission at $100.00.
</t>
      </text>
    </comment>
    <comment authorId="5" xr:uid="{019d8845-41ac-4532-8109-c4c1dde7c0e4}" ref="A1">
      <text>
        <t xml:space="preserve">[Threaded comment]
 Your version of Excel allows you to read this threaded comment; however, any edits to it will get removed if the file is opened in a newer version of Excel. Learn more: https://go.microsoft.com/fwlink/?linkid=870924
Comment:
	40240 Brook Trails Way
AM verified.
@isabel@coryhometeam.com 
@kenia@coryhometeam.com 
7.24 CI sent to Escrow.
Assigned to isabel@coryhometeam.com
Reply:
	@isabel@coryhometeam.com 
@kenia@coryhometeam.com 
8.28 CI sent to Escrow.
</t>
      </text>
    </comment>
    <comment authorId="6" xr:uid="{01c345c2-6db8-47a1-aead-3e44dfdd5429}" ref="A1">
      <text>
        <t xml:space="preserve">[Threaded comment]
 Your version of Excel allows you to read this threaded comment; however, any edits to it will get removed if the file is opened in a newer version of Excel. Learn more: https://go.microsoft.com/fwlink/?linkid=870924
Comment:
	$450 to be deducted from Mark's commission to reimburse 10X for photos completed on his personal listing. Mark requested this in a text 02/03/25.
</t>
      </text>
    </comment>
    <comment authorId="7" xr:uid="{01e236b3-793a-4f6f-9d43-ff8f9b06ed9d}" ref="A1">
      <text>
        <t xml:space="preserve">[Threaded comment]
 Your version of Excel allows you to read this threaded comment; however, any edits to it will get removed if the file is opened in a newer version of Excel. Learn more: https://go.microsoft.com/fwlink/?linkid=870924
Comment:
	17 Days after the Seller delivers written notice removing the SPRP
</t>
      </text>
    </comment>
    <comment authorId="8" xr:uid="{029da55e-aade-40df-ab7f-15ec07394f24}" ref="A1">
      <text>
        <t xml:space="preserve">[Threaded comment]
 Your version of Excel allows you to read this threaded comment; however, any edits to it will get removed if the file is opened in a newer version of Excel. Learn more: https://go.microsoft.com/fwlink/?linkid=870924
Comment:
	HORATIO AVE @isabel@coryhometeam.com VERIFIED
Assigned to isabel@coryhometeam.com
</t>
      </text>
    </comment>
    <comment authorId="9" xr:uid="{02af233d-a410-4517-90a4-03321a3a0641}" ref="A1">
      <text>
        <t xml:space="preserve">[Threaded comment]
 Your version of Excel allows you to read this threaded comment; however, any edits to it will get removed if the file is opened in a newer version of Excel. Learn more: https://go.microsoft.com/fwlink/?linkid=870924
Comment:
	Commission is $1000
</t>
      </text>
    </comment>
    <comment authorId="10" xr:uid="{03065c2f-4aec-45ef-a903-27e9142ee29c}" ref="A1">
      <text>
        <t xml:space="preserve">[Threaded comment]
 Your version of Excel allows you to read this threaded comment; however, any edits to it will get removed if the file is opened in a newer version of Excel. Learn more: https://go.microsoft.com/fwlink/?linkid=870924
Comment:
	10.27 As per SMCO1, the commission is 2.5%. No take sheet has been provided by the agent. Three follow-up messages were sent today.
</t>
      </text>
    </comment>
    <comment authorId="11" xr:uid="{0336dbf6-ed50-46fc-b839-34ac758946f7}" ref="A1">
      <text>
        <t xml:space="preserve">[Threaded comment]
 Your version of Excel allows you to read this threaded comment; however, any edits to it will get removed if the file is opened in a newer version of Excel. Learn more: https://go.microsoft.com/fwlink/?linkid=870924
Comment:
	Rachele Lacey
12:11 PM (1 hour ago)
to me, Melissa
Yes
Rachele Lacey
REALTOR
Blake Cory Home Selling Team
Check Our Reviews on Zillow
Call me today at (619) 559-6176
https://rachele.searchcaliforniahomes.net/
DRE# 02223207
Broker: eXp Realty of California Inc. DRE#01878277
On Mon, Mar 3, 2025 at 11:30 AM Kenia Bautista &lt;kenia@coryhometeam.com&gt; wrote:
Hi Rachele, ok noted $2,900.00 Correct? 
On Mon, Mar 3, 2025 at 11:23 AM Rachele Lacey &lt;rachele@coryhometeam.com&gt; wrote:
Mel approves the adjustment in commission!
Rachele Lacey
REALTOR
Blake Cory Home Selling Team
Check Our Reviews on Zillow
Call me today at (619) 559-6176
https://rachele.searchcaliforniahomes.net/
DRE# 02223207
Broker: eXp Realty of California Inc. DRE#01878277
On Fri, Feb 28, 2025 at 6:26 PM Kenia Bautista &lt;kenia@coryhometeam.com&gt; wrote:
Rachele, was this Mel approved? 
We are required to provide an eXp Commission reduction form but I need Mel's approval so I can get that out for signatures. 
I believe the commission reduction amount is $2,900.00 Correct?
</t>
      </text>
    </comment>
    <comment authorId="12" xr:uid="{033a0ace-e63f-4a46-8e1a-633eea965339}" ref="A1">
      <text>
        <t xml:space="preserve">[Threaded comment]
 Your version of Excel allows you to read this threaded comment; however, any edits to it will get removed if the file is opened in a newer version of Excel. Learn more: https://go.microsoft.com/fwlink/?linkid=870924
Comment:
	22813 Mirileste Dr
AM verified.
@isabel@coryhometeam.com
@kenia@coryhometeam.com
11.21 CI sent to Escrow.
Assigned to isabel@coryhometeam.com
</t>
      </text>
    </comment>
    <comment authorId="13" xr:uid="{03c1c07a-c399-4282-917a-5f398e360b26}" ref="A1">
      <text>
        <t xml:space="preserve">[Threaded comment]
 Your version of Excel allows you to read this threaded comment; however, any edits to it will get removed if the file is opened in a newer version of Excel. Learn more: https://go.microsoft.com/fwlink/?linkid=870924
Comment:
	POPLAR CIRCLE @isabel@coryhometeam.com VERIFIED
Assigned to isabel@coryhometeam.com
</t>
      </text>
    </comment>
    <comment authorId="14" xr:uid="{03e04270-08e0-46db-9a7b-11eaff26e442}"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3.26 CI sent to Escrow.
Assigned to isabel@coryhometeam.com
</t>
      </text>
    </comment>
    <comment authorId="15" xr:uid="{03f6ff10-f5fa-413d-b075-4f76b79b488e}" ref="A1">
      <text>
        <t xml:space="preserve">[Threaded comment]
 Your version of Excel allows you to read this threaded comment; however, any edits to it will get removed if the file is opened in a newer version of Excel. Learn more: https://go.microsoft.com/fwlink/?linkid=870924
Comment:
	Update from New Build Team; COE has been extended to 03/31/25
Reply:
	Lender update advising COE has been pushed to 04/04/25
</t>
      </text>
    </comment>
    <comment authorId="16" xr:uid="{047c374f-6b20-4891-a3b5-10ed407f2627}" ref="A1">
      <text>
        <t xml:space="preserve">[Threaded comment]
 Your version of Excel allows you to read this threaded comment; however, any edits to it will get removed if the file is opened in a newer version of Excel. Learn more: https://go.microsoft.com/fwlink/?linkid=870924
Comment:
	Kendra Harlan
10:36 AM (20 minutes ago)
to Jacquie, me, Lyda, Serena
Hi Kenia,
We are not including the $595 fee for buy side. 
I got that approved by Mel, but I can cc her if you need her approval. 
Thanks!
</t>
      </text>
    </comment>
    <comment authorId="17" xr:uid="{048da284-bb0c-4d80-933f-100ac0d09e50}" ref="A1">
      <text>
        <t xml:space="preserve">[Threaded comment]
 Your version of Excel allows you to read this threaded comment; however, any edits to it will get removed if the file is opened in a newer version of Excel. Learn more: https://go.microsoft.com/fwlink/?linkid=870924
Comment:
	Commission is 4.0% of the original purchase price of $381,000
</t>
      </text>
    </comment>
    <comment authorId="18" xr:uid="{04917be0-bf7a-45a8-a024-7f5a01f48747}"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5.5 CI sent to Escrow.
Assigned to isabel@coryhometeam.com
</t>
      </text>
    </comment>
    <comment authorId="19" xr:uid="{04c4f60b-d5d1-4c4e-8e5d-b6280dc3af33}"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12.4 POPPY FIELD CT @isabel@coryhometeam.com VERIFIED
</t>
      </text>
    </comment>
    <comment authorId="20" xr:uid="{04d472bb-8487-40ae-8647-3d02cf0f4334}" ref="A1">
      <text>
        <t xml:space="preserve">[Threaded comment]
 Your version of Excel allows you to read this threaded comment; however, any edits to it will get removed if the file is opened in a newer version of Excel. Learn more: https://go.microsoft.com/fwlink/?linkid=870924
Comment:
	CABELA DR @isabel@coryhometeam.com VERIFIED
Assigned to isabel@coryhometeam.com
</t>
      </text>
    </comment>
    <comment authorId="21" xr:uid="{05455023-632e-4a88-815c-b8152c34a78e}" ref="AD59">
      <text>
        <t xml:space="preserve">[Threaded comment]
 Your version of Excel allows you to read this threaded comment; however, any edits to it will get removed if the file is opened in a newer version of Excel. Learn more: https://go.microsoft.com/fwlink/?linkid=870924
Comment:
	$10,695.00
</t>
      </text>
    </comment>
    <comment authorId="22" xr:uid="{05646f1a-69ee-42e4-b29c-b0cf01fd4cbb}" ref="A1">
      <text>
        <t xml:space="preserve">[Threaded comment]
 Your version of Excel allows you to read this threaded comment; however, any edits to it will get removed if the file is opened in a newer version of Excel. Learn more: https://go.microsoft.com/fwlink/?linkid=870924
Comment:
	SCARLET OAK DR @isabel@coryhometeam.com VERIFIED
Assigned to isabel@coryhometeam.com
</t>
      </text>
    </comment>
    <comment authorId="23" xr:uid="{059bb3c5-657e-461b-bd03-613c7544a1a3}" ref="A1">
      <text>
        <t xml:space="preserve">[Threaded comment]
 Your version of Excel allows you to read this threaded comment; however, any edits to it will get removed if the file is opened in a newer version of Excel. Learn more: https://go.microsoft.com/fwlink/?linkid=870924
Comment:
	64111 Apache Mountain
AM verified.
@isabel@coryhometeam.com 
@kenia@coryhometeam.com 
7.11 CI sent to Escrow.
Assigned to isabel@coryhometeam.com
</t>
      </text>
    </comment>
    <comment authorId="24" xr:uid="{061bcd2f-2772-471c-822c-6132d98ee3f5}" ref="A1">
      <text>
        <t xml:space="preserve">[Threaded comment]
 Your version of Excel allows you to read this threaded comment; however, any edits to it will get removed if the file is opened in a newer version of Excel. Learn more: https://go.microsoft.com/fwlink/?linkid=870924
Comment:
	4/20/25-4/21/25
</t>
      </text>
    </comment>
    <comment authorId="25" xr:uid="{061f11fa-7b12-4ec6-916f-41cc9e72d1c8}"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Please process on both boards, this is going straigh to ACTIVE this week. RLA signed 04/16
Assigned to aileen@coryhometeam.com
</t>
      </text>
    </comment>
    <comment authorId="26" xr:uid="{06b2b3bc-7081-4f0b-a863-da89678827b0}" ref="A1">
      <text>
        <t xml:space="preserve">[Threaded comment]
 Your version of Excel allows you to read this threaded comment; however, any edits to it will get removed if the file is opened in a newer version of Excel. Learn more: https://go.microsoft.com/fwlink/?linkid=870924
Comment:
	APPLE BLOSSOM @isabel@coryhometeam.com VERIFIED
Assigned to isabel@coryhometeam.com
</t>
      </text>
    </comment>
    <comment authorId="27" xr:uid="{07ae263e-5cc5-4ff1-97d3-5d3dc9401c57}" ref="A1">
      <text>
        <t xml:space="preserve">[Threaded comment]
 Your version of Excel allows you to read this threaded comment; however, any edits to it will get removed if the file is opened in a newer version of Excel. Learn more: https://go.microsoft.com/fwlink/?linkid=870924
Comment:
	ADM1 
Buyer is switching from using a loan to paying with all cash for property. Listing agent and selling agent to each offer buyer
$500 credit towards closing costs. Buyer is satisfied with home purchase based on inspections and removes ALL buyer
contingencies (with the exception of POA/HOA document review). All other terms to remain.
</t>
      </text>
    </comment>
    <comment authorId="28" xr:uid="{07e4b77b-baa7-446c-a365-ea028af5f485}"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5.13 CI sent to Escrow.
Assigned to isabel@coryhometeam.com
</t>
      </text>
    </comment>
    <comment authorId="29" xr:uid="{07fac7ca-6ef1-404b-a83f-729ef2aeeb61}" ref="A1">
      <text>
        <t xml:space="preserve">[Threaded comment]
 Your version of Excel allows you to read this threaded comment; however, any edits to it will get removed if the file is opened in a newer version of Excel. Learn more: https://go.microsoft.com/fwlink/?linkid=870924
Comment:
	2.3 Please see price reduction as per ADM2.
</t>
      </text>
    </comment>
    <comment authorId="30" xr:uid="{086a6cc3-6388-4f89-8b27-2874d860b3fb}" ref="A1">
      <text>
        <t xml:space="preserve">[Threaded comment]
 Your version of Excel allows you to read this threaded comment; however, any edits to it will get removed if the file is opened in a newer version of Excel. Learn more: https://go.microsoft.com/fwlink/?linkid=870924
Comment:
	5.21 NEW COE from 5.27 to 6.6 as per ETA.
</t>
      </text>
    </comment>
    <comment authorId="31" xr:uid="{08c0c49d-bd66-4430-aeb6-81f6febcedb9}" ref="A1">
      <text>
        <t xml:space="preserve">[Threaded comment]
 Your version of Excel allows you to read this threaded comment; however, any edits to it will get removed if the file is opened in a newer version of Excel. Learn more: https://go.microsoft.com/fwlink/?linkid=870924
Comment:
	4.24 App &amp; Loan Contingences extended to to 4.28 as per ETA1.
</t>
      </text>
    </comment>
    <comment authorId="32" xr:uid="{08eb42ab-ec0f-4447-9136-c12577ace4c9}" ref="A1">
      <text>
        <t xml:space="preserve">[Threaded comment]
 Your version of Excel allows you to read this threaded comment; however, any edits to it will get removed if the file is opened in a newer version of Excel. Learn more: https://go.microsoft.com/fwlink/?linkid=870924
Comment:
	CORTE MAGDALENA @isabel@coryhometeam.com VERIFIED
Assigned to isabel@coryhometeam.com
</t>
      </text>
    </comment>
    <comment authorId="33" xr:uid="{0920fc8e-582d-422b-8670-6f5733e195ca}" ref="A1">
      <text>
        <t xml:space="preserve">[Threaded comment]
 Your version of Excel allows you to read this threaded comment; however, any edits to it will get removed if the file is opened in a newer version of Excel. Learn more: https://go.microsoft.com/fwlink/?linkid=870924
Comment:
	3340 Del Sol Blvd #126
AM verified.
@isabel@coryhometeam.com
@kenia@coryhometeam.com
11.4 CI sent to Escrow.
Assigned to isabel@coryhometeam.com
</t>
      </text>
    </comment>
    <comment authorId="34" xr:uid="{0943b18a-d14f-4aa2-846d-c4a668d038a1}" ref="A1">
      <text>
        <t xml:space="preserve">[Threaded comment]
 Your version of Excel allows you to read this threaded comment; however, any edits to it will get removed if the file is opened in a newer version of Excel. Learn more: https://go.microsoft.com/fwlink/?linkid=870924
Comment:
	4.16 Per Jenna: After sale of there home.
</t>
      </text>
    </comment>
    <comment authorId="35" xr:uid="{0945a558-fe96-49a3-917c-a913721f1f69}" ref="A1">
      <text>
        <t xml:space="preserve">[Threaded comment]
 Your version of Excel allows you to read this threaded comment; however, any edits to it will get removed if the file is opened in a newer version of Excel. Learn more: https://go.microsoft.com/fwlink/?linkid=870924
Comment:
	7.16 New COE as per ETA.
</t>
      </text>
    </comment>
    <comment authorId="36" xr:uid="{09ab6840-eb5a-4c2d-957d-08db6dc5a9e1}" ref="A1">
      <text>
        <t xml:space="preserve">[Threaded comment]
 Your version of Excel allows you to read this threaded comment; however, any edits to it will get removed if the file is opened in a newer version of Excel. Learn more: https://go.microsoft.com/fwlink/?linkid=870924
Comment:
	To be taken off the top of the commmission being split between Ronda and Bridget for credit to the Buyer for carpet cleaning.
</t>
      </text>
    </comment>
    <comment authorId="37" xr:uid="{09ac6329-e5f6-4502-9607-91be44d88374}" ref="A1">
      <text>
        <t xml:space="preserve">[Threaded comment]
 Your version of Excel allows you to read this threaded comment; however, any edits to it will get removed if the file is opened in a newer version of Excel. Learn more: https://go.microsoft.com/fwlink/?linkid=870924
Comment:
	TURNBERRY ST @isabel@coryhometeam.com VERIFIED
Assigned to isabel@coryhometeam.com
</t>
      </text>
    </comment>
    <comment authorId="38" xr:uid="{09bb713f-c5f7-4682-b8d1-7a3bcfc839b2}" ref="A1">
      <text>
        <t xml:space="preserve">[Threaded comment]
 Your version of Excel allows you to read this threaded comment; however, any edits to it will get removed if the file is opened in a newer version of Excel. Learn more: https://go.microsoft.com/fwlink/?linkid=870924
Comment:
	CRISS AVE @isabel@coryhometeam.com VERIFIED
Assigned to isabel@coryhometeam.com
</t>
      </text>
    </comment>
    <comment authorId="39" xr:uid="{0a24af61-2764-48cf-bc85-0bf77489b853}"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4.23 CI sent to Escrow.
Assigned to isabel@coryhometeam.com
</t>
      </text>
    </comment>
    <comment authorId="40" xr:uid="{0a62db3d-1fa4-48ac-993e-32660a1ec519}" ref="A1">
      <text>
        <t xml:space="preserve">[Threaded comment]
 Your version of Excel allows you to read this threaded comment; however, any edits to it will get removed if the file is opened in a newer version of Excel. Learn more: https://go.microsoft.com/fwlink/?linkid=870924
Comment:
	18071 Sycamore St
AM verified.
@isabel@coryhometeam.com 
@kenia@coryhometeam.com 
5.28 CI sent to Escrow.
Assigned to isabel@coryhometeam.com
</t>
      </text>
    </comment>
    <comment authorId="41" xr:uid="{0a7ad40b-a8a2-484f-b707-b0332fee2cdf}" ref="A1">
      <text>
        <t xml:space="preserve">[Threaded comment]
 Your version of Excel allows you to read this threaded comment; however, any edits to it will get removed if the file is opened in a newer version of Excel. Learn more: https://go.microsoft.com/fwlink/?linkid=870924
Comment:
	Buyers Agent compensation of $7,000
</t>
      </text>
    </comment>
    <comment authorId="42" xr:uid="{0aa71d8e-f53c-4c42-bf24-3a27f64349c3}" ref="A1">
      <text>
        <t xml:space="preserve">[Threaded comment]
 Your version of Excel allows you to read this threaded comment; however, any edits to it will get removed if the file is opened in a newer version of Excel. Learn more: https://go.microsoft.com/fwlink/?linkid=870924
Comment:
	4.7 Per LA: We are still waiting on Park Approval. The Park Manager, Kellee, indicated that we should expect a decision from the park early this week.
Also, we have not received the seller disclosures. Are those now ready for review? Please advise!
</t>
      </text>
    </comment>
    <comment authorId="43" xr:uid="{0bc767f5-3c41-4da0-bc2d-7ed1710e1d7d}" ref="A1">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upon the buyer’s delivery of property evidence or the removal of the Contingency of Purchase (COP 11.A).
</t>
      </text>
    </comment>
    <comment authorId="44" xr:uid="{0bd5cce0-2e5d-4974-a729-d43c4bddeb8f}" ref="A1">
      <text>
        <t xml:space="preserve">[Threaded comment]
 Your version of Excel allows you to read this threaded comment; however, any edits to it will get removed if the file is opened in a newer version of Excel. Learn more: https://go.microsoft.com/fwlink/?linkid=870924
Comment:
	6/25/25-6/27/25
</t>
      </text>
    </comment>
    <comment authorId="45" xr:uid="{0c2becad-feab-467f-9dbd-d56908349727}"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This one was wet signed and needs to be processed. This is also ACTIVE on the MLS. Please update immediately.
Assigned to aileen@coryhometeam.com
</t>
      </text>
    </comment>
    <comment authorId="46" xr:uid="{0c739895-5113-40c5-accc-d41dfa407905}" ref="A1">
      <text>
        <t xml:space="preserve">[Threaded comment]
 Your version of Excel allows you to read this threaded comment; however, any edits to it will get removed if the file is opened in a newer version of Excel. Learn more: https://go.microsoft.com/fwlink/?linkid=870924
Comment:
	1455 S State St #282
AM verified.
@isabel@coryhometeam.com
@kenia@coryhometeam.com
9.2 CI sent to Escrow.
Assigned to isabel@coryhometeam.com
</t>
      </text>
    </comment>
    <comment authorId="47" xr:uid="{0cefedec-e0d9-4517-9726-c7f1115f2853}" ref="A1">
      <text>
        <t xml:space="preserve">[Threaded comment]
 Your version of Excel allows you to read this threaded comment; however, any edits to it will get removed if the file is opened in a newer version of Excel. Learn more: https://go.microsoft.com/fwlink/?linkid=870924
Comment:
	Kiona told not a good fit
</t>
      </text>
    </comment>
    <comment authorId="48" xr:uid="{0cf39054-b208-419b-8c17-c8f42d86b299}" ref="A1">
      <text>
        <t xml:space="preserve">[Threaded comment]
 Your version of Excel allows you to read this threaded comment; however, any edits to it will get removed if the file is opened in a newer version of Excel. Learn more: https://go.microsoft.com/fwlink/?linkid=870924
Comment:
	10.16 The buyer had changed lender from Chase to Rocket Mortgage.
</t>
      </text>
    </comment>
    <comment authorId="49" xr:uid="{0d58cccc-d79d-41a8-8be9-08a438de1977}" ref="A1">
      <text>
        <t xml:space="preserve">[Threaded comment]
 Your version of Excel allows you to read this threaded comment; however, any edits to it will get removed if the file is opened in a newer version of Excel. Learn more: https://go.microsoft.com/fwlink/?linkid=870924
Comment:
	Off the top credit toward Seller Home Warranty Coverage
</t>
      </text>
    </comment>
    <comment authorId="50" xr:uid="{0d769449-f7f0-4655-9fae-9855cf7dc02b}"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4.11 CI sent to Escrow.
Assigned to isabel@coryhometeam.com
</t>
      </text>
    </comment>
    <comment authorId="51" xr:uid="{0d82fbde-75d1-42eb-b02c-15f6735f7223}"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2.6 CI sent to Escrow.
Assigned to isabel@coryhometeam.com
</t>
      </text>
    </comment>
    <comment authorId="52" xr:uid="{0d856646-29b6-493b-9f6f-9f8283764322}"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4.10 CI sent to Escrow.
Assigned to isabel@coryhometeam.com
</t>
      </text>
    </comment>
    <comment authorId="53" xr:uid="{0ea398c3-d574-4713-92d2-739f261f3776}" ref="W32">
      <text>
        <t xml:space="preserve">[Threaded comment]
 Your version of Excel allows you to read this threaded comment; however, any edits to it will get removed if the file is opened in a newer version of Excel. Learn more: https://go.microsoft.com/fwlink/?linkid=870924
Comment:
	All timelines under this agreement shall commence the day after the Seller delivers written notice to the Buyer removing the Finding Replacement Property Contingency specified in Paragraph 1A.
</t>
      </text>
    </comment>
    <comment authorId="54" xr:uid="{0ed22a62-5ee3-4e7e-99c2-ae2a17f8a40c}" ref="A1">
      <text>
        <t xml:space="preserve">[Threaded comment]
 Your version of Excel allows you to read this threaded comment; however, any edits to it will get removed if the file is opened in a newer version of Excel. Learn more: https://go.microsoft.com/fwlink/?linkid=870924
Comment:
	STARGAZER AVE @isabel@coryhometeam.com VERIFIED
Assigned to isabel@coryhometeam.com
</t>
      </text>
    </comment>
    <comment authorId="55" xr:uid="{0ed44129-f956-498a-937f-79b95c6ba7c4}" ref="A1">
      <text>
        <t xml:space="preserve">[Threaded comment]
 Your version of Excel allows you to read this threaded comment; however, any edits to it will get removed if the file is opened in a newer version of Excel. Learn more: https://go.microsoft.com/fwlink/?linkid=870924
Comment:
	4901 Green River Road #275
AM verified.
@isabel@coryhometeam.com 
@kenia@coryhometeam.com 
5.28 CI sent to Escrow.
Assigned to isabel@coryhometeam.com
</t>
      </text>
    </comment>
    <comment authorId="56" xr:uid="{0ee84f7e-530f-494d-ad4d-4ddc0a3afb8b}" ref="A1">
      <text>
        <t xml:space="preserve">[Threaded comment]
 Your version of Excel allows you to read this threaded comment; however, any edits to it will get removed if the file is opened in a newer version of Excel. Learn more: https://go.microsoft.com/fwlink/?linkid=870924
Comment:
	This listing was prior to 10/01, old splits should apply.
Reply:
	@isabel@coryhometeam.com
</t>
      </text>
    </comment>
    <comment authorId="57" xr:uid="{1016b023-bcf5-4ed2-9c6b-394c3316b575}" ref="A1">
      <text>
        <t xml:space="preserve">[Threaded comment]
 Your version of Excel allows you to read this threaded comment; however, any edits to it will get removed if the file is opened in a newer version of Excel. Learn more: https://go.microsoft.com/fwlink/?linkid=870924
Comment:
	This is off the top.
This is the cost for the Sellers Home Warranty Coverage during the Listing period.
</t>
      </text>
    </comment>
    <comment authorId="58" xr:uid="{1018f52d-0969-428c-a3a7-7b90d6b34602}" ref="A1">
      <text>
        <t xml:space="preserve">[Threaded comment]
 Your version of Excel allows you to read this threaded comment; however, any edits to it will get removed if the file is opened in a newer version of Excel. Learn more: https://go.microsoft.com/fwlink/?linkid=870924
Comment:
	MAHOGANY TRAIL WAY @isabel@coryhometeam.com VERIFIED
Assigned to isabel@coryhometeam.com
</t>
      </text>
    </comment>
    <comment authorId="59" xr:uid="{1066eae4-077f-43ec-97ea-c7620717d017}" ref="A1">
      <text>
        <t xml:space="preserve">[Threaded comment]
 Your version of Excel allows you to read this threaded comment; however, any edits to it will get removed if the file is opened in a newer version of Excel. Learn more: https://go.microsoft.com/fwlink/?linkid=870924
Comment:
	MOHAVE DR. @isabel@coryhometeam.com VERIFIED
Assigned to isabel@coryhometeam.com
</t>
      </text>
    </comment>
    <comment authorId="60" xr:uid="{107444ed-3c63-4e2a-a6a9-a5e6f236818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1.10 CI sent to Escrow.
Assigned to isabel@coryhometeam.com
</t>
      </text>
    </comment>
    <comment authorId="61" xr:uid="{1094d3dc-a9e4-4fb5-a96d-f379ab1277b9}" ref="A1">
      <text>
        <t xml:space="preserve">[Threaded comment]
 Your version of Excel allows you to read this threaded comment; however, any edits to it will get removed if the file is opened in a newer version of Excel. Learn more: https://go.microsoft.com/fwlink/?linkid=870924
Comment:
	1.23 This will be the 3rd or new lender.
</t>
      </text>
    </comment>
    <comment authorId="62" xr:uid="{1123bab0-c233-4b85-aebe-1bf8c58ed7a2}" ref="A1">
      <text>
        <t xml:space="preserve">[Threaded comment]
 Your version of Excel allows you to read this threaded comment; however, any edits to it will get removed if the file is opened in a newer version of Excel. Learn more: https://go.microsoft.com/fwlink/?linkid=870924
Comment:
	Sellers Choice per RPA.
</t>
      </text>
    </comment>
    <comment authorId="63" xr:uid="{116e80e4-a8b3-4b89-8cf0-a577b8a300a0}" ref="A1">
      <text>
        <t xml:space="preserve">[Threaded comment]
 Your version of Excel allows you to read this threaded comment; however, any edits to it will get removed if the file is opened in a newer version of Excel. Learn more: https://go.microsoft.com/fwlink/?linkid=870924
Comment:
	Secure NHD
</t>
      </text>
    </comment>
    <comment authorId="64" xr:uid="{121b2c68-0c17-4e6f-ad33-50d7f6169e37}" ref="A1">
      <text>
        <t xml:space="preserve">[Threaded comment]
 Your version of Excel allows you to read this threaded comment; however, any edits to it will get removed if the file is opened in a newer version of Excel. Learn more: https://go.microsoft.com/fwlink/?linkid=870924
Comment:
	SUMMERSET DR @isabel@coryhometeam.com VERIFIED
Assigned to isabel@coryhometeam.com
</t>
      </text>
    </comment>
    <comment authorId="65" xr:uid="{1248849b-0a15-4162-9c14-e83abe60532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1.6 CI sent to Escrow,
Assigned to isabel@coryhometeam.com
</t>
      </text>
    </comment>
    <comment authorId="66" xr:uid="{12a01f3f-3fad-46ba-85bf-e87a623f6d28}" ref="A1">
      <text>
        <t xml:space="preserve">[Threaded comment]
 Your version of Excel allows you to read this threaded comment; however, any edits to it will get removed if the file is opened in a newer version of Excel. Learn more: https://go.microsoft.com/fwlink/?linkid=870924
Comment:
	MEADOW LARK AVE @isabel@coryhometeam.com VERIFIED
Assigned to isabel@coryhometeam.com
</t>
      </text>
    </comment>
    <comment authorId="67" xr:uid="{12d83ca4-1624-4232-8be2-d0ca818d9add}" ref="A1">
      <text>
        <t xml:space="preserve">[Threaded comment]
 Your version of Excel allows you to read this threaded comment; however, any edits to it will get removed if the file is opened in a newer version of Excel. Learn more: https://go.microsoft.com/fwlink/?linkid=870924
Comment:
	350 E San Jacinto Ave #49
AM verified.
@isabel@coryhometeam.com 
@kenia@coryhometeam.com 
7.15 CI sent to Escrow.
Assigned to isabel@coryhometeam.com
</t>
      </text>
    </comment>
    <comment authorId="68" xr:uid="{131217c2-dca2-4236-bf91-6fec551c6b00}" ref="A1">
      <text>
        <t xml:space="preserve">[Threaded comment]
 Your version of Excel allows you to read this threaded comment; however, any edits to it will get removed if the file is opened in a newer version of Excel. Learn more: https://go.microsoft.com/fwlink/?linkid=870924
Comment:
	CHAPAE LN @isabel@coryhometeam.com VERIFIED
Assigned to isabel@coryhometeam.com
</t>
      </text>
    </comment>
    <comment authorId="69" xr:uid="{1350081d-31c7-4b78-a801-67f1e82a55b1}" ref="A1">
      <text>
        <t xml:space="preserve">[Threaded comment]
 Your version of Excel allows you to read this threaded comment; however, any edits to it will get removed if the file is opened in a newer version of Excel. Learn more: https://go.microsoft.com/fwlink/?linkid=870924
Comment:
	CAPALINA RD @isabel@coryhometeam.com VERIFIED
Assigned to isabel@coryhometeam.com
</t>
      </text>
    </comment>
    <comment authorId="70" xr:uid="{1388f55e-9972-4e2b-a79d-51ca68728ae4}" ref="A1">
      <text>
        <t xml:space="preserve">[Threaded comment]
 Your version of Excel allows you to read this threaded comment; however, any edits to it will get removed if the file is opened in a newer version of Excel. Learn more: https://go.microsoft.com/fwlink/?linkid=870924
Comment:
	1.9 Per Kenia the buyer opted out to a new lender. Sent an email to get the new PAL.
</t>
      </text>
    </comment>
    <comment authorId="71" xr:uid="{13ba2b28-bfda-42fd-87c3-d8993f1599cf}" ref="A1">
      <text>
        <t xml:space="preserve">[Threaded comment]
 Your version of Excel allows you to read this threaded comment; however, any edits to it will get removed if the file is opened in a newer version of Excel. Learn more: https://go.microsoft.com/fwlink/?linkid=870924
Comment:
	566 Ebbtide Cir
AM verified.
7.31 CI sent to Escrow.
@isabel@coryhometeam.com 
@kenia@coryhometeam.com
Assigned to isabel@coryhometeam.com
</t>
      </text>
    </comment>
    <comment authorId="72" xr:uid="{13cdfa9a-1a8e-456b-893b-ea976ac2d4d5}" ref="A1">
      <text>
        <t xml:space="preserve">[Threaded comment]
 Your version of Excel allows you to read this threaded comment; however, any edits to it will get removed if the file is opened in a newer version of Excel. Learn more: https://go.microsoft.com/fwlink/?linkid=870924
Comment:
	CHEROKEE ROSE ST @isabel@coryhometeam.com VERIFIED
Assigned to isabel@coryhometeam.com
</t>
      </text>
    </comment>
    <comment authorId="73" xr:uid="{13d7b5f5-a452-4b4f-9386-18a4725b362e}" ref="A1">
      <text>
        <t xml:space="preserve">[Threaded comment]
 Your version of Excel allows you to read this threaded comment; however, any edits to it will get removed if the file is opened in a newer version of Excel. Learn more: https://go.microsoft.com/fwlink/?linkid=870924
Comment:
	4.10 This contingency has been removed before lifting the CR-S1 SPRP.
</t>
      </text>
    </comment>
    <comment authorId="74" xr:uid="{143d1a70-fc91-4ca2-b882-5bf26aa9a974}"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11.21 AM verified.
@isabel@coryhometeam.com 
@kenia@coryhometeam.com 
11.21 CI sent to Escrow.
</t>
      </text>
    </comment>
    <comment authorId="75" xr:uid="{144213bd-9e9e-4a66-ab2b-737bc2d5e53c}"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5.13 CI sent to Escrow.
Assigned to isabel@coryhometeam.com
</t>
      </text>
    </comment>
    <comment authorId="76" xr:uid="{14885b39-4dfc-4f90-9ee5-544d6250f815}" ref="A1">
      <text>
        <t xml:space="preserve">[Threaded comment]
 Your version of Excel allows you to read this threaded comment; however, any edits to it will get removed if the file is opened in a newer version of Excel. Learn more: https://go.microsoft.com/fwlink/?linkid=870924
Comment:
	3.1 Please see note on the file review.
</t>
      </text>
    </comment>
    <comment authorId="77" xr:uid="{15a9ec00-4833-4b3f-8181-ac5ec6957e5a}"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4.15 CI sent to Escrow.
Assigned to isabel@coryhometeam.com
Reply:
	4.28 REVISED CI sent to Escrow.
@isabel@coryhometeam.com
</t>
      </text>
    </comment>
    <comment authorId="78" xr:uid="{15dfdbf5-90c8-41c3-a16c-a676332088c1}" ref="A1">
      <text>
        <t xml:space="preserve">[Threaded comment]
 Your version of Excel allows you to read this threaded comment; however, any edits to it will get removed if the file is opened in a newer version of Excel. Learn more: https://go.microsoft.com/fwlink/?linkid=870924
Comment:
	750 E Rialto Ave # 77
8.3 ETA COE 8.8 out for signature.
</t>
      </text>
    </comment>
    <comment authorId="79" xr:uid="{15f5ea6e-008c-4c05-ae4b-e789b64ef60e}" ref="A1">
      <text>
        <t xml:space="preserve">[Threaded comment]
 Your version of Excel allows you to read this threaded comment; however, any edits to it will get removed if the file is opened in a newer version of Excel. Learn more: https://go.microsoft.com/fwlink/?linkid=870924
Comment:
	signed contract, but asked to hold off because she was sick, and now Mel and I havent heard from her.
Reply:
	met with Diana yesterday, shes finally ready to get started, contract resent for signature
Reply:
	Diana said she has been sick but will begin the application this week.
</t>
      </text>
    </comment>
    <comment authorId="80" xr:uid="{16beb964-aae3-4cf3-a961-ddb175e005e1}" ref="A1">
      <text>
        <t xml:space="preserve">[Threaded comment]
 Your version of Excel allows you to read this threaded comment; however, any edits to it will get removed if the file is opened in a newer version of Excel. Learn more: https://go.microsoft.com/fwlink/?linkid=870924
Comment:
	12650 Kingfisher Rd
AM verified.
@isabel@coryhometeam.com 
@kenia@coryhometeam.com 
7.10 CI sent to Escrow.
Assigned to isabel@coryhometeam.com
</t>
      </text>
    </comment>
    <comment authorId="81" xr:uid="{1708a9c6-150c-42ae-96ca-cb32522def44}" ref="A1">
      <text>
        <t xml:space="preserve">[Threaded comment]
 Your version of Excel allows you to read this threaded comment; however, any edits to it will get removed if the file is opened in a newer version of Excel. Learn more: https://go.microsoft.com/fwlink/?linkid=870924
Comment:
	6.3 Ana Espino removed from this transaction as per AOAA.
</t>
      </text>
    </comment>
    <comment authorId="82" xr:uid="{172df199-2280-41c8-a143-144ba97aae9e}" ref="A1">
      <text>
        <t xml:space="preserve">[Threaded comment]
 Your version of Excel allows you to read this threaded comment; however, any edits to it will get removed if the file is opened in a newer version of Excel. Learn more: https://go.microsoft.com/fwlink/?linkid=870924
Comment:
	Credit to Seller approved by Mel via text 05/12/25
</t>
      </text>
    </comment>
    <comment authorId="83" xr:uid="{1795088c-8781-424d-9fff-1c9bc5d2785e}" ref="A1">
      <text>
        <t xml:space="preserve">[Threaded comment]
 Your version of Excel allows you to read this threaded comment; however, any edits to it will get removed if the file is opened in a newer version of Excel. Learn more: https://go.microsoft.com/fwlink/?linkid=870924
Comment:
	@dana@coryhometeam.com this is the minimum EXP is requiring on my transactions with Blake until I hit my minimum with them.
</t>
      </text>
    </comment>
    <comment authorId="84" xr:uid="{17fb1f98-f55a-4438-b7b0-1120ac76f304}" ref="A1">
      <text>
        <t xml:space="preserve">[Threaded comment]
 Your version of Excel allows you to read this threaded comment; however, any edits to it will get removed if the file is opened in a newer version of Excel. Learn more: https://go.microsoft.com/fwlink/?linkid=870924
Comment:
	Kiona approved fee to be waived in text 02/19/25
</t>
      </text>
    </comment>
    <comment authorId="85" xr:uid="{180c20a7-b318-475d-bb6b-7aa1df048689}" ref="A1">
      <text>
        <t xml:space="preserve">[Threaded comment]
 Your version of Excel allows you to read this threaded comment; however, any edits to it will get removed if the file is opened in a newer version of Excel. Learn more: https://go.microsoft.com/fwlink/?linkid=870924
Comment:
	17170, 17162 Grand Ave
AM verified.
7.31 CI sent to Escrow.
@isabel@coryhometeam.com 
@kenia@coryhometeam.com
</t>
      </text>
    </comment>
    <comment authorId="86" xr:uid="{18912d69-7c53-452c-8565-9121c6ba8910}" ref="A1">
      <text>
        <t xml:space="preserve">[Threaded comment]
 Your version of Excel allows you to read this threaded comment; however, any edits to it will get removed if the file is opened in a newer version of Excel. Learn more: https://go.microsoft.com/fwlink/?linkid=870924
Comment:
	9.9 ETA (COE 9.12) out for signature.
</t>
      </text>
    </comment>
    <comment authorId="87" xr:uid="{189d8c85-5fa5-414e-aae1-de790ba0aae9}"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12.30 AM verified.
@isabel@coryhometeam.com 
@kenia@coryhometeam.com 
12.30 CI sent to Escrow.
</t>
      </text>
    </comment>
    <comment authorId="88" xr:uid="{18f3bb6b-2792-483c-b90a-8dd7d7663066}" ref="A1">
      <text>
        <t xml:space="preserve">[Threaded comment]
 Your version of Excel allows you to read this threaded comment; however, any edits to it will get removed if the file is opened in a newer version of Excel. Learn more: https://go.microsoft.com/fwlink/?linkid=870924
Comment:
	ALRU ST @isabel@coryhometeam.com VERIFIED
Assigned to isabel@coryhometeam.com
</t>
      </text>
    </comment>
    <comment authorId="89" xr:uid="{19c62d5d-616b-4538-a209-e54b90d18e07}" ref="A1">
      <text>
        <t xml:space="preserve">[Threaded comment]
 Your version of Excel allows you to read this threaded comment; however, any edits to it will get removed if the file is opened in a newer version of Excel. Learn more: https://go.microsoft.com/fwlink/?linkid=870924
Comment:
	4.16 Per Jenna's take sheet her commission is $16,840.
</t>
      </text>
    </comment>
    <comment authorId="90" xr:uid="{19f2512f-f1e6-4caf-b39d-6f3a50b52231}" ref="A1">
      <text>
        <t xml:space="preserve">[Threaded comment]
 Your version of Excel allows you to read this threaded comment; however, any edits to it will get removed if the file is opened in a newer version of Excel. Learn more: https://go.microsoft.com/fwlink/?linkid=870924
Comment:
	Splits ready, Addison's split will be on Comment box (He's not with CHT in SS) @dana@coryhometeam.com
</t>
      </text>
    </comment>
    <comment authorId="91" xr:uid="{1a0d46e9-e600-46ca-96c1-afec618169b8}" ref="A1">
      <text>
        <t xml:space="preserve">[Threaded comment]
 Your version of Excel allows you to read this threaded comment; however, any edits to it will get removed if the file is opened in a newer version of Excel. Learn more: https://go.microsoft.com/fwlink/?linkid=870924
Comment:
	4.24 Per Petra's take sheet the commission is $6K flat fee.
</t>
      </text>
    </comment>
    <comment authorId="92" xr:uid="{1adb4316-6f3e-47b3-8772-dbe64916009a}" ref="A1">
      <text>
        <t xml:space="preserve">[Threaded comment]
 Your version of Excel allows you to read this threaded comment; however, any edits to it will get removed if the file is opened in a newer version of Excel. Learn more: https://go.microsoft.com/fwlink/?linkid=870924
Comment:
	VIA LA RUEDA @isabel@coryhometeam.com VERIFIED
Assigned to isabel@coryhometeam.com
</t>
      </text>
    </comment>
    <comment authorId="93" xr:uid="{1ae76984-c3bf-4770-896c-5eeda5b4448b}" ref="A1">
      <text>
        <t xml:space="preserve">[Threaded comment]
 Your version of Excel allows you to read this threaded comment; however, any edits to it will get removed if the file is opened in a newer version of Excel. Learn more: https://go.microsoft.com/fwlink/?linkid=870924
Comment:
	4.30 Per Christian:  This one is no longer going financing. Has switched to all cash.
</t>
      </text>
    </comment>
    <comment authorId="94" xr:uid="{1b4fa215-a0c3-4b6d-9f0b-ffe40ac479c7}" ref="A1">
      <text>
        <t xml:space="preserve">[Threaded comment]
 Your version of Excel allows you to read this threaded comment; however, any edits to it will get removed if the file is opened in a newer version of Excel. Learn more: https://go.microsoft.com/fwlink/?linkid=870924
Comment:
	W ACACIA AVE @isabel@coryhometeam.com VERIFIED
Assigned to isabel@coryhometeam.com
</t>
      </text>
    </comment>
    <comment authorId="95" xr:uid="{1bec9627-c2d9-44b8-9f3a-959b18f5e7a2}" ref="A1">
      <text>
        <t xml:space="preserve">[Threaded comment]
 Your version of Excel allows you to read this threaded comment; however, any edits to it will get removed if the file is opened in a newer version of Excel. Learn more: https://go.microsoft.com/fwlink/?linkid=870924
Comment:
	2nd reservation - 1-day
3rd reservation 2/22-2/24
</t>
      </text>
    </comment>
    <comment authorId="96" xr:uid="{1c2f146a-aafa-4ec3-bee3-5bff6cadda3d}" ref="A1">
      <text>
        <t xml:space="preserve">[Threaded comment]
 Your version of Excel allows you to read this threaded comment; however, any edits to it will get removed if the file is opened in a newer version of Excel. Learn more: https://go.microsoft.com/fwlink/?linkid=870924
Comment:
	ROYLENE DR @isabel@coryhometeam.com VERIFIED
Assigned to isabel@coryhometeam.com
</t>
      </text>
    </comment>
    <comment authorId="97" xr:uid="{1c4f305f-3ddc-4614-b3f6-b971145f827f}"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7.31 Per agent closing is around March 2025
Assigned to rafael@coryhometeam.com
</t>
      </text>
    </comment>
    <comment authorId="98" xr:uid="{1c5fc9fb-f0d6-47fb-9898-c2ef27d3de41}" ref="A1">
      <text>
        <t xml:space="preserve">[Threaded comment]
 Your version of Excel allows you to read this threaded comment; however, any edits to it will get removed if the file is opened in a newer version of Excel. Learn more: https://go.microsoft.com/fwlink/?linkid=870924
Comment:
	9540 Ekwanok Dr
AM verified.
@isabel@coryhometeam.com
@kenia@coryhometeam.com
9.22 CI sent to Escrow.
Assigned to isabel@coryhometeam.com
</t>
      </text>
    </comment>
    <comment authorId="99" xr:uid="{1ca249b9-99f1-46b1-a111-577fedc84cdb}" ref="A1">
      <text>
        <t xml:space="preserve">[Threaded comment]
 Your version of Excel allows you to read this threaded comment; however, any edits to it will get removed if the file is opened in a newer version of Excel. Learn more: https://go.microsoft.com/fwlink/?linkid=870924
Comment:
	1181 W Westmont Ave
AM verified.
@isabel@coryhometeam.com 
@kenia@coryhometeam.com 
8.6 CI sent to Escrow.
Assigned to isabel@coryhometeam.com
</t>
      </text>
    </comment>
    <comment authorId="100" xr:uid="{1ca3448d-0a90-4222-9e0d-20efa1b3dc92}" ref="A1">
      <text>
        <t xml:space="preserve">[Threaded comment]
 Your version of Excel allows you to read this threaded comment; however, any edits to it will get removed if the file is opened in a newer version of Excel. Learn more: https://go.microsoft.com/fwlink/?linkid=870924
Comment:
	Carmen to pay $10.00 difference towards Buyer Home warranty
</t>
      </text>
    </comment>
    <comment authorId="101" xr:uid="{1cc0754f-c0d0-4dc2-857a-ddb64d9f39ed}" ref="A1">
      <text>
        <t xml:space="preserve">[Threaded comment]
 Your version of Excel allows you to read this threaded comment; however, any edits to it will get removed if the file is opened in a newer version of Excel. Learn more: https://go.microsoft.com/fwlink/?linkid=870924
Comment:
	ORANGE BLOOM DR @isabel@coryhometeam.com VERIFIED
Assigned to isabel@coryhometeam.com
</t>
      </text>
    </comment>
    <comment authorId="102" xr:uid="{1cee8a69-10b2-4975-b146-c15b35907d4b}" ref="A1">
      <text>
        <t xml:space="preserve">[Threaded comment]
 Your version of Excel allows you to read this threaded comment; however, any edits to it will get removed if the file is opened in a newer version of Excel. Learn more: https://go.microsoft.com/fwlink/?linkid=870924
Comment:
	Nate to cover SHOWCASE costs
</t>
      </text>
    </comment>
    <comment authorId="103" xr:uid="{1d19ba11-5555-4775-adc1-dbe818343c77}" ref="A1">
      <text>
        <t xml:space="preserve">[Threaded comment]
 Your version of Excel allows you to read this threaded comment; however, any edits to it will get removed if the file is opened in a newer version of Excel. Learn more: https://go.microsoft.com/fwlink/?linkid=870924
Comment:
	W FLORIDA AVE @isabel@coryhometeam.com VERIFIED
Assigned to isabel@coryhometeam.com
</t>
      </text>
    </comment>
    <comment authorId="104" xr:uid="{1d2c174c-8e48-48ce-a83b-2f0ea37887b0}" ref="A1">
      <text>
        <t xml:space="preserve">[Threaded comment]
 Your version of Excel allows you to read this threaded comment; however, any edits to it will get removed if the file is opened in a newer version of Excel. Learn more: https://go.microsoft.com/fwlink/?linkid=870924
Comment:
	COE extended to 2.20 or sooner as per ETA.
</t>
      </text>
    </comment>
    <comment authorId="105" xr:uid="{1d3f418d-b3d2-4e40-997f-40ff1691ac51}" ref="A1">
      <text>
        <t xml:space="preserve">[Threaded comment]
 Your version of Excel allows you to read this threaded comment; however, any edits to it will get removed if the file is opened in a newer version of Excel. Learn more: https://go.microsoft.com/fwlink/?linkid=870924
Comment:
	N LINDEN AVE @isabel@coryhometeam.com VERIFIED
Assigned to isabel@coryhometeam.com
</t>
      </text>
    </comment>
    <comment authorId="106" xr:uid="{1d9d10eb-8a65-4830-9b50-40e0f5ae1ba1}" ref="A1">
      <text>
        <t xml:space="preserve">[Threaded comment]
 Your version of Excel allows you to read this threaded comment; however, any edits to it will get removed if the file is opened in a newer version of Excel. Learn more: https://go.microsoft.com/fwlink/?linkid=870924
Comment:
	Off the top - Difference in guaranteed Home Warranty coverage.
</t>
      </text>
    </comment>
    <comment authorId="107" xr:uid="{1dbe8a68-44a1-4082-9cc7-aac01ff6624b}" ref="A1">
      <text>
        <t xml:space="preserve">[Threaded comment]
 Your version of Excel allows you to read this threaded comment; however, any edits to it will get removed if the file is opened in a newer version of Excel. Learn more: https://go.microsoft.com/fwlink/?linkid=870924
Comment:
	8.28 ETA COE 9.5 out for signature.
Reply:
	9.9 New ETA COE 9.10
</t>
      </text>
    </comment>
    <comment authorId="108" xr:uid="{1dddd2f4-d8a4-40b3-badf-a6b7276c34d7}"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5.7 CI sent to Escrow.
Assigned to isabel@coryhometeam.com
</t>
      </text>
    </comment>
    <comment authorId="109" xr:uid="{1de62b0a-2cfd-4875-a756-fdadbeef09aa}" ref="A1">
      <text>
        <t xml:space="preserve">[Threaded comment]
 Your version of Excel allows you to read this threaded comment; however, any edits to it will get removed if the file is opened in a newer version of Excel. Learn more: https://go.microsoft.com/fwlink/?linkid=870924
Comment:
	A second solar loan was found just before contract COE and it is still being negotiated to resolve.
</t>
      </text>
    </comment>
    <comment authorId="110" xr:uid="{1e9ffde8-1672-49bf-8856-2a94f291beab}" ref="A1">
      <text>
        <t xml:space="preserve">[Threaded comment]
 Your version of Excel allows you to read this threaded comment; however, any edits to it will get removed if the file is opened in a newer version of Excel. Learn more: https://go.microsoft.com/fwlink/?linkid=870924
Comment:
	11.10  CR inspection extended from 11.3 to 11.10 per ETA.
</t>
      </text>
    </comment>
    <comment authorId="111" xr:uid="{1eae4e18-7b31-409e-b34b-a0505e94196e}" ref="A1">
      <text>
        <t xml:space="preserve">[Threaded comment]
 Your version of Excel allows you to read this threaded comment; however, any edits to it will get removed if the file is opened in a newer version of Excel. Learn more: https://go.microsoft.com/fwlink/?linkid=870924
Comment:
	2.28 Per RPA is MyNHD. An AEA will follow to correct it to FIRST AMERICAN.
</t>
      </text>
    </comment>
    <comment authorId="112" xr:uid="{1f42ae67-1308-4110-930e-9693af4088f3}" ref="A1">
      <text>
        <t xml:space="preserve">[Threaded comment]
 Your version of Excel allows you to read this threaded comment; however, any edits to it will get removed if the file is opened in a newer version of Excel. Learn more: https://go.microsoft.com/fwlink/?linkid=870924
Comment:
	17 Days after the Seller delivers written notice removing the SPRP
</t>
      </text>
    </comment>
    <comment authorId="113" xr:uid="{1f763415-260d-42b7-b133-ab284dd6f111}" ref="A1">
      <text>
        <t xml:space="preserve">[Threaded comment]
 Your version of Excel allows you to read this threaded comment; however, any edits to it will get removed if the file is opened in a newer version of Excel. Learn more: https://go.microsoft.com/fwlink/?linkid=870924
Comment:
	39TH STREET @isabel@coryhometeam.com VERIFIED
Assigned to isabel@coryhometeam.com
</t>
      </text>
    </comment>
    <comment authorId="114" xr:uid="{1fca9bdc-60ee-4add-b91d-3ff935219589}" ref="A1">
      <text>
        <t xml:space="preserve">[Threaded comment]
 Your version of Excel allows you to read this threaded comment; however, any edits to it will get removed if the file is opened in a newer version of Excel. Learn more: https://go.microsoft.com/fwlink/?linkid=870924
Comment:
	$100 to Broker
</t>
      </text>
    </comment>
    <comment authorId="115" xr:uid="{1fdc855d-bd20-4b3b-9ace-5ba49fd726d5}" ref="A1">
      <text>
        <t xml:space="preserve">[Threaded comment]
 Your version of Excel allows you to read this threaded comment; however, any edits to it will get removed if the file is opened in a newer version of Excel. Learn more: https://go.microsoft.com/fwlink/?linkid=870924
Comment:
	13063 5th Street #5
AM verified.
@isabel@coryhometeam.com 
@kenia@coryhometeam.com 
5.22 CI sent to Escrow.
Assigned to isabel@coryhometeam.com
</t>
      </text>
    </comment>
    <comment authorId="116" xr:uid="{20299f22-0139-471c-a42b-c5ff26c8bdb7}" ref="A1">
      <text>
        <t xml:space="preserve">[Threaded comment]
 Your version of Excel allows you to read this threaded comment; however, any edits to it will get removed if the file is opened in a newer version of Excel. Learn more: https://go.microsoft.com/fwlink/?linkid=870924
Comment:
	5.1 ETA loan extended to 5.5
</t>
      </text>
    </comment>
    <comment authorId="117" xr:uid="{202cfd23-878f-40af-bb09-73d1039f0332}" ref="A1">
      <text>
        <t xml:space="preserve">[Threaded comment]
 Your version of Excel allows you to read this threaded comment; however, any edits to it will get removed if the file is opened in a newer version of Excel. Learn more: https://go.microsoft.com/fwlink/?linkid=870924
Comment:
	we received $595 on final check, and CDA has $595. I changed this from $0 (NewBuild) to $595 @kenia@coryhometeam.com
Reply:
	ok 👌 I mean If they paid it
</t>
      </text>
    </comment>
    <comment authorId="118" xr:uid="{20886cee-9276-48d7-a4fb-c1284aebeb64}" ref="A1">
      <text>
        <t xml:space="preserve">[Threaded comment]
 Your version of Excel allows you to read this threaded comment; however, any edits to it will get removed if the file is opened in a newer version of Excel. Learn more: https://go.microsoft.com/fwlink/?linkid=870924
Comment:
	29734 Big Dipper Way
7.2 Buyer switched lender from Citi to Christian.
</t>
      </text>
    </comment>
    <comment authorId="119" xr:uid="{20ffadd1-4220-4795-b1b6-c980c89a8e88}" ref="A1">
      <text>
        <t xml:space="preserve">[Threaded comment]
 Your version of Excel allows you to read this threaded comment; however, any edits to it will get removed if the file is opened in a newer version of Excel. Learn more: https://go.microsoft.com/fwlink/?linkid=870924
Comment:
	JOAQUIN RIDGE DR @isabel@coryhometeam.com VERIFIED
Assigned to isabel@coryhometeam.com
</t>
      </text>
    </comment>
    <comment authorId="120" xr:uid="{210e7117-4cfa-4cc0-ac74-5ff1556aa9b3}" ref="A1">
      <text>
        <t xml:space="preserve">[Threaded comment]
 Your version of Excel allows you to read this threaded comment; however, any edits to it will get removed if the file is opened in a newer version of Excel. Learn more: https://go.microsoft.com/fwlink/?linkid=870924
Comment:
	Credit off the top to cover the difference needed in Home Warranty for Buyer.
</t>
      </text>
    </comment>
    <comment authorId="121" xr:uid="{2153d942-f64d-420f-9286-562b5d4dac82}" ref="A1">
      <text>
        <t xml:space="preserve">[Threaded comment]
 Your version of Excel allows you to read this threaded comment; however, any edits to it will get removed if the file is opened in a newer version of Excel. Learn more: https://go.microsoft.com/fwlink/?linkid=870924
Comment:
	@remy@coryhometeam.com This is a SOI for Mario. I updated it here, please let him know if he needs to do anything with FUB.
Assigned to remy@coryhometeam.com
Reply:
	@alexis@coryhometeam.com 
Thanks for the heads-up.I already updated this in FUB.
Reassigned to alexis@coryhometeam.com
</t>
      </text>
    </comment>
    <comment authorId="122" xr:uid="{21648889-77dc-4541-8f50-837332c5a54e}" ref="A1">
      <text>
        <t xml:space="preserve">[Threaded comment]
 Your version of Excel allows you to read this threaded comment; however, any edits to it will get removed if the file is opened in a newer version of Excel. Learn more: https://go.microsoft.com/fwlink/?linkid=870924
Comment:
	26204 Sunnywood St
AM verified.
@isabel@coryhometeam.com 
@kenia@coryhometeam.com 
5.21 CI sent to Escrow.
Assigned to isabel@coryhometeam.com
</t>
      </text>
    </comment>
    <comment authorId="123" xr:uid="{2196055e-d631-4329-9fc2-83da9f618e68}" ref="A1">
      <text>
        <t xml:space="preserve">[Threaded comment]
 Your version of Excel allows you to read this threaded comment; however, any edits to it will get removed if the file is opened in a newer version of Excel. Learn more: https://go.microsoft.com/fwlink/?linkid=870924
Comment:
	16022 Cascade Dr
AM verified.
@isabel@coryhometeam.com 
@kenia@coryhometeam.com 
8.5 CI sent to Escrow.
Assigned to isabel@coryhometeam.com
</t>
      </text>
    </comment>
    <comment authorId="124" xr:uid="{21c83097-0272-439b-8e42-831ac7d7588e}" ref="A1">
      <text>
        <t xml:space="preserve">[Threaded comment]
 Your version of Excel allows you to read this threaded comment; however, any edits to it will get removed if the file is opened in a newer version of Excel. Learn more: https://go.microsoft.com/fwlink/?linkid=870924
Comment:
	MEADOW LN @isabel@coryhometeam.com VERIFIED
Assigned to isabel@coryhometeam.com
</t>
      </text>
    </comment>
    <comment authorId="125" xr:uid="{21fa72fc-51d1-4f6e-bde8-899a0c53b52c}" ref="A1">
      <text>
        <t xml:space="preserve">[Threaded comment]
 Your version of Excel allows you to read this threaded comment; however, any edits to it will get removed if the file is opened in a newer version of Excel. Learn more: https://go.microsoft.com/fwlink/?linkid=870924
Comment:
	0 Ramona Dr
AM verified.
@isabel@coryhometeam.com 
@kenia@coryhometeam.com 
5.20 CI sent to Escrow.
Assigned to isabel@coryhometeam.com
</t>
      </text>
    </comment>
    <comment authorId="126" xr:uid="{220335c5-30b7-4e27-9207-9ef7f4b81ef9}" ref="A1">
      <text>
        <t xml:space="preserve">[Threaded comment]
 Your version of Excel allows you to read this threaded comment; however, any edits to it will get removed if the file is opened in a newer version of Excel. Learn more: https://go.microsoft.com/fwlink/?linkid=870924
Comment:
	4.1 New lender from Zillow to Tammy.
</t>
      </text>
    </comment>
    <comment authorId="127" xr:uid="{220ddfa8-5d3a-4bfa-a1ed-24fbb9b928c7}" ref="A1">
      <text>
        <t xml:space="preserve">[Threaded comment]
 Your version of Excel allows you to read this threaded comment; however, any edits to it will get removed if the file is opened in a newer version of Excel. Learn more: https://go.microsoft.com/fwlink/?linkid=870924
Comment:
	OAKLAND ROAD @isabel@coryhometeam.com VERIFIED
Assigned to isabel@coryhometeam.com
</t>
      </text>
    </comment>
    <comment authorId="128" xr:uid="{2291253f-2182-403b-8e36-ac476c59717f}" ref="A1">
      <text>
        <t xml:space="preserve">[Threaded comment]
 Your version of Excel allows you to read this threaded comment; however, any edits to it will get removed if the file is opened in a newer version of Excel. Learn more: https://go.microsoft.com/fwlink/?linkid=870924
Comment:
	RE: Sierra Seneca / Buyer Loan Docs / 42590-JW
External
Inbox
Jacquie Williams
11:00 AM (1 hour ago)
to Kendra, me, Taylor, Isela
Good morning Ladies –
I need a new CDA with Kendra covering the Seller coverage on the HW as stated below. Seller Coverage is $84.76. 
Thanks!
</t>
      </text>
    </comment>
    <comment authorId="129" xr:uid="{22942efb-80a6-4b17-ac4e-7263746e46cd}" ref="A1">
      <text>
        <t xml:space="preserve">[Threaded comment]
 Your version of Excel allows you to read this threaded comment; however, any edits to it will get removed if the file is opened in a newer version of Excel. Learn more: https://go.microsoft.com/fwlink/?linkid=870924
Comment:
	10.3 ETA1 COE 10.31
</t>
      </text>
    </comment>
    <comment authorId="130" xr:uid="{22bfb8b1-660b-4833-9394-607e3455b868}"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This one is Blake's Resale he wants to go Straight to ACTIVE 6/20
Assigned to aileen@coryhometeam.com
</t>
      </text>
    </comment>
    <comment authorId="131" xr:uid="{233f242a-d2b1-4d59-ab73-351f6c9ab59b}" ref="A1">
      <text>
        <t xml:space="preserve">[Threaded comment]
 Your version of Excel allows you to read this threaded comment; however, any edits to it will get removed if the file is opened in a newer version of Excel. Learn more: https://go.microsoft.com/fwlink/?linkid=870924
Comment:
	MCCALL BLVD @isabel@coryhometeam.com VERIFIED
Assigned to isabel@coryhometeam.com
</t>
      </text>
    </comment>
    <comment authorId="132" xr:uid="{23590b7b-a385-45a0-9dc6-e2b449635621}" ref="A1">
      <text>
        <t xml:space="preserve">[Threaded comment]
 Your version of Excel allows you to read this threaded comment; however, any edits to it will get removed if the file is opened in a newer version of Excel. Learn more: https://go.microsoft.com/fwlink/?linkid=870924
Comment:
	OAK CREEK DR @isabel@coryhometeam.com VERIFIED
Assigned to isabel@coryhometeam.com
</t>
      </text>
    </comment>
    <comment authorId="133" xr:uid="{23abcfa1-7c45-447f-909d-c13a2830ea6b}" ref="A1">
      <text>
        <t xml:space="preserve">[Threaded comment]
 Your version of Excel allows you to read this threaded comment; however, any edits to it will get removed if the file is opened in a newer version of Excel. Learn more: https://go.microsoft.com/fwlink/?linkid=870924
Comment:
	25801 Sun City Blvd
AM verified.
@isabel@coryhometeam.com
@kenia@coryhometeam.com
8.19 CI sent to Escrow.
Assigned to isabel@coryhometeam.com
</t>
      </text>
    </comment>
    <comment authorId="134" xr:uid="{23abf761-cb53-49c3-8181-a69ef3d8fae6}"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Nate is paying $500 for a repair to be completed; this isnt going through the commission; however it needs to be deducted from the commission in the breakdown and Nate needs to be reimbursed his portion
Assigned to isabel@coryhometeam.com
</t>
      </text>
    </comment>
    <comment authorId="135" xr:uid="{23b56db6-31f6-480f-a82c-4284800202e7}" ref="A1">
      <text>
        <t xml:space="preserve">[Threaded comment]
 Your version of Excel allows you to read this threaded comment; however, any edits to it will get removed if the file is opened in a newer version of Excel. Learn more: https://go.microsoft.com/fwlink/?linkid=870924
Comment:
	TBD - This is contingent to SPRP.
</t>
      </text>
    </comment>
    <comment authorId="136" xr:uid="{23ff1d18-eb5e-46fd-9bc4-3358bf29421e}" ref="A1">
      <text>
        <t xml:space="preserve">[Threaded comment]
 Your version of Excel allows you to read this threaded comment; however, any edits to it will get removed if the file is opened in a newer version of Excel. Learn more: https://go.microsoft.com/fwlink/?linkid=870924
Comment:
	CARA WAY @isabel@coryhometeam.com VERIFIED
Assigned to isabel@coryhometeam.com
</t>
      </text>
    </comment>
    <comment authorId="137" xr:uid="{247a0403-fb84-461b-a9ad-e24e3c323f6c}"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4.14 CI sent to Escrow.
Assigned to isabel@coryhometeam.com
</t>
      </text>
    </comment>
    <comment authorId="138" xr:uid="{24c32d8d-447a-47d7-8f45-9fc061b198fc}" ref="A1">
      <text>
        <t xml:space="preserve">[Threaded comment]
 Your version of Excel allows you to read this threaded comment; however, any edits to it will get removed if the file is opened in a newer version of Excel. Learn more: https://go.microsoft.com/fwlink/?linkid=870924
Comment:
	40240 Brook Trails Way
8.19 As per ETA COE is extended to 8.25.
</t>
      </text>
    </comment>
    <comment authorId="139" xr:uid="{251d1e19-a578-4d84-a498-1c7efbd18c10}" ref="A1">
      <text>
        <t xml:space="preserve">[Threaded comment]
 Your version of Excel allows you to read this threaded comment; however, any edits to it will get removed if the file is opened in a newer version of Excel. Learn more: https://go.microsoft.com/fwlink/?linkid=870924
Comment:
	9.28 Per Kenia and Ron: Gelsomina is 94 years old and need assistance in signing the docs electronically.
</t>
      </text>
    </comment>
    <comment authorId="140" xr:uid="{252bb347-704b-4c39-b604-2d5d45d7c3aa}" ref="A1">
      <text>
        <t xml:space="preserve">[Threaded comment]
 Your version of Excel allows you to read this threaded comment; however, any edits to it will get removed if the file is opened in a newer version of Excel. Learn more: https://go.microsoft.com/fwlink/?linkid=870924
Comment:
	This sale is contingent on the seller’s property (SPRP). No definite COE or contingency dates will be set until the SPRP is removed and park approval is obtained as per SCO1.
</t>
      </text>
    </comment>
    <comment authorId="141" xr:uid="{25a72ee1-03e2-498a-93b1-71384deae152}" ref="A1">
      <text>
        <t xml:space="preserve">[Threaded comment]
 Your version of Excel allows you to read this threaded comment; however, any edits to it will get removed if the file is opened in a newer version of Excel. Learn more: https://go.microsoft.com/fwlink/?linkid=870924
Comment:
	PINYON PINE CT @isabel@coryhometeam.com VERIFIED
Assigned to isabel@coryhometeam.com
</t>
      </text>
    </comment>
    <comment authorId="142" xr:uid="{26317a9c-3c44-4feb-ac47-84f453f14e65}" ref="A1">
      <text>
        <t xml:space="preserve">[Threaded comment]
 Your version of Excel allows you to read this threaded comment; however, any edits to it will get removed if the file is opened in a newer version of Excel. Learn more: https://go.microsoft.com/fwlink/?linkid=870924
Comment:
	EXETER COURT @isabel@coryhometeam.com VERIFIED
Assigned to isabel@coryhometeam.com
</t>
      </text>
    </comment>
    <comment authorId="143" xr:uid="{26474206-b0bc-4e48-ac9f-09d6e59af22a}" ref="AT18">
      <text>
        <t xml:space="preserve">[Threaded comment]
 Your version of Excel allows you to read this threaded comment; however, any edits to it will get removed if the file is opened in a newer version of Excel. Learn more: https://go.microsoft.com/fwlink/?linkid=870924
Comment:
	738 E 5Th Ave
AM verified.
@isabel@coryhometeam.com
@kenia@coryhometeam.com
5.28 CI sent to Escrow.
Assigned to isabel@coryhometeam.com
</t>
      </text>
    </comment>
    <comment authorId="144" xr:uid="{265cbd35-c5ef-4820-825d-e845e44863f2}" ref="C5">
      <text>
        <t xml:space="preserve">[Threaded comment]
 Your version of Excel allows you to read this threaded comment; however, any edits to it will get removed if the file is opened in a newer version of Excel. Learn more: https://go.microsoft.com/fwlink/?linkid=870924
Comment:
	3.24 Per Kenia: Heads up I emailed you. This is an offer that was supposed to accepted but our seller backed out. Blake is working with our LA- Spencer on this Compliance is asking us to upload all/Any documents pertaining to acceptance. Please upload to skyslope. 
Only counters are FE- 
RPA &amp; attachments NOT fully executed but we need to upload as is.
Reply:
	@kenia@coryhometeam.com not found on CHT ListingBoard
</t>
      </text>
    </comment>
    <comment authorId="145" xr:uid="{2679fdfa-5a84-4ba4-a11d-d06ad5711f63}"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1.29 CI sent to Escrow.
Assigned to isabel@coryhometeam.com
</t>
      </text>
    </comment>
    <comment authorId="146" xr:uid="{26bf6efd-66c3-44f7-9a0d-555919675540}" ref="A1">
      <text>
        <t xml:space="preserve">[Threaded comment]
 Your version of Excel allows you to read this threaded comment; however, any edits to it will get removed if the file is opened in a newer version of Excel. Learn more: https://go.microsoft.com/fwlink/?linkid=870924
Comment:
	@dana@coryhometeam.com The COE is 07/16/25 - Final Closing Statement used to confirm this info.
Assigned to dana@coryhometeam.com
</t>
      </text>
    </comment>
    <comment authorId="147" xr:uid="{26c45990-dc91-44f8-b8bc-b944ac5f0e40}" ref="A1">
      <text>
        <t xml:space="preserve">[Threaded comment]
 Your version of Excel allows you to read this threaded comment; however, any edits to it will get removed if the file is opened in a newer version of Excel. Learn more: https://go.microsoft.com/fwlink/?linkid=870924
Comment:
	SAGE LANE @isabel@coryhometeam.com VERIFIED
Assigned to isabel@coryhometeam.com
</t>
      </text>
    </comment>
    <comment authorId="148" xr:uid="{26dbef08-bdf1-4108-8540-fbcf5bd2d7dd}" ref="A1">
      <text>
        <t xml:space="preserve">[Threaded comment]
 Your version of Excel allows you to read this threaded comment; however, any edits to it will get removed if the file is opened in a newer version of Excel. Learn more: https://go.microsoft.com/fwlink/?linkid=870924
Comment:
	4.22 Jenna's commission per take sheet is $10K flat.
</t>
      </text>
    </comment>
    <comment authorId="149" xr:uid="{27cd039b-d647-4797-b82b-5a78c6144d85}" ref="A1">
      <text>
        <t xml:space="preserve">[Threaded comment]
 Your version of Excel allows you to read this threaded comment; however, any edits to it will get removed if the file is opened in a newer version of Excel. Learn more: https://go.microsoft.com/fwlink/?linkid=870924
Comment:
	3822 Tanzanite_Bragg
Inbox
Petra Campos
8:49 AM (1 minute ago)
to me, Melissa
Kenia, 
Mel approved the waiving of the $595
To help get this closed. 
Thank You,
Petra Campos
Real Estate Agent
Cory Home Team
Check Out Our Reviews On Zillow
Call me today at 951-492-5575
DRE # 02044224
Broker: eXp Realty of California Inc. DRE#01878277
</t>
      </text>
    </comment>
    <comment authorId="150" xr:uid="{27ff6fc7-a33d-4b46-9ecf-e435ebd6cc7e}" ref="A1">
      <text>
        <t xml:space="preserve">[Threaded comment]
 Your version of Excel allows you to read this threaded comment; however, any edits to it will get removed if the file is opened in a newer version of Excel. Learn more: https://go.microsoft.com/fwlink/?linkid=870924
Comment:
	@mark@coryhometeam.com are you able to complete these?
Assigned to mark@coryhometeam.com
</t>
      </text>
    </comment>
    <comment authorId="151" xr:uid="{281098b5-cd69-48ae-b123-1029dc0bb073}" ref="A1">
      <text>
        <t xml:space="preserve">[Threaded comment]
 Your version of Excel allows you to read this threaded comment; however, any edits to it will get removed if the file is opened in a newer version of Excel. Learn more: https://go.microsoft.com/fwlink/?linkid=870924
Comment:
	CARRALTON PL @isabel@coryhometeam.com VERIFIED
Assigned to isabel@coryhometeam.com
</t>
      </text>
    </comment>
    <comment authorId="152" xr:uid="{284e7a4e-a5b3-4f16-9409-0e6cbcc5a384}" ref="A1">
      <text>
        <t xml:space="preserve">[Threaded comment]
 Your version of Excel allows you to read this threaded comment; however, any edits to it will get removed if the file is opened in a newer version of Excel. Learn more: https://go.microsoft.com/fwlink/?linkid=870924
Comment:
	OAKWOOD AVE @isabel@coryhometeam.com VERIFIED
Assigned to isabel@coryhometeam.com
</t>
      </text>
    </comment>
    <comment authorId="153" xr:uid="{28763276-c52a-43ed-a00e-7719a2f22a2f}"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12.27 AM Verified.
@isabel@coryhometeam.com 
@kenia@coryhometeam.com 
12.9 CI sent to Escrow.
</t>
      </text>
    </comment>
    <comment authorId="154" xr:uid="{296d46cf-3a83-42c8-96f0-59518c2388ee}" ref="A1">
      <text>
        <t xml:space="preserve">[Threaded comment]
 Your version of Excel allows you to read this threaded comment; however, any edits to it will get removed if the file is opened in a newer version of Excel. Learn more: https://go.microsoft.com/fwlink/?linkid=870924
Comment:
	CLEMSON ST. @isabel@coryhometeam.com VERIFIED
Assigned to isabel@coryhometeam.com
</t>
      </text>
    </comment>
    <comment authorId="155" xr:uid="{299897c8-78c6-4f05-9ef8-454efcc2ed7e}" ref="A1">
      <text>
        <t xml:space="preserve">[Threaded comment]
 Your version of Excel allows you to read this threaded comment; however, any edits to it will get removed if the file is opened in a newer version of Excel. Learn more: https://go.microsoft.com/fwlink/?linkid=870924
Comment:
	payoff demand sent to escrow- 32526 Iris, 1/29/25
</t>
      </text>
    </comment>
    <comment authorId="156" xr:uid="{29a2b3fd-b819-48d3-9b10-8087f66cbe5a}" ref="A1">
      <text>
        <t xml:space="preserve">[Threaded comment]
 Your version of Excel allows you to read this threaded comment; however, any edits to it will get removed if the file is opened in a newer version of Excel. Learn more: https://go.microsoft.com/fwlink/?linkid=870924
Comment:
	DAFFODIL CIR @isabel@coryhometeam.com VERIFIED
Assigned to isabel@coryhometeam.com
</t>
      </text>
    </comment>
    <comment authorId="157" xr:uid="{29d4361d-5d64-4471-b59c-48220f327771}"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3.13 CI sent to Escrow.
Assigned to isabel@coryhometeam.com
</t>
      </text>
    </comment>
    <comment authorId="158" xr:uid="{29ff7a72-eb50-4b8f-98f2-63c05a227b13}" ref="A1">
      <text>
        <t xml:space="preserve">[Threaded comment]
 Your version of Excel allows you to read this threaded comment; however, any edits to it will get removed if the file is opened in a newer version of Excel. Learn more: https://go.microsoft.com/fwlink/?linkid=870924
Comment:
	2 Ryan Ln
AM verified.
@isabel@coryhometeam.com
@kenia@coryhometeam.com
11.10 CI sent to Escrow.
Assigned to isabel@coryhometeam.com
</t>
      </text>
    </comment>
    <comment authorId="159" xr:uid="{2a36c715-1b14-4c90-bdef-1a1d8be7516d}" ref="A1">
      <text>
        <t xml:space="preserve">[Threaded comment]
 Your version of Excel allows you to read this threaded comment; however, any edits to it will get removed if the file is opened in a newer version of Excel. Learn more: https://go.microsoft.com/fwlink/?linkid=870924
Comment:
	2ND STREET UNIT #35 @isabel@coryhometeam.com VERIFIED
Assigned to isabel@coryhometeam.com
</t>
      </text>
    </comment>
    <comment authorId="160" xr:uid="{2a6382bb-86da-4fe0-8440-5c91bbede05f}"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4.4 CI sent to Escrow.
Assigned to isabel@coryhometeam.com
</t>
      </text>
    </comment>
    <comment authorId="161" xr:uid="{2a806478-5609-494a-9c55-36aa8459eeb5}" ref="A1">
      <text>
        <t xml:space="preserve">[Threaded comment]
 Your version of Excel allows you to read this threaded comment; however, any edits to it will get removed if the file is opened in a newer version of Excel. Learn more: https://go.microsoft.com/fwlink/?linkid=870924
Comment:
	9.2 The purchase price is $436,500 as per AEA2.
</t>
      </text>
    </comment>
    <comment authorId="162" xr:uid="{2ac18436-e0f8-468e-9d51-d818e70184d2}" ref="AT10">
      <text>
        <t xml:space="preserve">[Threaded comment]
 Your version of Excel allows you to read this threaded comment; however, any edits to it will get removed if the file is opened in a newer version of Excel. Learn more: https://go.microsoft.com/fwlink/?linkid=870924
Comment:
	1040 Sapphire Ln
AM verified.
@isabel@coryhometeam.com
@kenia@coryhometeam.com
6.5 CI sent to Escrow.
</t>
      </text>
    </comment>
    <comment authorId="163" xr:uid="{2aed6ef0-e993-476e-81c4-6c9779a166ac}" ref="A1">
      <text>
        <t xml:space="preserve">[Threaded comment]
 Your version of Excel allows you to read this threaded comment; however, any edits to it will get removed if the file is opened in a newer version of Excel. Learn more: https://go.microsoft.com/fwlink/?linkid=870924
Comment:
	4.20 Closing date moved to 5/6 per ADM3.
</t>
      </text>
    </comment>
    <comment authorId="164" xr:uid="{2b21b688-1b3f-417a-b87a-255df457d055}" ref="A1">
      <text>
        <t xml:space="preserve">[Threaded comment]
 Your version of Excel allows you to read this threaded comment; however, any edits to it will get removed if the file is opened in a newer version of Excel. Learn more: https://go.microsoft.com/fwlink/?linkid=870924
Comment:
	ROCKFORD WAY @isabel@coryhometeam.com VERIFIED
Assigned to isabel@coryhometeam.com
</t>
      </text>
    </comment>
    <comment authorId="165" xr:uid="{2b383d78-eba0-4140-99e4-5b4610923d51}"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12.20 Close of escrow to be 45 days after written short sale approval.
Assigned to rafael@coryhometeam.com
Reply:
	@kenia@coryhometeam.com 
12.27 
RE: 1340 Roger St Lake Elsinore CA 92530 - REVISED CI Signed | Rosas &amp; Angeles
External
Inbox
Cynthia Bealer
2:50 PM (1 minute ago)
to me, Petra, Jenn
Hi kenia,
I haven’t received the shortsale approval yet and once I do, it will be 45 day escrow.
Thank you
Cynthia Bealer
Escrow Officer
1325 Corona Pointe Court Suite 103
Corona, CA. 92879
Phone: 951-229-0870
Fax: 951-496-4084
Reassigned to kenia@coryhometeam.com
Reply:
	1.16 New COE is 2.5 per ADM2.
</t>
      </text>
    </comment>
    <comment authorId="166" xr:uid="{2b66cb43-d025-43f4-b471-7327b89f3125}"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RLA signed 8/8 Please complete the initial tasks asap. Thank you
Assigned to aileen@coryhometeam.com
</t>
      </text>
    </comment>
    <comment authorId="167" xr:uid="{2b8c7858-1c19-4c0e-a0cb-a5a1f6756521}" ref="A1">
      <text>
        <t xml:space="preserve">[Threaded comment]
 Your version of Excel allows you to read this threaded comment; however, any edits to it will get removed if the file is opened in a newer version of Excel. Learn more: https://go.microsoft.com/fwlink/?linkid=870924
Comment:
	S FORSYTH PASEO @isabel@coryhometeam.com VERIFIED
Assigned to isabel@coryhometeam.com
</t>
      </text>
    </comment>
    <comment authorId="168" xr:uid="{2bc96a5b-b5af-4913-ad1c-67f3596e7f6f}" ref="A1">
      <text>
        <t xml:space="preserve">[Threaded comment]
 Your version of Excel allows you to read this threaded comment; however, any edits to it will get removed if the file is opened in a newer version of Excel. Learn more: https://go.microsoft.com/fwlink/?linkid=870924
Comment:
	CAMINO DEL ARROYO @isabel@coryhometeam.com VERIFIED
Assigned to isabel@coryhometeam.com
</t>
      </text>
    </comment>
    <comment authorId="169" xr:uid="{2bd59933-b37d-4c81-9dce-9c4bd0bf7cf2}" ref="A1">
      <text>
        <t xml:space="preserve">[Threaded comment]
 Your version of Excel allows you to read this threaded comment; however, any edits to it will get removed if the file is opened in a newer version of Excel. Learn more: https://go.microsoft.com/fwlink/?linkid=870924
Comment:
	ELM AVE @isabel@coryhometeam.com VERIFIED
Assigned to isabel@coryhometeam.com
</t>
      </text>
    </comment>
    <comment authorId="170" xr:uid="{2be49cbf-8577-4cff-9973-c9ace56947ef}" ref="A1">
      <text>
        <t xml:space="preserve">[Threaded comment]
 Your version of Excel allows you to read this threaded comment; however, any edits to it will get removed if the file is opened in a newer version of Excel. Learn more: https://go.microsoft.com/fwlink/?linkid=870924
Comment:
	32970 Ethlene Dr
AM verified.
@isabel@coryhometeam.com
@kenia@coryhometeam.com
12.8 CI sent to Escrow.
Assigned to isabel@coryhometeam.com
</t>
      </text>
    </comment>
    <comment authorId="171" xr:uid="{2be4c2c1-259f-4ba0-8cf4-834799d45a1a}"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3.7 CI sent to Escrow
Assigned to isabel@coryhometeam.com
</t>
      </text>
    </comment>
    <comment authorId="172" xr:uid="{2c6bbd0d-f919-4a41-9154-140ed68513e5}" ref="A1">
      <text>
        <t xml:space="preserve">[Threaded comment]
 Your version of Excel allows you to read this threaded comment; however, any edits to it will get removed if the file is opened in a newer version of Excel. Learn more: https://go.microsoft.com/fwlink/?linkid=870924
Comment:
	LA VERNE AVE @isabel@coryhometeam.com VERIFIED
Assigned to isabel@coryhometeam.com
</t>
      </text>
    </comment>
    <comment authorId="173" xr:uid="{2c8fa152-b86f-4d8d-a4a1-ce94664c7274}" ref="A1">
      <text>
        <t xml:space="preserve">[Threaded comment]
 Your version of Excel allows you to read this threaded comment; however, any edits to it will get removed if the file is opened in a newer version of Excel. Learn more: https://go.microsoft.com/fwlink/?linkid=870924
Comment:
	$500 Credit to seller to be out of Richard's commission per Mel on phone call 02/27/25
</t>
      </text>
    </comment>
    <comment authorId="174" xr:uid="{2c932b67-cc08-4d27-b9d1-d003a5fc5d41}" ref="A1">
      <text>
        <t xml:space="preserve">[Threaded comment]
 Your version of Excel allows you to read this threaded comment; however, any edits to it will get removed if the file is opened in a newer version of Excel. Learn more: https://go.microsoft.com/fwlink/?linkid=870924
Comment:
	17 Days after the Seller delivers written notice removing the SPRP
</t>
      </text>
    </comment>
    <comment authorId="175" xr:uid="{2d20252a-bee3-47d5-87a6-311ef127a9f8}" ref="A1">
      <text>
        <t xml:space="preserve">[Threaded comment]
 Your version of Excel allows you to read this threaded comment; however, any edits to it will get removed if the file is opened in a newer version of Excel. Learn more: https://go.microsoft.com/fwlink/?linkid=870924
Comment:
	HATTIE AVE @isabel@coryhometeam.com VERIFIED
Assigned to isabel@coryhometeam.com
</t>
      </text>
    </comment>
    <comment authorId="176" xr:uid="{2d252144-4af8-4a25-88fd-2868d4b04a64}" ref="A1">
      <text>
        <t xml:space="preserve">[Threaded comment]
 Your version of Excel allows you to read this threaded comment; however, any edits to it will get removed if the file is opened in a newer version of Excel. Learn more: https://go.microsoft.com/fwlink/?linkid=870924
Comment:
	5/18-5/20
</t>
      </text>
    </comment>
    <comment authorId="177" xr:uid="{2dab4bcc-135f-4300-b24b-659e204cd4f7}" ref="A1">
      <text>
        <t xml:space="preserve">[Threaded comment]
 Your version of Excel allows you to read this threaded comment; however, any edits to it will get removed if the file is opened in a newer version of Excel. Learn more: https://go.microsoft.com/fwlink/?linkid=870924
Comment:
	4/4-4/6/2025
</t>
      </text>
    </comment>
    <comment authorId="178" xr:uid="{2db6e327-673f-4f00-98d4-597359b07cc1}" ref="A1">
      <text>
        <t xml:space="preserve">[Threaded comment]
 Your version of Excel allows you to read this threaded comment; however, any edits to it will get removed if the file is opened in a newer version of Excel. Learn more: https://go.microsoft.com/fwlink/?linkid=870924
Comment:
	9.11 As per AEA1 COE and all contingencies to start upon removal of the COP contingency.
</t>
      </text>
    </comment>
    <comment authorId="179" xr:uid="{2dcd0678-6d7b-4b5c-8ac0-15343511636d}" ref="A1">
      <text>
        <t xml:space="preserve">[Threaded comment]
 Your version of Excel allows you to read this threaded comment; however, any edits to it will get removed if the file is opened in a newer version of Excel. Learn more: https://go.microsoft.com/fwlink/?linkid=870924
Comment:
	GOLDEN RIDGE DR @isabel@coryhometeam.com VERIFIED
Assigned to isabel@coryhometeam.com
</t>
      </text>
    </comment>
    <comment authorId="180" xr:uid="{2deff835-31e9-4378-8cd7-e04d2830b725}"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12.30 AM verified.
@isabel@coryhometeam.com 
@kenia@coryhometeam.com 
12.30 CI sent to Escrow.
</t>
      </text>
    </comment>
    <comment authorId="181" xr:uid="{2e2c9e46-579c-4285-a911-ce9bd9374a2e}" ref="A1">
      <text>
        <t xml:space="preserve">[Threaded comment]
 Your version of Excel allows you to read this threaded comment; however, any edits to it will get removed if the file is opened in a newer version of Excel. Learn more: https://go.microsoft.com/fwlink/?linkid=870924
Comment:
	NORTHPOINTE ST @isabel@coryhometeam.com VERIFIED
Assigned to isabel@coryhometeam.com
</t>
      </text>
    </comment>
    <comment authorId="182" xr:uid="{2e3d55ea-e115-45da-9b01-1f92238547ae}" ref="A1">
      <text>
        <t xml:space="preserve">[Threaded comment]
 Your version of Excel allows you to read this threaded comment; however, any edits to it will get removed if the file is opened in a newer version of Excel. Learn more: https://go.microsoft.com/fwlink/?linkid=870924
Comment:
	SILVER SADDLE @isabel@coryhometeam.com VERIFIED
Assigned to isabel@coryhometeam.com
</t>
      </text>
    </comment>
    <comment authorId="183" xr:uid="{2e44f74b-be54-470a-9db1-2d50ed2a39c1}" ref="A1">
      <text>
        <t xml:space="preserve">[Threaded comment]
 Your version of Excel allows you to read this threaded comment; however, any edits to it will get removed if the file is opened in a newer version of Excel. Learn more: https://go.microsoft.com/fwlink/?linkid=870924
Comment:
	11.4 COE extended to 11.21 per ETA2.
</t>
      </text>
    </comment>
    <comment authorId="184" xr:uid="{2e50b025-c690-4296-8696-8cc1425fe23e}" ref="A1">
      <text>
        <t xml:space="preserve">[Threaded comment]
 Your version of Excel allows you to read this threaded comment; however, any edits to it will get removed if the file is opened in a newer version of Excel. Learn more: https://go.microsoft.com/fwlink/?linkid=870924
Comment:
	2160 W Rialto Ave #122
AM verified.
@isabel@coryhometeam.com
@kenia@coryhometeam.com
9.22 CI sent to Escrow.
Assigned to isabel@coryhometeam.com
</t>
      </text>
    </comment>
    <comment authorId="185" xr:uid="{2e7ed732-bf5a-4c41-b875-b467df30f052}" ref="A1">
      <text>
        <t xml:space="preserve">[Threaded comment]
 Your version of Excel allows you to read this threaded comment; however, any edits to it will get removed if the file is opened in a newer version of Excel. Learn more: https://go.microsoft.com/fwlink/?linkid=870924
Comment:
	0 Spring Creek Rd
AM verified.
@isabel@coryhometeam.com 
@kenia@coryhometeam.com 
6.26 CI sent to Escrow.
Assigned to isabel@coryhometeam.com
</t>
      </text>
    </comment>
    <comment authorId="186" xr:uid="{2eb3a6b0-fbd9-4ffb-90d5-65390eb8a4a9}" ref="A1">
      <text>
        <t xml:space="preserve">[Threaded comment]
 Your version of Excel allows you to read this threaded comment; however, any edits to it will get removed if the file is opened in a newer version of Excel. Learn more: https://go.microsoft.com/fwlink/?linkid=870924
Comment:
	DERBY DR. @isabel@coryhometeam.com VERIFIED
Assigned to isabel@coryhometeam.com
</t>
      </text>
    </comment>
    <comment authorId="187" xr:uid="{2ef27975-ac3a-466b-8d9c-9e9c922e4fdc}" ref="X43">
      <text>
        <t xml:space="preserve">[Threaded comment]
 Your version of Excel allows you to read this threaded comment; however, any edits to it will get removed if the file is opened in a newer version of Excel. Learn more: https://go.microsoft.com/fwlink/?linkid=870924
Comment:
	COE is estimated date only. This escrow is contingent on both parties.
</t>
      </text>
    </comment>
    <comment authorId="188" xr:uid="{2f22d33d-22bc-4b87-8c34-87ebf334d2f4}" ref="A1">
      <text>
        <t xml:space="preserve">[Threaded comment]
 Your version of Excel allows you to read this threaded comment; however, any edits to it will get removed if the file is opened in a newer version of Excel. Learn more: https://go.microsoft.com/fwlink/?linkid=870924
Comment:
	$100.00
</t>
      </text>
    </comment>
    <comment authorId="189" xr:uid="{2f6ead8f-a885-486a-b358-1333dd889041}" ref="A1">
      <text>
        <t xml:space="preserve">[Threaded comment]
 Your version of Excel allows you to read this threaded comment; however, any edits to it will get removed if the file is opened in a newer version of Excel. Learn more: https://go.microsoft.com/fwlink/?linkid=870924
Comment:
	801 Buttercup Dr
AM verified.
@isabel@coryhometeam.com
@kenia@coryhometeam.com
11.5 CI sent to Escrow.
Assigned to isabel@coryhometeam.com
</t>
      </text>
    </comment>
    <comment authorId="190" xr:uid="{30707373-0c43-44ef-a13e-381fb4d3bc6a}" ref="A1">
      <text>
        <t xml:space="preserve">[Threaded comment]
 Your version of Excel allows you to read this threaded comment; however, any edits to it will get removed if the file is opened in a newer version of Excel. Learn more: https://go.microsoft.com/fwlink/?linkid=870924
Comment:
	9.4 As stated in the SCO1, the BA commission is 2%. On Eddie’s take sheet, the 1% under the BRBC is still pending confirmation.
Reply:
	9.5 Per Eddie the buyer agrees additional .75%. The total commission is 2.75%.
</t>
      </text>
    </comment>
    <comment authorId="191" xr:uid="{30b7f26e-6a5e-4d41-86ce-26752777a61f}" ref="AJ8">
      <text>
        <t xml:space="preserve">[Threaded comment]
 Your version of Excel allows you to read this threaded comment; however, any edits to it will get removed if the file is opened in a newer version of Excel. Learn more: https://go.microsoft.com/fwlink/?linkid=870924
Comment:
	6.1.26 Rachele's commission is now 4.5%.
see AEA1, which reflects a 0.5% credit ($3,250) to the buyer from Rachele.
I also have AEA2 out for revision of BAC to 2.5%
I am also in the process of sending a revised eXp commission reduction form. This confirms that Rachele is requesting a 0.5% ($3,250) from her commission to be applied to BAC
</t>
      </text>
    </comment>
    <comment authorId="192" xr:uid="{30f2acdf-d3f4-433a-bf5d-9ba280f3c7c4}" ref="A1">
      <text>
        <t xml:space="preserve">[Threaded comment]
 Your version of Excel allows you to read this threaded comment; however, any edits to it will get removed if the file is opened in a newer version of Excel. Learn more: https://go.microsoft.com/fwlink/?linkid=870924
Comment:
	10.22 COE moved to 11.5 as per AEA1.
</t>
      </text>
    </comment>
    <comment authorId="193" xr:uid="{3104fa43-8d5e-428b-9484-93ef945cd688}"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3.18 CI sent to Escrow.
Assigned to isabel@coryhometeam.com
</t>
      </text>
    </comment>
    <comment authorId="194" xr:uid="{3157c2da-2376-4f61-84ba-4ac1d2dda3b4}" ref="A1">
      <text>
        <t xml:space="preserve">[Threaded comment]
 Your version of Excel allows you to read this threaded comment; however, any edits to it will get removed if the file is opened in a newer version of Excel. Learn more: https://go.microsoft.com/fwlink/?linkid=870924
Comment:
	RANCHO SANTA FE @isabel@coryhometeam.com VERIFIED
Assigned to isabel@coryhometeam.com
</t>
      </text>
    </comment>
    <comment authorId="195" xr:uid="{3163d7c4-6e2a-4281-aca4-4a3b3256c35b}"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12.30 HEITZ LN @isabel@coryhometeam.com VERIFIED
</t>
      </text>
    </comment>
    <comment authorId="196" xr:uid="{31db99bb-9f63-40c7-80ee-bf5bd691649c}" ref="A1">
      <text>
        <t xml:space="preserve">[Threaded comment]
 Your version of Excel allows you to read this threaded comment; however, any edits to it will get removed if the file is opened in a newer version of Excel. Learn more: https://go.microsoft.com/fwlink/?linkid=870924
Comment:
	Timeframes begin the day after seller removes SPRP CR #1
</t>
      </text>
    </comment>
    <comment authorId="197" xr:uid="{32779486-01db-452d-9042-6cd66f7cd2ff}" ref="A1">
      <text>
        <t xml:space="preserve">[Threaded comment]
 Your version of Excel allows you to read this threaded comment; however, any edits to it will get removed if the file is opened in a newer version of Excel. Learn more: https://go.microsoft.com/fwlink/?linkid=870924
Comment:
	MONTE VISTA @isabel@coryhometeam.com VERIFIED
Assigned to isabel@coryhometeam.com
</t>
      </text>
    </comment>
    <comment authorId="198" xr:uid="{328e32a4-63c8-49c4-bdba-1326ea3b642b}" ref="A1">
      <text>
        <t xml:space="preserve">[Threaded comment]
 Your version of Excel allows you to read this threaded comment; however, any edits to it will get removed if the file is opened in a newer version of Excel. Learn more: https://go.microsoft.com/fwlink/?linkid=870924
Comment:
	collected from client
</t>
      </text>
    </comment>
    <comment authorId="199" xr:uid="{32a31084-83c6-41a0-940c-d64c1ce3a291}" ref="A1">
      <text>
        <t xml:space="preserve">[Threaded comment]
 Your version of Excel allows you to read this threaded comment; however, any edits to it will get removed if the file is opened in a newer version of Excel. Learn more: https://go.microsoft.com/fwlink/?linkid=870924
Comment:
	10.17 Waived per Lender.
</t>
      </text>
    </comment>
    <comment authorId="200" xr:uid="{33409692-502d-4dce-8245-53e48741c992}" ref="X10">
      <text>
        <t xml:space="preserve">[Threaded comment]
 Your version of Excel allows you to read this threaded comment; however, any edits to it will get removed if the file is opened in a newer version of Excel. Learn more: https://go.microsoft.com/fwlink/?linkid=870924
Comment:
	Please note that all dates and timelines provided are estimated only and remain subject to change due to the SPRP contingency.
Reply:
	6.15 All contractual timelines to commence 5.28.
</t>
      </text>
    </comment>
    <comment authorId="201" xr:uid="{338f0139-1a35-4612-aca2-843e40c445c3}" ref="A1">
      <text>
        <t xml:space="preserve">[Threaded comment]
 Your version of Excel allows you to read this threaded comment; however, any edits to it will get removed if the file is opened in a newer version of Excel. Learn more: https://go.microsoft.com/fwlink/?linkid=870924
Comment:
	4/22/25 escrow failed to account for $595.00 
Mel approved waiving fee.
</t>
      </text>
    </comment>
    <comment authorId="202" xr:uid="{33c313a4-8e78-4969-8a45-e2c57e31c773}" ref="A1">
      <text>
        <t xml:space="preserve">[Threaded comment]
 Your version of Excel allows you to read this threaded comment; however, any edits to it will get removed if the file is opened in a newer version of Excel. Learn more: https://go.microsoft.com/fwlink/?linkid=870924
Comment:
	CAPALINA RD @isabel@coryhometeam.com VERIFIED
Assigned to isabel@coryhometeam.com
</t>
      </text>
    </comment>
    <comment authorId="203" xr:uid="{33ddca00-c78b-45a3-98e7-41e97434ae0a}" ref="A1">
      <text>
        <t xml:space="preserve">[Threaded comment]
 Your version of Excel allows you to read this threaded comment; however, any edits to it will get removed if the file is opened in a newer version of Excel. Learn more: https://go.microsoft.com/fwlink/?linkid=870924
Comment:
	This listing was prior to 10/01, old splits should apply.
Reply:
	@isabel@coryhometeam.com
</t>
      </text>
    </comment>
    <comment authorId="204" xr:uid="{3416d6f3-5e01-4209-9de5-4d882b6c9e07}" ref="A1">
      <text>
        <t xml:space="preserve">[Threaded comment]
 Your version of Excel allows you to read this threaded comment; however, any edits to it will get removed if the file is opened in a newer version of Excel. Learn more: https://go.microsoft.com/fwlink/?linkid=870924
Comment:
	1368 Sierra Seneca Dr
AM verified.
@isabel@coryhometeam.com
@kenia@coryhometeam.com
10.27 CI sent to Escrow.
Assigned to isabel@coryhometeam.com
</t>
      </text>
    </comment>
    <comment authorId="205" xr:uid="{35166cba-afc8-4ffb-a791-1e2204f57411}" ref="A1">
      <text>
        <t xml:space="preserve">[Threaded comment]
 Your version of Excel allows you to read this threaded comment; however, any edits to it will get removed if the file is opened in a newer version of Excel. Learn more: https://go.microsoft.com/fwlink/?linkid=870924
Comment:
	Agent is paying the $595
Reply:
	@jamesa@coryhometeam.com Click the arrow and choose this option. No need to leave a comment.
</t>
      </text>
    </comment>
    <comment authorId="206" xr:uid="{352e962d-9b83-4e84-8632-a81f475b08c1}"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3.27 Ci sent to Escrow.
Assigned to isabel@coryhometeam.com
</t>
      </text>
    </comment>
    <comment authorId="207" xr:uid="{357af2ef-330e-4dad-afd2-819026d1d855}" ref="A1">
      <text>
        <t xml:space="preserve">[Threaded comment]
 Your version of Excel allows you to read this threaded comment; however, any edits to it will get removed if the file is opened in a newer version of Excel. Learn more: https://go.microsoft.com/fwlink/?linkid=870924
Comment:
	201 S Pennsylvania
8.1 Per BA TC an ETA COE 8.11 or sooner will follow.
Reply:
	8.7 New COE per ETA is 8.15
</t>
      </text>
    </comment>
    <comment authorId="208" xr:uid="{364a8ede-df38-443b-987d-0fa0ad8784e2}" ref="A1">
      <text>
        <t xml:space="preserve">[Threaded comment]
 Your version of Excel allows you to read this threaded comment; however, any edits to it will get removed if the file is opened in a newer version of Excel. Learn more: https://go.microsoft.com/fwlink/?linkid=870924
Comment:
	This is off the top. Home Warranty Coverage for Seller coverage.
</t>
      </text>
    </comment>
    <comment authorId="209" xr:uid="{369ad0c5-456b-4dc3-8caa-f231091a03de}" ref="A1">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upon the buyer’s delivery of property evidence or the removal of the Contingency of Purchase (COP 11.A).
</t>
      </text>
    </comment>
    <comment authorId="210" xr:uid="{36a2a75e-fd07-416c-83b6-47d0eade59c6}" ref="A1">
      <text>
        <t xml:space="preserve">[Threaded comment]
 Your version of Excel allows you to read this threaded comment; however, any edits to it will get removed if the file is opened in a newer version of Excel. Learn more: https://go.microsoft.com/fwlink/?linkid=870924
Comment:
	N IVY ST @isabel@coryhometeam.com VERIFIED
Assigned to isabel@coryhometeam.com
</t>
      </text>
    </comment>
    <comment authorId="211" xr:uid="{36fb07d7-5751-4a28-a9eb-729a6c62543f}" ref="A1">
      <text>
        <t xml:space="preserve">[Threaded comment]
 Your version of Excel allows you to read this threaded comment; however, any edits to it will get removed if the file is opened in a newer version of Excel. Learn more: https://go.microsoft.com/fwlink/?linkid=870924
Comment:
	Original pp $575k Per AEA Price increased to $579,00 plus $1,784 in seller cc
</t>
      </text>
    </comment>
    <comment authorId="212" xr:uid="{375e64c4-f9a9-4c44-ae62-fd90a31fef96}" ref="A1">
      <text>
        <t xml:space="preserve">[Threaded comment]
 Your version of Excel allows you to read this threaded comment; however, any edits to it will get removed if the file is opened in a newer version of Excel. Learn more: https://go.microsoft.com/fwlink/?linkid=870924
Comment:
	CONNER WAY @isabel@coryhometeam.com VERIFIED
Assigned to isabel@coryhometeam.com
</t>
      </text>
    </comment>
    <comment authorId="213" xr:uid="{38883a00-6db4-4559-93af-1992b05892af}" ref="A1">
      <text>
        <t xml:space="preserve">[Threaded comment]
 Your version of Excel allows you to read this threaded comment; however, any edits to it will get removed if the file is opened in a newer version of Excel. Learn more: https://go.microsoft.com/fwlink/?linkid=870924
Comment:
	17 Days after the Seller delivers written notice removing the SPRP
</t>
      </text>
    </comment>
    <comment authorId="214" xr:uid="{38c4b0cc-1e17-410d-a2c9-6d3ef86f2b87}" ref="A1">
      <text>
        <t xml:space="preserve">[Threaded comment]
 Your version of Excel allows you to read this threaded comment; however, any edits to it will get removed if the file is opened in a newer version of Excel. Learn more: https://go.microsoft.com/fwlink/?linkid=870924
Comment:
	BLUE CEDAR DR @isabel@coryhometeam.com VERIFIED
Assigned to isabel@coryhometeam.com
</t>
      </text>
    </comment>
    <comment authorId="215" xr:uid="{38c91fbc-6f61-4efb-b523-30352607f178}" ref="A1">
      <text>
        <t xml:space="preserve">[Threaded comment]
 Your version of Excel allows you to read this threaded comment; however, any edits to it will get removed if the file is opened in a newer version of Excel. Learn more: https://go.microsoft.com/fwlink/?linkid=870924
Comment:
	12650 Kingfisher Rd
8.20 Per ETA loan contingency or FULL moved to 8.22.
</t>
      </text>
    </comment>
    <comment authorId="216" xr:uid="{38d2b4da-f1d4-4464-99d6-ce50548a11b2}" ref="A1">
      <text>
        <t xml:space="preserve">[Threaded comment]
 Your version of Excel allows you to read this threaded comment; however, any edits to it will get removed if the file is opened in a newer version of Excel. Learn more: https://go.microsoft.com/fwlink/?linkid=870924
Comment:
	3830 Cougar Canyon Rd
7.7 An ETA is out extending the CR Loan from 6.16 to 7.8.
</t>
      </text>
    </comment>
    <comment authorId="217" xr:uid="{38dbab87-414d-44ef-80f4-306c5fa101aa}" ref="A1">
      <text>
        <t xml:space="preserve">[Threaded comment]
 Your version of Excel allows you to read this threaded comment; however, any edits to it will get removed if the file is opened in a newer version of Excel. Learn more: https://go.microsoft.com/fwlink/?linkid=870924
Comment:
	Icon NHD
</t>
      </text>
    </comment>
    <comment authorId="218" xr:uid="{38f6993f-625f-4af5-a70a-4707ee85db69}" ref="A1">
      <text>
        <t xml:space="preserve">[Threaded comment]
 Your version of Excel allows you to read this threaded comment; however, any edits to it will get removed if the file is opened in a newer version of Excel. Learn more: https://go.microsoft.com/fwlink/?linkid=870924
Comment:
	725 Washington Boulevard
AM verified.
@isabel@coryhometeam.com 
@kenia@coryhometeam.com 
6.3 CI sent to Escrow.
Assigned to isabel@coryhometeam.com
</t>
      </text>
    </comment>
    <comment authorId="219" xr:uid="{394e9f28-6c40-4d13-a119-3c20b39ae5b4}" ref="A1">
      <text>
        <t xml:space="preserve">[Threaded comment]
 Your version of Excel allows you to read this threaded comment; however, any edits to it will get removed if the file is opened in a newer version of Excel. Learn more: https://go.microsoft.com/fwlink/?linkid=870924
Comment:
	32314 Penstemon Way
AM verified.
@isabel@coryhometeam.com
@kenia@coryhometeam.com
8.20 CI sent to Escrow.
Assigned to isabel@coryhometeam.com
</t>
      </text>
    </comment>
    <comment authorId="220" xr:uid="{3992469f-8fd6-4078-b2f6-636eae4d0e96}"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2.3 CI sent to Escrow.
Assigned to isabel@coryhometeam.com
</t>
      </text>
    </comment>
    <comment authorId="221" xr:uid="{3999991b-a11f-4da6-91ce-e7c02c94aa6b}" ref="A1">
      <text>
        <t xml:space="preserve">[Threaded comment]
 Your version of Excel allows you to read this threaded comment; however, any edits to it will get removed if the file is opened in a newer version of Excel. Learn more: https://go.microsoft.com/fwlink/?linkid=870924
Comment:
	13022 Cypress Ave
AM verified.
@isabel@coryhometeam.com
@kenia@coryhometeam.com
11.20 CI sent to Escrow.
Assigned to isabel@coryhometeam.com
</t>
      </text>
    </comment>
    <comment authorId="222" xr:uid="{39ca661d-dc7b-4266-8a78-34597e376e0e}" ref="A1">
      <text>
        <t xml:space="preserve">[Threaded comment]
 Your version of Excel allows you to read this threaded comment; however, any edits to it will get removed if the file is opened in a newer version of Excel. Learn more: https://go.microsoft.com/fwlink/?linkid=870924
Comment:
	1.17 No info as of now. I will follow up with Kenia.
</t>
      </text>
    </comment>
    <comment authorId="223" xr:uid="{39d44032-2441-4089-b9d1-319069eaf843}" ref="A1">
      <text>
        <t xml:space="preserve">[Threaded comment]
 Your version of Excel allows you to read this threaded comment; however, any edits to it will get removed if the file is opened in a newer version of Excel. Learn more: https://go.microsoft.com/fwlink/?linkid=870924
Comment:
	Per Mel text on 01.30.25
Do not send MT for Commission correction.
</t>
      </text>
    </comment>
    <comment authorId="224" xr:uid="{3a105ffb-f7f4-4fa0-8403-6214d71f78b4}" ref="A1">
      <text>
        <t xml:space="preserve">[Threaded comment]
 Your version of Excel allows you to read this threaded comment; however, any edits to it will get removed if the file is opened in a newer version of Excel. Learn more: https://go.microsoft.com/fwlink/?linkid=870924
Comment:
	28391 Partridge Way # 903
AM verified.
@isabel@coryhometeam.com
@kenia@coryhometeam.com
10.13 CI sent to Escrow.
Assigned to isabel@coryhometeam.com
</t>
      </text>
    </comment>
    <comment authorId="225" xr:uid="{3a2cedbb-bc0c-4124-8469-e12ba0465e49}" ref="A1">
      <text>
        <t xml:space="preserve">[Threaded comment]
 Your version of Excel allows you to read this threaded comment; however, any edits to it will get removed if the file is opened in a newer version of Excel. Learn more: https://go.microsoft.com/fwlink/?linkid=870924
Comment:
	34305 Deergrass Way
AM verified.
@isabel@coryhometeam.com
@kenia@coryhometeam.com
11.6 CI sent to Escrow.
Assigned to isabel@coryhometeam.com
</t>
      </text>
    </comment>
    <comment authorId="226" xr:uid="{3a9def99-6556-4f0d-a198-69cf8eb6cdc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4.25 CI sent to Escrow.
Assigned to isabel@coryhometeam.com
</t>
      </text>
    </comment>
    <comment authorId="227" xr:uid="{3abe7744-ef9d-4c00-9f67-148076f1d54e}" ref="A1">
      <text>
        <t xml:space="preserve">[Threaded comment]
 Your version of Excel allows you to read this threaded comment; however, any edits to it will get removed if the file is opened in a newer version of Excel. Learn more: https://go.microsoft.com/fwlink/?linkid=870924
Comment:
	HENDRIX AVE @isabel@coryhometeam.com VERIFIED
Assigned to isabel@coryhometeam.com
</t>
      </text>
    </comment>
    <comment authorId="228" xr:uid="{3b1f1a6b-7110-4615-b36b-d9e6e06eacbc}"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Need to clarify the crediting of this Client; Jacob Singhavong Flex Sellers (951) 790-8765, Appt set by ISA Kelly- but this record in CHT TS shows that it is under Open Door Acquisition (by VA-RV)
Assigned to isabel@coryhometeam.com
</t>
      </text>
    </comment>
    <comment authorId="229" xr:uid="{3b5cd081-bf56-4cd1-9c2b-1a7c17ea3532}" ref="A1">
      <text>
        <t xml:space="preserve">[Threaded comment]
 Your version of Excel allows you to read this threaded comment; however, any edits to it will get removed if the file is opened in a newer version of Excel. Learn more: https://go.microsoft.com/fwlink/?linkid=870924
Comment:
	5.13 Lauren has been removed from the agreement, and the AOAA is out for signature.
</t>
      </text>
    </comment>
    <comment authorId="230" xr:uid="{3b75cf89-6d56-43ac-a864-a367e3227516}" ref="A1">
      <text>
        <t xml:space="preserve">[Threaded comment]
 Your version of Excel allows you to read this threaded comment; however, any edits to it will get removed if the file is opened in a newer version of Excel. Learn more: https://go.microsoft.com/fwlink/?linkid=870924
Comment:
	AVENIDA VENIDA @isabel@coryhometeam.com VERIFIED
Assigned to isabel@coryhometeam.com
</t>
      </text>
    </comment>
    <comment authorId="231" xr:uid="{3bbf8f6c-ea49-4ed7-a1f5-a7a4abd48fd4}" ref="A1">
      <text>
        <t xml:space="preserve">[Threaded comment]
 Your version of Excel allows you to read this threaded comment; however, any edits to it will get removed if the file is opened in a newer version of Excel. Learn more: https://go.microsoft.com/fwlink/?linkid=870924
Comment:
	Re: 1340 Roger St
Kenia Bautista &lt;kenia@coryhometeam.com&gt;
8:42 AM (7 minutes ago)
to Jenn, Cynthia, Petra
Good morning, this fee should have been accounted for per our intro email and BRBC nothing we can do now except waive it. 
I just got approval from management (Kiona G) Please waive it. 
Thank you 
On Thu, Feb 20, 2025 at 7:50 AM Jenn Albrecht &lt;jenn.albrecht@exprealty.net&gt; wrote:
Good Morning and Happy Thursday! Following up on this one please. 
Hi Kenia, please let us know the next steps regarding the $595 Admin Fee. Thank you so much! 
On Wed, Feb 19, 2025 at 11:16 AM Jenn Albrecht &lt;jenn.albrecht@exprealty.net&gt; wrote:
Hi Kenia, can you please let us know the next steps for this one please? 
On Wed, Feb 19, 2025 at 11:11 AM Cynthia Bealer &lt;cynthia@trilogyescrow.com&gt; wrote:
Hi Jenn,
I never received this and the buyer will have to pay the agent directly because I have zero money.
Thank you
</t>
      </text>
    </comment>
    <comment authorId="232" xr:uid="{3bdefb5b-b8ca-4a13-984a-18fe87b29f58}" ref="A1">
      <text>
        <t xml:space="preserve">[Threaded comment]
 Your version of Excel allows you to read this threaded comment; however, any edits to it will get removed if the file is opened in a newer version of Excel. Learn more: https://go.microsoft.com/fwlink/?linkid=870924
Comment:
	S SMITH AVE #5 @isabel@coryhometeam.com VERIFIED
Assigned to isabel@coryhometeam.com
</t>
      </text>
    </comment>
    <comment authorId="233" xr:uid="{3c0059fc-e277-45b6-9214-c522e6e2eb22}" ref="A1">
      <text>
        <t xml:space="preserve">[Threaded comment]
 Your version of Excel allows you to read this threaded comment; however, any edits to it will get removed if the file is opened in a newer version of Excel. Learn more: https://go.microsoft.com/fwlink/?linkid=870924
Comment:
	2160 W Rialto Ave # 122
9.23 Loan contingency extended to 10.6 as per ETA.
Reply:
	CR Loan moved to 10.13 as per ETA
</t>
      </text>
    </comment>
    <comment authorId="234" xr:uid="{3c30e569-bcb0-41e5-a917-178248e90eac}" ref="A1">
      <text>
        <t xml:space="preserve">[Threaded comment]
 Your version of Excel allows you to read this threaded comment; however, any edits to it will get removed if the file is opened in a newer version of Excel. Learn more: https://go.microsoft.com/fwlink/?linkid=870924
Comment:
	5.2 As per ETA the new COE is 5.27.
Reply:
	6.9 New ETA2 COE 6.13.
</t>
      </text>
    </comment>
    <comment authorId="235" xr:uid="{3c3a53c7-436e-4814-9e57-1c6156b3814a}" ref="X17">
      <text>
        <t xml:space="preserve">[Threaded comment]
 Your version of Excel allows you to read this threaded comment; however, any edits to it will get removed if the file is opened in a newer version of Excel. Learn more: https://go.microsoft.com/fwlink/?linkid=870924
Comment:
	5.5 COE date moved to 6.18 as per ADM2.
</t>
      </text>
    </comment>
    <comment authorId="236" xr:uid="{3cdd4922-92c7-44d4-a610-434ad9b8d374}" ref="A1">
      <text>
        <t xml:space="preserve">[Threaded comment]
 Your version of Excel allows you to read this threaded comment; however, any edits to it will get removed if the file is opened in a newer version of Excel. Learn more: https://go.microsoft.com/fwlink/?linkid=870924
Comment:
	S STATE #271 @isabel@coryhometeam.com VERIFIED
Assigned to isabel@coryhometeam.com
</t>
      </text>
    </comment>
    <comment authorId="237" xr:uid="{3d53f376-5353-4133-98da-45c827e24d5d}" ref="X29">
      <text>
        <t xml:space="preserve">[Threaded comment]
 Your version of Excel allows you to read this threaded comment; however, any edits to it will get removed if the file is opened in a newer version of Excel. Learn more: https://go.microsoft.com/fwlink/?linkid=870924
Comment:
	Estimated date only. This is contingent on buyers property.
</t>
      </text>
    </comment>
    <comment authorId="238" xr:uid="{3e47e363-fee2-47f0-b0a8-10cbdf6b516d}" ref="A1">
      <text>
        <t xml:space="preserve">[Threaded comment]
 Your version of Excel allows you to read this threaded comment; however, any edits to it will get removed if the file is opened in a newer version of Excel. Learn more: https://go.microsoft.com/fwlink/?linkid=870924
Comment:
	Buyer wanted to pay Addtional $600.00 towards Eddie's commission
</t>
      </text>
    </comment>
    <comment authorId="239" xr:uid="{3eaaf8dd-d049-43c4-bb33-a929999b9523}" ref="A1">
      <text>
        <t xml:space="preserve">[Threaded comment]
 Your version of Excel allows you to read this threaded comment; however, any edits to it will get removed if the file is opened in a newer version of Excel. Learn more: https://go.microsoft.com/fwlink/?linkid=870924
Comment:
	14768 Ingram Way
AM verified.
@isabel@coryhometeam.com 
@kenia@coryhometeam.com 
7.10 CI sent to Escrow.
Assigned to isabel@coryhometeam.com
</t>
      </text>
    </comment>
    <comment authorId="240" xr:uid="{3ee83abd-a7f9-41a7-8b75-6b9b5f242d55}" ref="A1">
      <text>
        <t xml:space="preserve">[Threaded comment]
 Your version of Excel allows you to read this threaded comment; however, any edits to it will get removed if the file is opened in a newer version of Excel. Learn more: https://go.microsoft.com/fwlink/?linkid=870924
Comment:
	Outside TC
</t>
      </text>
    </comment>
    <comment authorId="241" xr:uid="{3f000262-339b-477c-85ff-affa3218e9ec}" ref="A1">
      <text>
        <t xml:space="preserve">[Threaded comment]
 Your version of Excel allows you to read this threaded comment; however, any edits to it will get removed if the file is opened in a newer version of Excel. Learn more: https://go.microsoft.com/fwlink/?linkid=870924
Comment:
	33340 Gisborne Way
8.26 COE extended to 8.29 as per ETA.
Reply:
	9.2 New COE is 9.4. Please see new ETA2 form.
</t>
      </text>
    </comment>
    <comment authorId="242" xr:uid="{3f40046a-91e1-48b3-8ce0-32bd5b809e87}" ref="A1">
      <text>
        <t xml:space="preserve">[Threaded comment]
 Your version of Excel allows you to read this threaded comment; however, any edits to it will get removed if the file is opened in a newer version of Excel. Learn more: https://go.microsoft.com/fwlink/?linkid=870924
Comment:
	5.13 COE extended to 5.16 per ETA1.
</t>
      </text>
    </comment>
    <comment authorId="243" xr:uid="{3f858e8c-8b22-4a86-b168-59a55b24c99f}" ref="A1">
      <text>
        <t xml:space="preserve">[Threaded comment]
 Your version of Excel allows you to read this threaded comment; however, any edits to it will get removed if the file is opened in a newer version of Excel. Learn more: https://go.microsoft.com/fwlink/?linkid=870924
Comment:
	Buyer's sales property will not close in FL until 08/21 which are the funds required to close this transaction.
</t>
      </text>
    </comment>
    <comment authorId="244" xr:uid="{3f971410-dbe9-4044-8a17-43f8d6856af2}" ref="A1">
      <text>
        <t xml:space="preserve">[Threaded comment]
 Your version of Excel allows you to read this threaded comment; however, any edits to it will get removed if the file is opened in a newer version of Excel. Learn more: https://go.microsoft.com/fwlink/?linkid=870924
Comment:
	2.27 Per Lender: We received an appraisal waiver on this loan. No appraisal needed.
</t>
      </text>
    </comment>
    <comment authorId="245" xr:uid="{3fa8a36e-98ea-43e4-a541-879aa16755f0}" ref="A1">
      <text>
        <t xml:space="preserve">[Threaded comment]
 Your version of Excel allows you to read this threaded comment; however, any edits to it will get removed if the file is opened in a newer version of Excel. Learn more: https://go.microsoft.com/fwlink/?linkid=870924
Comment:
	43 Via Ermitas
AM verified.
@isabel@coryhometeam.com 
@kenia@coryhometeam.com 
6.10 CI sent to Escrow.
Assigned to isabel@coryhometeam.com
</t>
      </text>
    </comment>
    <comment authorId="246" xr:uid="{3fe3e58b-1481-44f6-acae-e3a75588349c}" ref="A1">
      <text>
        <t xml:space="preserve">[Threaded comment]
 Your version of Excel allows you to read this threaded comment; however, any edits to it will get removed if the file is opened in a newer version of Excel. Learn more: https://go.microsoft.com/fwlink/?linkid=870924
Comment:
	33165 Baldwin Blvd
8.6 Per Eddie, the total commission today is 3%—0.5% from the buyer and 2.5% from the seller.
</t>
      </text>
    </comment>
    <comment authorId="247" xr:uid="{3ff1b32d-3c0a-42e3-834a-8d7f4002fbfc}" ref="A1">
      <text>
        <t xml:space="preserve">[Threaded comment]
 Your version of Excel allows you to read this threaded comment; however, any edits to it will get removed if the file is opened in a newer version of Excel. Learn more: https://go.microsoft.com/fwlink/?linkid=870924
Comment:
	6.10 Loan extended to 6.10 as per ETA.
</t>
      </text>
    </comment>
    <comment authorId="248" xr:uid="{3ff73274-1949-46d1-9202-f3ff2fc9fda4}" ref="A1">
      <text>
        <t xml:space="preserve">[Threaded comment]
 Your version of Excel allows you to read this threaded comment; however, any edits to it will get removed if the file is opened in a newer version of Excel. Learn more: https://go.microsoft.com/fwlink/?linkid=870924
Comment:
	ROBINSON LN @isabel@coryhometeam.com VERIFIED
Assigned to isabel@coryhometeam.com
</t>
      </text>
    </comment>
    <comment authorId="249" xr:uid="{40032895-658c-4115-97aa-14fdfcb431f4}" ref="A1">
      <text>
        <t xml:space="preserve">[Threaded comment]
 Your version of Excel allows you to read this threaded comment; however, any edits to it will get removed if the file is opened in a newer version of Excel. Learn more: https://go.microsoft.com/fwlink/?linkid=870924
Comment:
	COSMO WAY @isabel@coryhometeam.com VERIFIED
Assigned to isabel@coryhometeam.com
</t>
      </text>
    </comment>
    <comment authorId="250" xr:uid="{4094519b-a073-4f23-ae37-a4dcb49ab432}" ref="A1">
      <text>
        <t xml:space="preserve">[Threaded comment]
 Your version of Excel allows you to read this threaded comment; however, any edits to it will get removed if the file is opened in a newer version of Excel. Learn more: https://go.microsoft.com/fwlink/?linkid=870924
Comment:
	36778 Boxwood Way
6.2 As per ETA3 the new COE is 6.5 or sooner.
</t>
      </text>
    </comment>
    <comment authorId="251" xr:uid="{40c722a4-d450-465f-aad1-e22ca11769eb}" ref="A1">
      <text>
        <t xml:space="preserve">[Threaded comment]
 Your version of Excel allows you to read this threaded comment; however, any edits to it will get removed if the file is opened in a newer version of Excel. Learn more: https://go.microsoft.com/fwlink/?linkid=870924
Comment:
	No Marketing per MLSA
</t>
      </text>
    </comment>
    <comment authorId="252" xr:uid="{40cdfcc0-afa8-4740-9cd8-db4b0780d0a5}" ref="A1">
      <text>
        <t xml:space="preserve">[Threaded comment]
 Your version of Excel allows you to read this threaded comment; however, any edits to it will get removed if the file is opened in a newer version of Excel. Learn more: https://go.microsoft.com/fwlink/?linkid=870924
Comment:
	2.5% from Seller 1.0% from Buyer
</t>
      </text>
    </comment>
    <comment authorId="253" xr:uid="{413f6bef-0ef5-4c9d-8b22-127ee6afa104}" ref="A1">
      <text>
        <t xml:space="preserve">[Threaded comment]
 Your version of Excel allows you to read this threaded comment; however, any edits to it will get removed if the file is opened in a newer version of Excel. Learn more: https://go.microsoft.com/fwlink/?linkid=870924
Comment:
	67470 Quijo Rd
AM verified.
@isabel@coryhometeam.com 
@kenia@coryhometeam.com 
7.25 CI sent to Escrow.
Assigned to isabel@coryhometeam.com
</t>
      </text>
    </comment>
    <comment authorId="254" xr:uid="{416e9527-b1eb-44c4-9441-f938a750cace}"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5.13 CI sent to Escrow.
Assigned to isabel@coryhometeam.com
</t>
      </text>
    </comment>
    <comment authorId="255" xr:uid="{41714db9-6930-44d0-b1da-22d42a90d7b4}" ref="A1">
      <text>
        <t xml:space="preserve">[Threaded comment]
 Your version of Excel allows you to read this threaded comment; however, any edits to it will get removed if the file is opened in a newer version of Excel. Learn more: https://go.microsoft.com/fwlink/?linkid=870924
Comment:
	BASALT WAY @isabel@coryhometeam.com VERIFIED
Assigned to isabel@coryhometeam.com
</t>
      </text>
    </comment>
    <comment authorId="256" xr:uid="{41a7a8a3-867a-414f-93c1-1bac06efe37c}" ref="A1">
      <text>
        <t xml:space="preserve">[Threaded comment]
 Your version of Excel allows you to read this threaded comment; however, any edits to it will get removed if the file is opened in a newer version of Excel. Learn more: https://go.microsoft.com/fwlink/?linkid=870924
Comment:
	MADISON ST @isabel@coryhometeam.com VERIFIED
Assigned to isabel@coryhometeam.com
</t>
      </text>
    </comment>
    <comment authorId="257" xr:uid="{431c41a0-e38d-4323-8a38-81764a41356c}" ref="A1">
      <text>
        <t xml:space="preserve">[Threaded comment]
 Your version of Excel allows you to read this threaded comment; however, any edits to it will get removed if the file is opened in a newer version of Excel. Learn more: https://go.microsoft.com/fwlink/?linkid=870924
Comment:
	TERRARAMA AVE @isabel@coryhometeam.com VERIFIED
Assigned to isabel@coryhometeam.com
</t>
      </text>
    </comment>
    <comment authorId="258" xr:uid="{437da0ed-f51b-4f85-aa5d-1608cc54ca44}"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this was not entered to Agent board
Assigned to aileen@coryhometeam.com
Reply:
	@aileen@coryhometeam.com The RLA was signed on 07/02/25 this needs to be processed immediately.
</t>
      </text>
    </comment>
    <comment authorId="259" xr:uid="{439d4237-8d80-4ea4-8a26-14a14eda995a}" ref="A1">
      <text>
        <t xml:space="preserve">[Threaded comment]
 Your version of Excel allows you to read this threaded comment; however, any edits to it will get removed if the file is opened in a newer version of Excel. Learn more: https://go.microsoft.com/fwlink/?linkid=870924
Comment:
	17 Days after the Seller delivers written notice removing the SPRP
</t>
      </text>
    </comment>
    <comment authorId="260" xr:uid="{43de3e26-39d1-4d66-ba90-6db0c544b9f6}" ref="A1">
      <text>
        <t xml:space="preserve">[Threaded comment]
 Your version of Excel allows you to read this threaded comment; however, any edits to it will get removed if the file is opened in a newer version of Excel. Learn more: https://go.microsoft.com/fwlink/?linkid=870924
Comment:
	@kenia@coryhometeam.com @isabel@coryhometeam.com Closed Seller but not found on the Closed Transaction tab
Assigned to kenia@coryhometeam.com
</t>
      </text>
    </comment>
    <comment authorId="261" xr:uid="{43ee7537-b653-4465-a940-1f8cc21a69d5}" ref="A1">
      <text>
        <t xml:space="preserve">[Threaded comment]
 Your version of Excel allows you to read this threaded comment; however, any edits to it will get removed if the file is opened in a newer version of Excel. Learn more: https://go.microsoft.com/fwlink/?linkid=870924
Comment:
	Credit to Home Warranty for GOLD PLUS off the top.
</t>
      </text>
    </comment>
    <comment authorId="262" xr:uid="{43f63ad2-ad7b-41c5-bb5c-eefe03e363e4}" ref="A1">
      <text>
        <t xml:space="preserve">[Threaded comment]
 Your version of Excel allows you to read this threaded comment; however, any edits to it will get removed if the file is opened in a newer version of Excel. Learn more: https://go.microsoft.com/fwlink/?linkid=870924
Comment:
	@kenia@coryhometeam.com 
12.27 This is a Short sale. Pending Approval
Assigned to kenia@coryhometeam.com
</t>
      </text>
    </comment>
    <comment authorId="263" xr:uid="{43f675a4-d4ed-4b5a-988b-20742e795718}" ref="A1">
      <text>
        <t xml:space="preserve">[Threaded comment]
 Your version of Excel allows you to read this threaded comment; however, any edits to it will get removed if the file is opened in a newer version of Excel. Learn more: https://go.microsoft.com/fwlink/?linkid=870924
Comment:
	ROMANCE PL @isabel@coryhometeam.com VERIFIED
Assigned to isabel@coryhometeam.com
Reply:
	@alexis@coryhometeam.com @isabel@coryhometeam.com 33198 Romance Pl. personal deal $1500 to the team and remainder of the commission will be split 50/50 between Dana Garcia &amp; Myrna
Reply:
	Hi Dana - thank you, do I need to do anyting on my end?
Reply:
	@alexis I dont think so, just wanted to make sure you were aware.
</t>
      </text>
    </comment>
    <comment authorId="264" xr:uid="{44029d52-d807-43c4-aabd-2784513aaf0a}" ref="A1">
      <text>
        <t xml:space="preserve">[Threaded comment]
 Your version of Excel allows you to read this threaded comment; however, any edits to it will get removed if the file is opened in a newer version of Excel. Learn more: https://go.microsoft.com/fwlink/?linkid=870924
Comment:
	W 4TH ST @isabel@coryhometeam.com VERIFIED
Assigned to isabel@coryhometeam.com
</t>
      </text>
    </comment>
    <comment authorId="265" xr:uid="{4473638a-13b1-4198-ab18-db74195570eb}" ref="A1">
      <text>
        <t xml:space="preserve">[Threaded comment]
 Your version of Excel allows you to read this threaded comment; however, any edits to it will get removed if the file is opened in a newer version of Excel. Learn more: https://go.microsoft.com/fwlink/?linkid=870924
Comment:
	9th reservation
</t>
      </text>
    </comment>
    <comment authorId="266" xr:uid="{44ae1ef2-2848-4186-ab8f-a4d51b58d97e}" ref="X5">
      <text>
        <t xml:space="preserve">[Threaded comment]
 Your version of Excel allows you to read this threaded comment; however, any edits to it will get removed if the file is opened in a newer version of Excel. Learn more: https://go.microsoft.com/fwlink/?linkid=870924
Comment:
	This is in legal dispute. Blake is helping Spencer fight for Commission.
</t>
      </text>
    </comment>
    <comment authorId="267" xr:uid="{44b4a751-45e4-400d-b2b7-640b0659bda7}" ref="A1">
      <text>
        <t xml:space="preserve">[Threaded comment]
 Your version of Excel allows you to read this threaded comment; however, any edits to it will get removed if the file is opened in a newer version of Excel. Learn more: https://go.microsoft.com/fwlink/?linkid=870924
Comment:
	All time periods shall begin upon the Seller’s delivery to the Buyer of a written notice removing the Finding Replacement Property Contingency (SPRP 2.A)
</t>
      </text>
    </comment>
    <comment authorId="268" xr:uid="{44fc6b85-7cd4-45d8-901f-785a315c4fd8}" ref="A1">
      <text>
        <t xml:space="preserve">[Threaded comment]
 Your version of Excel allows you to read this threaded comment; however, any edits to it will get removed if the file is opened in a newer version of Excel. Learn more: https://go.microsoft.com/fwlink/?linkid=870924
Comment:
	$100.00 to eXp
</t>
      </text>
    </comment>
    <comment authorId="269" xr:uid="{45568cec-707c-47a7-b5c5-71e632bfbf44}" ref="A1">
      <text>
        <t xml:space="preserve">[Threaded comment]
 Your version of Excel allows you to read this threaded comment; however, any edits to it will get removed if the file is opened in a newer version of Excel. Learn more: https://go.microsoft.com/fwlink/?linkid=870924
Comment:
	LITTLEROCK RANCHOS @isabel@coryhometeam.com VERIFIED
Assigned to isabel@coryhometeam.com
</t>
      </text>
    </comment>
    <comment authorId="270" xr:uid="{466a45c4-6351-40c6-82d9-1204c9865040}" ref="A1">
      <text>
        <t xml:space="preserve">[Threaded comment]
 Your version of Excel allows you to read this threaded comment; however, any edits to it will get removed if the file is opened in a newer version of Excel. Learn more: https://go.microsoft.com/fwlink/?linkid=870924
Comment:
	1499 Old Mountain Ave # 145
AM verified.
@isabel@coryhometeam.com 
@kenia@coryhometeam.com 
6.24 CI sent to Escrow.
Assigned to isabel@coryhometeam.com
</t>
      </text>
    </comment>
    <comment authorId="271" xr:uid="{47024e94-8f49-420e-b327-018b9e00ca19}"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5.2 CI sent to Escrow.
Assigned to isabel@coryhometeam.com
</t>
      </text>
    </comment>
    <comment authorId="272" xr:uid="{470441b8-04b6-4724-9c03-803953cef86e}" ref="A1">
      <text>
        <t xml:space="preserve">[Threaded comment]
 Your version of Excel allows you to read this threaded comment; however, any edits to it will get removed if the file is opened in a newer version of Excel. Learn more: https://go.microsoft.com/fwlink/?linkid=870924
Comment:
	SUNSE DR @isabel@coryhometeam.com VERIFIED
Assigned to isabel@coryhometeam.com
</t>
      </text>
    </comment>
    <comment authorId="273" xr:uid="{4709f7e3-70c6-4507-af7c-8ea14b18d0ab}" ref="A1">
      <text>
        <t xml:space="preserve">[Threaded comment]
 Your version of Excel allows you to read this threaded comment; however, any edits to it will get removed if the file is opened in a newer version of Excel. Learn more: https://go.microsoft.com/fwlink/?linkid=870924
Comment:
	2.28 New lender from Zillow to US Bank - Brandon Klump.
</t>
      </text>
    </comment>
    <comment authorId="274" xr:uid="{4748ebdd-4bd6-47d8-bf95-819fbcfeff0b}" ref="A1">
      <text>
        <t xml:space="preserve">[Threaded comment]
 Your version of Excel allows you to read this threaded comment; however, any edits to it will get removed if the file is opened in a newer version of Excel. Learn more: https://go.microsoft.com/fwlink/?linkid=870924
Comment:
	BUCHANAN ST @isabel@coryhometeam.com VERIFIED
Assigned to isabel@coryhometeam.com
</t>
      </text>
    </comment>
    <comment authorId="275" xr:uid="{477b8aad-06b0-4ee1-8a69-c9674c13274e}"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1.28 CI sent to Escrow.
Assigned to isabel@coryhometeam.com
</t>
      </text>
    </comment>
    <comment authorId="276" xr:uid="{47e841c1-b20d-4ac7-a909-eecf3cc9865a}" ref="A1">
      <text>
        <t xml:space="preserve">[Threaded comment]
 Your version of Excel allows you to read this threaded comment; however, any edits to it will get removed if the file is opened in a newer version of Excel. Learn more: https://go.microsoft.com/fwlink/?linkid=870924
Comment:
	8247 Concord St
Per Kenia LA's commission is $100.
</t>
      </text>
    </comment>
    <comment authorId="277" xr:uid="{47f2d330-8e2d-466c-9aa2-fda79035aaed}" ref="A1">
      <text>
        <t xml:space="preserve">[Threaded comment]
 Your version of Excel allows you to read this threaded comment; however, any edits to it will get removed if the file is opened in a newer version of Excel. Learn more: https://go.microsoft.com/fwlink/?linkid=870924
Comment:
	MALAGA RD @isabel@coryhometeam.com VERIFIED
Assigned to isabel@coryhometeam.com
</t>
      </text>
    </comment>
    <comment authorId="278" xr:uid="{47ffa218-48d4-4b40-9d36-0bef3e9f9137}" ref="A1">
      <text>
        <t xml:space="preserve">[Threaded comment]
 Your version of Excel allows you to read this threaded comment; however, any edits to it will get removed if the file is opened in a newer version of Excel. Learn more: https://go.microsoft.com/fwlink/?linkid=870924
Comment:
	@dana@coryhometeam.com For additional listing fees paid upfront on Alicia's files, how do you want this tracked on the TS for closings?
Assigned to dana@coryhometeam.com
</t>
      </text>
    </comment>
    <comment authorId="279" xr:uid="{4813f7ba-6302-4ec9-869a-a3216dc6cebb}" ref="A1">
      <text>
        <t xml:space="preserve">[Threaded comment]
 Your version of Excel allows you to read this threaded comment; however, any edits to it will get removed if the file is opened in a newer version of Excel. Learn more: https://go.microsoft.com/fwlink/?linkid=870924
Comment:
	2.24 New COE date from 3/3 to 2/28 as per ADM2.
</t>
      </text>
    </comment>
    <comment authorId="280" xr:uid="{48188836-ee21-4867-840f-62a8d245aab2}" ref="A1">
      <text>
        <t xml:space="preserve">[Threaded comment]
 Your version of Excel allows you to read this threaded comment; however, any edits to it will get removed if the file is opened in a newer version of Excel. Learn more: https://go.microsoft.com/fwlink/?linkid=870924
Comment:
	HORATIO AVE @isabel@coryhometeam.com VERIFIED
</t>
      </text>
    </comment>
    <comment authorId="281" xr:uid="{481d6299-d781-482c-a0a6-abb1e79db425}" ref="A1">
      <text>
        <t xml:space="preserve">[Threaded comment]
 Your version of Excel allows you to read this threaded comment; however, any edits to it will get removed if the file is opened in a newer version of Excel. Learn more: https://go.microsoft.com/fwlink/?linkid=870924
Comment:
	Sending ETA for COP, Buyer needs more time to get his home under contract.
</t>
      </text>
    </comment>
    <comment authorId="282" xr:uid="{48521250-357d-4147-bd29-e687b0877b99}" ref="A1">
      <text>
        <t xml:space="preserve">[Threaded comment]
 Your version of Excel allows you to read this threaded comment; however, any edits to it will get removed if the file is opened in a newer version of Excel. Learn more: https://go.microsoft.com/fwlink/?linkid=870924
Comment:
	Bridget handled sign/lockbox/ listing photos
</t>
      </text>
    </comment>
    <comment authorId="283" xr:uid="{485763af-dbc5-4405-9a64-4f583a9a7d4a}" ref="A1">
      <text>
        <t xml:space="preserve">[Threaded comment]
 Your version of Excel allows you to read this threaded comment; however, any edits to it will get removed if the file is opened in a newer version of Excel. Learn more: https://go.microsoft.com/fwlink/?linkid=870924
Comment:
	ANASAZI DR @isabel@coryhometeam.com VERIFIED
Assigned to isabel@coryhometeam.com
</t>
      </text>
    </comment>
    <comment authorId="284" xr:uid="{48886a62-f7ff-40c9-b232-07a24c62adb3}" ref="A1">
      <text>
        <t xml:space="preserve">[Threaded comment]
 Your version of Excel allows you to read this threaded comment; however, any edits to it will get removed if the file is opened in a newer version of Excel. Learn more: https://go.microsoft.com/fwlink/?linkid=870924
Comment:
	ANTOINETTE LN @isabel@coryhometeam.com VERIFIED
Assigned to isabel@coryhometeam.com
</t>
      </text>
    </comment>
    <comment authorId="285" xr:uid="{4896e0d4-717c-4e72-8c45-3b54fb92471e}" ref="A1">
      <text>
        <t xml:space="preserve">[Threaded comment]
 Your version of Excel allows you to read this threaded comment; however, any edits to it will get removed if the file is opened in a newer version of Excel. Learn more: https://go.microsoft.com/fwlink/?linkid=870924
Comment:
	3.21 Escrow info is missing.
</t>
      </text>
    </comment>
    <comment authorId="286" xr:uid="{48cf288c-1ffa-4f19-a893-d17f8195fc75}" ref="A1">
      <text>
        <t xml:space="preserve">[Threaded comment]
 Your version of Excel allows you to read this threaded comment; however, any edits to it will get removed if the file is opened in a newer version of Excel. Learn more: https://go.microsoft.com/fwlink/?linkid=870924
Comment:
	By @rafael@coryhometeam.com 12.18 New COE date per ETA1.
Assigned to rafael@coryhometeam.com
Reply:
	By @alexis@coryhometeam.com 12.31 
Previous Note on wrong property:
12/31/24 - Jennifer has advised the Buyer for the Sale Property funded and will close today but due to the holiday funds won't reach the New Build until 01/02 soonest.
Reassigned to alexis@coryhometeam.com
</t>
      </text>
    </comment>
    <comment authorId="287" xr:uid="{48ff2c17-7b71-4164-bc48-c32d345d53f5}" ref="AT8">
      <text>
        <t xml:space="preserve">[Threaded comment]
 Your version of Excel allows you to read this threaded comment; however, any edits to it will get removed if the file is opened in a newer version of Excel. Learn more: https://go.microsoft.com/fwlink/?linkid=870924
Comment:
	29757 Northshore St
AM verified.
@isabel@coryhometeam.com
@kenia@coryhometeam.com
5.20 CI sent to Escrow.
Assigned to isabel@coryhometeam.com
</t>
      </text>
    </comment>
    <comment authorId="288" xr:uid="{49347cc5-f6a2-412b-ae21-ecfb088c3a57}" ref="A1">
      <text>
        <t xml:space="preserve">[Threaded comment]
 Your version of Excel allows you to read this threaded comment; however, any edits to it will get removed if the file is opened in a newer version of Excel. Learn more: https://go.microsoft.com/fwlink/?linkid=870924
Comment:
	$1,000
</t>
      </text>
    </comment>
    <comment authorId="289" xr:uid="{4948b892-b441-4580-a6ed-34467b8a9ab8}" ref="A1">
      <text>
        <t xml:space="preserve">[Threaded comment]
 Your version of Excel allows you to read this threaded comment; however, any edits to it will get removed if the file is opened in a newer version of Excel. Learn more: https://go.microsoft.com/fwlink/?linkid=870924
Comment:
	YORKTOWN CIRCLE @isabel@coryhometeam.com VERIFIED
Assigned to isabel@coryhometeam.com
</t>
      </text>
    </comment>
    <comment authorId="290" xr:uid="{497543da-6e6c-4694-b0e8-5e426836cdbb}" ref="A1">
      <text>
        <t xml:space="preserve">[Threaded comment]
 Your version of Excel allows you to read this threaded comment; however, any edits to it will get removed if the file is opened in a newer version of Excel. Learn more: https://go.microsoft.com/fwlink/?linkid=870924
Comment:
	VISTA RIDGE RD @isabel@coryhometeam.com VERIFIED
Assigned to isabel@coryhometeam.com
</t>
      </text>
    </comment>
    <comment authorId="291" xr:uid="{49a6fded-02a6-4844-8c17-89bd169eebea}" ref="A1">
      <text>
        <t xml:space="preserve">[Threaded comment]
 Your version of Excel allows you to read this threaded comment; however, any edits to it will get removed if the file is opened in a newer version of Excel. Learn more: https://go.microsoft.com/fwlink/?linkid=870924
Comment:
	10.14 Per ADM1 the closing will be early.
</t>
      </text>
    </comment>
    <comment authorId="292" xr:uid="{49a9b9e9-c9a5-437c-9f81-88e193c16796}" ref="A1">
      <text>
        <t xml:space="preserve">[Threaded comment]
 Your version of Excel allows you to read this threaded comment; however, any edits to it will get removed if the file is opened in a newer version of Excel. Learn more: https://go.microsoft.com/fwlink/?linkid=870924
Comment:
	STATE ST #251 @isabel@coryhometeam.com VERIFIED
Assigned to isabel@coryhometeam.com
</t>
      </text>
    </comment>
    <comment authorId="293" xr:uid="{49b45d28-f157-429c-8561-c35d33d4b1ef}" ref="A1">
      <text>
        <t xml:space="preserve">[Threaded comment]
 Your version of Excel allows you to read this threaded comment; however, any edits to it will get removed if the file is opened in a newer version of Excel. Learn more: https://go.microsoft.com/fwlink/?linkid=870924
Comment:
	6.16 The total commission per Eddie is 2.5%. Please see MT-BR form with agents signature.
@isabel@coryhometeam.com 
@kenia@coryhometeam.com
</t>
      </text>
    </comment>
    <comment authorId="294" xr:uid="{4a971e90-eb3f-4646-80e8-8b12133361e0}" ref="A1">
      <text>
        <t xml:space="preserve">[Threaded comment]
 Your version of Excel allows you to read this threaded comment; however, any edits to it will get removed if the file is opened in a newer version of Excel. Learn more: https://go.microsoft.com/fwlink/?linkid=870924
Comment:
	4.25 Loan contingency move from 4.21 to 4.28 per ETA.
</t>
      </text>
    </comment>
    <comment authorId="295" xr:uid="{4aa26d52-a0b8-49d8-890d-9ab45797df47}" ref="A1">
      <text>
        <t xml:space="preserve">[Threaded comment]
 Your version of Excel allows you to read this threaded comment; however, any edits to it will get removed if the file is opened in a newer version of Excel. Learn more: https://go.microsoft.com/fwlink/?linkid=870924
Comment:
	SAN MARCOS @isabel@coryhometeam.com VERIFIED
Assigned to isabel@coryhometeam.com
</t>
      </text>
    </comment>
    <comment authorId="296" xr:uid="{4ae88ebd-da22-4be2-bdf1-f25c92b5e60d}"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5.16 CI sent to Escrow.
Assigned to isabel@coryhometeam.com
</t>
      </text>
    </comment>
    <comment authorId="297" xr:uid="{4afe66dc-553a-4a5f-aaaf-a7c5a28cc55a}" ref="A1">
      <text>
        <t xml:space="preserve">[Threaded comment]
 Your version of Excel allows you to read this threaded comment; however, any edits to it will get removed if the file is opened in a newer version of Excel. Learn more: https://go.microsoft.com/fwlink/?linkid=870924
Comment:
	ANABELL LANE @isabel@coryhometeam.com VERIFIED
Assigned to isabel@coryhometeam.com
</t>
      </text>
    </comment>
    <comment authorId="298" xr:uid="{4b90312d-9fe1-4b8f-a45c-9357e46800dc}" ref="A1">
      <text>
        <t xml:space="preserve">[Threaded comment]
 Your version of Excel allows you to read this threaded comment; however, any edits to it will get removed if the file is opened in a newer version of Excel. Learn more: https://go.microsoft.com/fwlink/?linkid=870924
Comment:
	8/12/25 Nate Text asking to change RLA LA comm from 2% to 1.75%
</t>
      </text>
    </comment>
    <comment authorId="299" xr:uid="{4bb7300e-ee66-40e6-93e4-cc27a5127ca7}"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3.27 CI sent to Escrow.
Assigned to isabel@coryhometeam.com
</t>
      </text>
    </comment>
    <comment authorId="300" xr:uid="{4bca3cc2-0bc3-417c-9bfe-75ee6abc7005}" ref="A1">
      <text>
        <t xml:space="preserve">[Threaded comment]
 Your version of Excel allows you to read this threaded comment; however, any edits to it will get removed if the file is opened in a newer version of Excel. Learn more: https://go.microsoft.com/fwlink/?linkid=870924
Comment:
	Reservation 3/6-3/10 *link sent
</t>
      </text>
    </comment>
    <comment authorId="301" xr:uid="{4cef7efe-4e34-4ed4-b14a-18c674752885}" ref="A1">
      <text>
        <t xml:space="preserve">[Threaded comment]
 Your version of Excel allows you to read this threaded comment; however, any edits to it will get removed if the file is opened in a newer version of Excel. Learn more: https://go.microsoft.com/fwlink/?linkid=870924
Comment:
	On Thu, Sep 4, 2025 at 10:57 AM Kenia Bautista &lt;kenia@coryhometeam.com&gt; wrote:
Hi Ladies, Ok found the issue!!! 😅
Commission Instruction (CI) for a total of $12,000
Amended Escrow Instruction (EI) with the $595.00 
AMENDMENT for $500 credit to seller from eXp Commission? 
I did not recall being told there was a commission reduction so I did just speak to Eddie and he confirmed to agreeing to pitch in the $500 but failed to let me know. This is why i did not do a Commission reduction for and we did not get a revised CDA
Please refer to the attachments for details. @dana@coryhometeam.com @isabel@coryhometeam.com
Assigned to dana@coryhometeam.com
</t>
      </text>
    </comment>
    <comment authorId="302" xr:uid="{4d3f2ae5-c2a9-4c6a-8ed4-13dfb36b2247}" ref="A1">
      <text>
        <t xml:space="preserve">[Threaded comment]
 Your version of Excel allows you to read this threaded comment; however, any edits to it will get removed if the file is opened in a newer version of Excel. Learn more: https://go.microsoft.com/fwlink/?linkid=870924
Comment:
	SUNSE DR @isabel@coryhometeam.com VERIFIED
Assigned to isabel@coryhometeam.com
</t>
      </text>
    </comment>
    <comment authorId="303" xr:uid="{4d4bd357-1c08-463d-8051-154d2a50d3c9}" ref="A1">
      <text>
        <t xml:space="preserve">[Threaded comment]
 Your version of Excel allows you to read this threaded comment; however, any edits to it will get removed if the file is opened in a newer version of Excel. Learn more: https://go.microsoft.com/fwlink/?linkid=870924
Comment:
	33140 Hill St
AM verified.
@isabel@coryhometeam.com
@kenia@coryhometeam.com
11.17 CI sent to Escrow.
Assigned to isabel@coryhometeam.com
</t>
      </text>
    </comment>
    <comment authorId="304" xr:uid="{4d745b8f-ad86-42d1-8261-0fa2d72292bb}" ref="A1">
      <text>
        <t xml:space="preserve">[Threaded comment]
 Your version of Excel allows you to read this threaded comment; however, any edits to it will get removed if the file is opened in a newer version of Excel. Learn more: https://go.microsoft.com/fwlink/?linkid=870924
Comment:
	GRIGG LANE @isabel@coryhometeam.com VERIFIED
Assigned to isabel@coryhometeam.com
</t>
      </text>
    </comment>
    <comment authorId="305" xr:uid="{4d7add7b-3030-4972-b2b3-db92fae7c047}"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2.5 CI sent to Escrow.
Assigned to isabel@coryhometeam.com
</t>
      </text>
    </comment>
    <comment authorId="306" xr:uid="{4dc6d324-5fb3-4264-af1a-21a72e6b36e5}" ref="A1">
      <text>
        <t xml:space="preserve">[Threaded comment]
 Your version of Excel allows you to read this threaded comment; however, any edits to it will get removed if the file is opened in a newer version of Excel. Learn more: https://go.microsoft.com/fwlink/?linkid=870924
Comment:
	YOSEMITE Pl. @isabel@coryhometeam.com VERIFIED
Assigned to isabel@coryhometeam.com
</t>
      </text>
    </comment>
    <comment authorId="307" xr:uid="{4deb8098-8be5-443b-b02e-5f801f768643}" ref="A1">
      <text>
        <t xml:space="preserve">[Threaded comment]
 Your version of Excel allows you to read this threaded comment; however, any edits to it will get removed if the file is opened in a newer version of Excel. Learn more: https://go.microsoft.com/fwlink/?linkid=870924
Comment:
	PASEO DE FRANCISCO @isabel@coryhometeam.com VERIFIED
Assigned to isabel@coryhometeam.com
</t>
      </text>
    </comment>
    <comment authorId="308" xr:uid="{501f8f21-252e-4142-92ce-1afeabb85c7a}" ref="A1">
      <text>
        <t xml:space="preserve">[Threaded comment]
 Your version of Excel allows you to read this threaded comment; however, any edits to it will get removed if the file is opened in a newer version of Excel. Learn more: https://go.microsoft.com/fwlink/?linkid=870924
Comment:
	13133 4th Ave
AM verified.
@isabel@coryhometeam.com 
@kenia@coryhometeam.com 
7.25 CI sent to Escrow.
Assigned to isabel@coryhometeam.com
</t>
      </text>
    </comment>
    <comment authorId="309" xr:uid="{50774a9c-90dc-48d0-adfd-17b435f2f18c}" ref="A1">
      <text>
        <t xml:space="preserve">[Threaded comment]
 Your version of Excel allows you to read this threaded comment; however, any edits to it will get removed if the file is opened in a newer version of Excel. Learn more: https://go.microsoft.com/fwlink/?linkid=870924
Comment:
	Waiting on the removed of the SPRP contingency.
</t>
      </text>
    </comment>
    <comment authorId="310" xr:uid="{507a8df2-fdba-4a3d-b785-ffff952171b2}" ref="A1">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the day after buyer’s delivery of Escrow Evidence for Buyer's Property (COP 11.A(i)
</t>
      </text>
    </comment>
    <comment authorId="311" xr:uid="{508fd683-2caf-4c5b-ae54-ddfd02a82c1c}" ref="A1">
      <text>
        <t xml:space="preserve">[Threaded comment]
 Your version of Excel allows you to read this threaded comment; however, any edits to it will get removed if the file is opened in a newer version of Excel. Learn more: https://go.microsoft.com/fwlink/?linkid=870924
Comment:
	6.24 The $595 fee is to be verified by Kenia.
</t>
      </text>
    </comment>
    <comment authorId="312" xr:uid="{50e50615-8d90-48bd-9345-a1fbc9f221bf}" ref="A1">
      <text>
        <t xml:space="preserve">[Threaded comment]
 Your version of Excel allows you to read this threaded comment; however, any edits to it will get removed if the file is opened in a newer version of Excel. Learn more: https://go.microsoft.com/fwlink/?linkid=870924
Comment:
	source changed from referral to sign call- FUB note referral from a sign caller
</t>
      </text>
    </comment>
    <comment authorId="313" xr:uid="{50fd8e75-8ee5-4bfe-81c1-d30397b51421}" ref="A1">
      <text>
        <t xml:space="preserve">[Threaded comment]
 Your version of Excel allows you to read this threaded comment; however, any edits to it will get removed if the file is opened in a newer version of Excel. Learn more: https://go.microsoft.com/fwlink/?linkid=870924
Comment:
	2.20 ADM1 COE 3.12 out for signature.
</t>
      </text>
    </comment>
    <comment authorId="314" xr:uid="{512ca21a-dbfb-4e40-8154-9fd567104955}" ref="A1">
      <text>
        <t xml:space="preserve">[Threaded comment]
 Your version of Excel allows you to read this threaded comment; however, any edits to it will get removed if the file is opened in a newer version of Excel. Learn more: https://go.microsoft.com/fwlink/?linkid=870924
Comment:
	Cost of Home Warranty Coverage
</t>
      </text>
    </comment>
    <comment authorId="315" xr:uid="{5150bf60-ac65-4521-9ee6-81ad849f5294}" ref="A1">
      <text>
        <t xml:space="preserve">[Threaded comment]
 Your version of Excel allows you to read this threaded comment; however, any edits to it will get removed if the file is opened in a newer version of Excel. Learn more: https://go.microsoft.com/fwlink/?linkid=870924
Comment:
	913 S Grand Ave # 41
AM verified.
@isabel@coryhometeam.com
@kenia@coryhometeam.com
12.1 CI sent to Escrow.
Assigned to isabel@coryhometeam.com
</t>
      </text>
    </comment>
    <comment authorId="316" xr:uid="{51a45d58-22cb-4f45-9ae2-4bc9579c67ed}"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3.19 CI sent to Escrow.
Assigned to isabel@coryhometeam.com
</t>
      </text>
    </comment>
    <comment authorId="317" xr:uid="{5208a200-ddf5-402f-814f-b0ce0c9dc009}" ref="A1">
      <text>
        <t xml:space="preserve">[Threaded comment]
 Your version of Excel allows you to read this threaded comment; however, any edits to it will get removed if the file is opened in a newer version of Excel. Learn more: https://go.microsoft.com/fwlink/?linkid=870924
Comment:
	VIA DEL LARGO @isabel@coryhometeam.com VERIFIED
Assigned to isabel@coryhometeam.com
</t>
      </text>
    </comment>
    <comment authorId="318" xr:uid="{52370f48-f7e8-483a-8cf2-18aaf0a4e932}" ref="A1">
      <text>
        <t xml:space="preserve">[Threaded comment]
 Your version of Excel allows you to read this threaded comment; however, any edits to it will get removed if the file is opened in a newer version of Excel. Learn more: https://go.microsoft.com/fwlink/?linkid=870924
Comment:
	ANGELICA DR @isabel@coryhometeam.com VERIFIED
Assigned to isabel@coryhometeam.com
</t>
      </text>
    </comment>
    <comment authorId="319" xr:uid="{525d9668-98cb-46d4-8478-d22868fee3a2}" ref="A1">
      <text>
        <t xml:space="preserve">[Threaded comment]
 Your version of Excel allows you to read this threaded comment; however, any edits to it will get removed if the file is opened in a newer version of Excel. Learn more: https://go.microsoft.com/fwlink/?linkid=870924
Comment:
	CONCORD ST @isabel@coryhometeam.com VERIFIED
Assigned to isabel@coryhometeam.com
</t>
      </text>
    </comment>
    <comment authorId="320" xr:uid="{52abc30b-2b74-4ef8-8a2c-22b73a064eca}" ref="A1">
      <text>
        <t xml:space="preserve">[Threaded comment]
 Your version of Excel allows you to read this threaded comment; however, any edits to it will get removed if the file is opened in a newer version of Excel. Learn more: https://go.microsoft.com/fwlink/?linkid=870924
Comment:
	5161 Dorman Dr
AM verified.
@isabel@coryhometeam.com
@kenia@coryhometeam.com
9.22 CI sent to Escrow.
Assigned to isabel@coryhometeam.com
</t>
      </text>
    </comment>
    <comment authorId="321" xr:uid="{52cbe462-08ec-4caa-8b55-92e8cda95bb5}" ref="A1">
      <text>
        <t xml:space="preserve">[Threaded comment]
 Your version of Excel allows you to read this threaded comment; however, any edits to it will get removed if the file is opened in a newer version of Excel. Learn more: https://go.microsoft.com/fwlink/?linkid=870924
Comment:
	CALLA AVE @isabel@coryhometeam.com VERIFIED
Assigned to isabel@coryhometeam.com
</t>
      </text>
    </comment>
    <comment authorId="322" xr:uid="{52cd8f77-a684-4b0e-93ad-c0c8ed950f1d}" ref="A1">
      <text>
        <t xml:space="preserve">[Threaded comment]
 Your version of Excel allows you to read this threaded comment; however, any edits to it will get removed if the file is opened in a newer version of Excel. Learn more: https://go.microsoft.com/fwlink/?linkid=870924
Comment:
	multiple times
</t>
      </text>
    </comment>
    <comment authorId="323" xr:uid="{53bc13ba-09bb-4319-bd17-d4f8f66a8295}" ref="A1">
      <text>
        <t xml:space="preserve">[Threaded comment]
 Your version of Excel allows you to read this threaded comment; however, any edits to it will get removed if the file is opened in a newer version of Excel. Learn more: https://go.microsoft.com/fwlink/?linkid=870924
Comment:
	11.26 As per ETA1 COE extended to 12.2
</t>
      </text>
    </comment>
    <comment authorId="324" xr:uid="{53c10b0d-ed64-4f69-a566-1bdb880c6edf}"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12.12 W HEATHER ST @isabel@coryhometeam.com VERIFIED
</t>
      </text>
    </comment>
    <comment authorId="325" xr:uid="{541c8e6a-1ab5-4f54-aafa-d79e1df4b30d}" ref="A1">
      <text>
        <t xml:space="preserve">[Threaded comment]
 Your version of Excel allows you to read this threaded comment; however, any edits to it will get removed if the file is opened in a newer version of Excel. Learn more: https://go.microsoft.com/fwlink/?linkid=870924
Comment:
	RICHLAND RD @isabel@coryhometeam.com VERIFIED
Assigned to isabel@coryhometeam.com
</t>
      </text>
    </comment>
    <comment authorId="326" xr:uid="{546f4967-bf0b-4516-aa6a-a7e3407269e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3.31 CI sent to Escrow.
Assigned to isabel@coryhometeam.com
</t>
      </text>
    </comment>
    <comment authorId="327" xr:uid="{54793a47-ddb4-4bff-9812-a6e0382dfaa2}" ref="A1">
      <text>
        <t xml:space="preserve">[Threaded comment]
 Your version of Excel allows you to read this threaded comment; however, any edits to it will get removed if the file is opened in a newer version of Excel. Learn more: https://go.microsoft.com/fwlink/?linkid=870924
Comment:
	60 days after the removal of COP
Reply:
	3.10 COE is 4.16 per AEA2.
</t>
      </text>
    </comment>
    <comment authorId="328" xr:uid="{54ac39d3-3d93-4ea6-af35-7609d02ab6ff}" ref="A1">
      <text>
        <t xml:space="preserve">[Threaded comment]
 Your version of Excel allows you to read this threaded comment; however, any edits to it will get removed if the file is opened in a newer version of Excel. Learn more: https://go.microsoft.com/fwlink/?linkid=870924
Comment:
	1.10 ETA COE 1.30 out for signature.
Reply:
	1.21 ETA2 COE 2.14 out in DocuSign.
Reply:
	2.13 ETA3 extending COE to 2.28 is out for signature.
Reply:
	3.5 ETA2 COE 3.10
</t>
      </text>
    </comment>
    <comment authorId="329" xr:uid="{54fa1bce-0ef9-4c91-baea-79dfcdd32468}" ref="A1">
      <text>
        <t xml:space="preserve">[Threaded comment]
 Your version of Excel allows you to read this threaded comment; however, any edits to it will get removed if the file is opened in a newer version of Excel. Learn more: https://go.microsoft.com/fwlink/?linkid=870924
Comment:
	not releasing payment until hold back is paid
Reply:
	Hold back is now paid. copy of check in SS 11/17
</t>
      </text>
    </comment>
    <comment authorId="330" xr:uid="{552ddb2a-0aaf-471b-9024-6562a6bac487}" ref="A1">
      <text>
        <t xml:space="preserve">[Threaded comment]
 Your version of Excel allows you to read this threaded comment; however, any edits to it will get removed if the file is opened in a newer version of Excel. Learn more: https://go.microsoft.com/fwlink/?linkid=870924
Comment:
	Lender delay
</t>
      </text>
    </comment>
    <comment authorId="331" xr:uid="{556b8e8c-062e-4160-a7c4-884ed91a4734}" ref="A1">
      <text>
        <t xml:space="preserve">[Threaded comment]
 Your version of Excel allows you to read this threaded comment; however, any edits to it will get removed if the file is opened in a newer version of Excel. Learn more: https://go.microsoft.com/fwlink/?linkid=870924
Comment:
	0 River Rd
AM verified
@isabel@coryhometeam.com 
@kenia@coryhometeam.com 
7.11 CI sent to Escrow.
Assigned to isabel@coryhometeam.com
</t>
      </text>
    </comment>
    <comment authorId="332" xr:uid="{55a70f23-965a-41a7-b49c-b073c86d4b3f}" ref="AD8">
      <text>
        <t xml:space="preserve">[Threaded comment]
 Your version of Excel allows you to read this threaded comment; however, any edits to it will get removed if the file is opened in a newer version of Excel. Learn more: https://go.microsoft.com/fwlink/?linkid=870924
Comment:
	6.1 Per Kenia the commission is reduced from 5% to 4%.
</t>
      </text>
    </comment>
    <comment authorId="333" xr:uid="{566a2c75-aa17-4169-bb66-ed03655eb4fd}" ref="A1">
      <text>
        <t xml:space="preserve">[Threaded comment]
 Your version of Excel allows you to read this threaded comment; however, any edits to it will get removed if the file is opened in a newer version of Excel. Learn more: https://go.microsoft.com/fwlink/?linkid=870924
Comment:
	4.21 CR Inspection extended to 4.24 per ETA1.
</t>
      </text>
    </comment>
    <comment authorId="334" xr:uid="{567c5d71-b5c0-450b-aa67-1cf806f0fdbb}" ref="A1">
      <text>
        <t xml:space="preserve">[Threaded comment]
 Your version of Excel allows you to read this threaded comment; however, any edits to it will get removed if the file is opened in a newer version of Excel. Learn more: https://go.microsoft.com/fwlink/?linkid=870924
Comment:
	per Richard; client is paying
</t>
      </text>
    </comment>
    <comment authorId="335" xr:uid="{56e597ff-08d2-413e-84af-f4e1b4a7af79}" ref="A1">
      <text>
        <t xml:space="preserve">[Threaded comment]
 Your version of Excel allows you to read this threaded comment; however, any edits to it will get removed if the file is opened in a newer version of Excel. Learn more: https://go.microsoft.com/fwlink/?linkid=870924
Comment:
	16473 Green Tree Blvd #34
AM verified.
@isabel@coryhometeam.com
@kenia@coryhometeam.com
8.20 CI sent to Escrow.
Assigned to isabel@coryhometeam.com
</t>
      </text>
    </comment>
    <comment authorId="336" xr:uid="{57224220-dcce-4c3b-a5f3-c9267d5dda38}" ref="A1">
      <text>
        <t xml:space="preserve">[Threaded comment]
 Your version of Excel allows you to read this threaded comment; however, any edits to it will get removed if the file is opened in a newer version of Excel. Learn more: https://go.microsoft.com/fwlink/?linkid=870924
Comment:
	2739 Calle Colima #102
AM verified.
@isabel@coryhometeam.com
@kenia@coryhometeam.com
12.29 CI sent to Escrow.
Assigned to isabel@coryhometeam.com
</t>
      </text>
    </comment>
    <comment authorId="337" xr:uid="{574fb6f2-1bd1-4a22-8997-3968152e6d22}" ref="X28">
      <text>
        <t xml:space="preserve">[Threaded comment]
 Your version of Excel allows you to read this threaded comment; however, any edits to it will get removed if the file is opened in a newer version of Excel. Learn more: https://go.microsoft.com/fwlink/?linkid=870924
Comment:
	Estimated date only. This is contingent on buyers property.
</t>
      </text>
    </comment>
    <comment authorId="338" xr:uid="{57785e44-a51a-42ae-9799-b2764e71797f}" ref="A1">
      <text>
        <t xml:space="preserve">[Threaded comment]
 Your version of Excel allows you to read this threaded comment; however, any edits to it will get removed if the file is opened in a newer version of Excel. Learn more: https://go.microsoft.com/fwlink/?linkid=870924
Comment:
	11642 Periwinkle Place
AM verified.
@isabel@coryhometeam.com
@kenia@coryhometeam.com
9.25 CI sent to Escrow.
Assigned to isabel@coryhometeam.com
</t>
      </text>
    </comment>
    <comment authorId="339" xr:uid="{57a376f7-6542-4d40-bc74-2b7925287fe2}" ref="A1">
      <text>
        <t xml:space="preserve">[Threaded comment]
 Your version of Excel allows you to read this threaded comment; however, any edits to it will get removed if the file is opened in a newer version of Excel. Learn more: https://go.microsoft.com/fwlink/?linkid=870924
Comment:
	7.15 Except mobile park.
</t>
      </text>
    </comment>
    <comment authorId="340" xr:uid="{5873bb31-0bea-46db-babf-1a9884a80150}" ref="A1">
      <text>
        <t xml:space="preserve">[Threaded comment]
 Your version of Excel allows you to read this threaded comment; however, any edits to it will get removed if the file is opened in a newer version of Excel. Learn more: https://go.microsoft.com/fwlink/?linkid=870924
Comment:
	SATTUI ST. @isabel@coryhometeam.com VERIFIED
Assigned to isabel@coryhometeam.com
</t>
      </text>
    </comment>
    <comment authorId="341" xr:uid="{59033052-d789-47c6-85e1-807745f6377a}" ref="A1">
      <text>
        <t xml:space="preserve">[Threaded comment]
 Your version of Excel allows you to read this threaded comment; however, any edits to it will get removed if the file is opened in a newer version of Excel. Learn more: https://go.microsoft.com/fwlink/?linkid=870924
Comment:
	$245.00 Home Warranty difference is covered by Buyers Agent Commision
Reply:
	$245 HW difference is to be covered by CHT. 
This contract was prior to the 10/01 change and we sell our Gold Coverage as the package guaranteed to buyers.
</t>
      </text>
    </comment>
    <comment authorId="342" xr:uid="{59399378-5895-406c-83ee-dda1916a51d9}"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3.26 CI sent to Escrow.
Assigned to isabel@coryhometeam.com
Reply:
	@isabel@coryhometeam.com 
4.3 REVISED CI sent to Escrow.
</t>
      </text>
    </comment>
    <comment authorId="343" xr:uid="{596d2b19-b1e5-4dc4-b02b-cc6eaeaeaabf}" ref="A1">
      <text>
        <t xml:space="preserve">[Threaded comment]
 Your version of Excel allows you to read this threaded comment; however, any edits to it will get removed if the file is opened in a newer version of Excel. Learn more: https://go.microsoft.com/fwlink/?linkid=870924
Comment:
	2160 W Rialto Ave # 122
9.23 Inspection contingency extended to 10.1 as per ETA.
</t>
      </text>
    </comment>
    <comment authorId="344" xr:uid="{597844fe-ad8f-4749-9ee0-b2e21194bd68}" ref="A1">
      <text>
        <t xml:space="preserve">[Threaded comment]
 Your version of Excel allows you to read this threaded comment; however, any edits to it will get removed if the file is opened in a newer version of Excel. Learn more: https://go.microsoft.com/fwlink/?linkid=870924
Comment:
	566 Ebbtide Cir
8.4 CR FULL extended to to 8.6.
</t>
      </text>
    </comment>
    <comment authorId="345" xr:uid="{59916aee-95c5-4641-938e-aefdf6f88c3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2.20 CI sent to Escrow.
Assigned to isabel@coryhometeam.com
</t>
      </text>
    </comment>
    <comment authorId="346" xr:uid="{5999b149-ca4a-4abb-b1f9-8d7690d1da71}" ref="A1">
      <text>
        <t xml:space="preserve">[Threaded comment]
 Your version of Excel allows you to read this threaded comment; however, any edits to it will get removed if the file is opened in a newer version of Excel. Learn more: https://go.microsoft.com/fwlink/?linkid=870924
Comment:
	RE: 901 S Sixth Ave # 195, Hacienda Heights, CA 91745/ Re: ITEMS NEEDED: Julio Armando Rodriguez #141406
External
Inbox
Daisy Garcia
12:50 PM (1 minute ago)
to me, Eddie, Julio, Eevelyn_Flawbless, Miriam
No, we will not close on the 30th. Buyer still doesn’t have park approval.
Also, we have a problem with the title. The lender wants the lienholder removed completely from the title because they are on their banned list.
Escrow is trying to reach out to them directly for an exception because they aren’t giving me the exception.
Reply:
	8.7 New COE date per ETA 8.29.
</t>
      </text>
    </comment>
    <comment authorId="347" xr:uid="{5a2b737e-42e1-4418-9792-15287db4088a}" ref="A1">
      <text>
        <t xml:space="preserve">[Threaded comment]
 Your version of Excel allows you to read this threaded comment; however, any edits to it will get removed if the file is opened in a newer version of Excel. Learn more: https://go.microsoft.com/fwlink/?linkid=870924
Comment:
	LA's commission is $100.
</t>
      </text>
    </comment>
    <comment authorId="348" xr:uid="{5a2c8905-36da-4e53-8c46-cb0dea7fd88a}" ref="A1">
      <text>
        <t xml:space="preserve">[Threaded comment]
 Your version of Excel allows you to read this threaded comment; however, any edits to it will get removed if the file is opened in a newer version of Excel. Learn more: https://go.microsoft.com/fwlink/?linkid=870924
Comment:
	MURRIETA RD #191 @isabel@coryhometeam.com VERIFIED
Assigned to isabel@coryhometeam.com
</t>
      </text>
    </comment>
    <comment authorId="349" xr:uid="{5a30357b-a982-4bc4-ae4d-773a81bb9a85}" ref="A1">
      <text>
        <t xml:space="preserve">[Threaded comment]
 Your version of Excel allows you to read this threaded comment; however, any edits to it will get removed if the file is opened in a newer version of Excel. Learn more: https://go.microsoft.com/fwlink/?linkid=870924
Comment:
	GREEN FOREST DR @isabel@coryhometeam.com VERIFIED
Assigned to isabel@coryhometeam.com
</t>
      </text>
    </comment>
    <comment authorId="350" xr:uid="{5aaa1888-eb41-48c9-b978-b8c13b95a917}" ref="A1">
      <text>
        <t xml:space="preserve">[Threaded comment]
 Your version of Excel allows you to read this threaded comment; however, any edits to it will get removed if the file is opened in a newer version of Excel. Learn more: https://go.microsoft.com/fwlink/?linkid=870924
Comment:
	9.22 Buyer switched lender from Christian Dahlin to JP Morgan
</t>
      </text>
    </comment>
    <comment authorId="351" xr:uid="{5ae1dbb9-b25f-42e3-96b0-4a996d3a40fe}"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This listing agreement was signed on 06/27/25 - please process immediately.
Assigned to aileen@coryhometeam.com
</t>
      </text>
    </comment>
    <comment authorId="352" xr:uid="{5af0e2dd-f427-46fe-8913-2a406b8ebfb3}" ref="A1">
      <text>
        <t xml:space="preserve">[Threaded comment]
 Your version of Excel allows you to read this threaded comment; however, any edits to it will get removed if the file is opened in a newer version of Excel. Learn more: https://go.microsoft.com/fwlink/?linkid=870924
Comment:
	Please see comment on tab 67 A.
</t>
      </text>
    </comment>
    <comment authorId="353" xr:uid="{5b7e568e-a1f8-4be2-bc1e-14e5be68eba0}" ref="A1">
      <text>
        <t xml:space="preserve">[Threaded comment]
 Your version of Excel allows you to read this threaded comment; however, any edits to it will get removed if the file is opened in a newer version of Excel. Learn more: https://go.microsoft.com/fwlink/?linkid=870924
Comment:
	HILLCREST DR @isabel@coryhometeam.com VERIFIED
Assigned to isabel@coryhometeam.com
</t>
      </text>
    </comment>
    <comment authorId="354" xr:uid="{5bcd2125-51d8-44b5-ae42-92f767fbfb85}" ref="A1">
      <text>
        <t xml:space="preserve">[Threaded comment]
 Your version of Excel allows you to read this threaded comment; however, any edits to it will get removed if the file is opened in a newer version of Excel. Learn more: https://go.microsoft.com/fwlink/?linkid=870924
Comment:
	0 MOUNTAIN VIEW @isabel@coryhometeam.com VERIFIED
Assigned to isabel@coryhometeam.com
</t>
      </text>
    </comment>
    <comment authorId="355" xr:uid="{5bd970bd-e413-4f1c-9f65-689c1c9cd180}" ref="A1">
      <text>
        <t xml:space="preserve">[Threaded comment]
 Your version of Excel allows you to read this threaded comment; however, any edits to it will get removed if the file is opened in a newer version of Excel. Learn more: https://go.microsoft.com/fwlink/?linkid=870924
Comment:
	2865 Citrocado Ranch St
AM verified.
@isabel@coryhometeam.com
@kenia@coryhometeam.com
9.11 CI sent to Escrow.
Assigned to isabel@coryhometeam.com
</t>
      </text>
    </comment>
    <comment authorId="356" xr:uid="{5be3087e-1978-47c4-87db-36ff04a9b657}" ref="A1">
      <text>
        <t xml:space="preserve">[Threaded comment]
 Your version of Excel allows you to read this threaded comment; however, any edits to it will get removed if the file is opened in a newer version of Excel. Learn more: https://go.microsoft.com/fwlink/?linkid=870924
Comment:
	Reservation 2/7-2/9
</t>
      </text>
    </comment>
    <comment authorId="357" xr:uid="{5be3f76c-b2f5-4ab4-a55d-ba918983cf92}" ref="A1">
      <text>
        <t xml:space="preserve">[Threaded comment]
 Your version of Excel allows you to read this threaded comment; however, any edits to it will get removed if the file is opened in a newer version of Excel. Learn more: https://go.microsoft.com/fwlink/?linkid=870924
Comment:
	3360 Hopi Pl
AM verified.
@isabel@coryhometeam.com
@kenia@coryhometeam.com
10.1 CI sent to Escrow.
Assigned to isabel@coryhometeam.com
</t>
      </text>
    </comment>
    <comment authorId="358" xr:uid="{5cbe3938-fec3-4341-855e-8377e91d6e61}" ref="A1">
      <text>
        <t xml:space="preserve">[Threaded comment]
 Your version of Excel allows you to read this threaded comment; however, any edits to it will get removed if the file is opened in a newer version of Excel. Learn more: https://go.microsoft.com/fwlink/?linkid=870924
Comment:
	41527 Blue Canyon Avenue #3
AM verified.
@isabel@coryhometeam.com 
@kenia@coryhometeam.com 
5.28 CI sent to Escrow.
Assigned to isabel@coryhometeam.com
</t>
      </text>
    </comment>
    <comment authorId="359" xr:uid="{5cfaed6b-441a-4006-b887-d1bb287fc323}" ref="A1">
      <text>
        <t xml:space="preserve">[Threaded comment]
 Your version of Excel allows you to read this threaded comment; however, any edits to it will get removed if the file is opened in a newer version of Excel. Learn more: https://go.microsoft.com/fwlink/?linkid=870924
Comment:
	1.17 All parties agreed to 7 day escrow as per AEA1.
Reply:
	1.30 New COE date 2.3 as per ADM2.
</t>
      </text>
    </comment>
    <comment authorId="360" xr:uid="{5e0e10a3-18c0-4dc5-a5cb-9f66c96c3b83}"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1.6 CI sent to Escrow.
Assigned to isabel@coryhometeam.com
</t>
      </text>
    </comment>
    <comment authorId="361" xr:uid="{5e8ec96c-71b1-4b80-b31f-0518dfa801a1}" ref="A1">
      <text>
        <t xml:space="preserve">[Threaded comment]
 Your version of Excel allows you to read this threaded comment; however, any edits to it will get removed if the file is opened in a newer version of Excel. Learn more: https://go.microsoft.com/fwlink/?linkid=870924
Comment:
	4.28 ALL except COP.
</t>
      </text>
    </comment>
    <comment authorId="362" xr:uid="{5ea8ae49-0de5-490f-9d44-2e12776685f8}" ref="A1">
      <text>
        <t xml:space="preserve">[Threaded comment]
 Your version of Excel allows you to read this threaded comment; however, any edits to it will get removed if the file is opened in a newer version of Excel. Learn more: https://go.microsoft.com/fwlink/?linkid=870924
Comment:
	MACHADO ST @isabel@coryhometeam.com VERIFIED
Assigned to isabel@coryhometeam.com
Reply:
	AM verified 31750 Machado St #83
@isabel@coryhometeam.com 
@kenia@coryhometeam.com 
5.19 CI sent o Escrow.
</t>
      </text>
    </comment>
    <comment authorId="363" xr:uid="{5f4b8044-5d9d-4221-9e44-89fcef17ad41}" ref="A1">
      <text>
        <t xml:space="preserve">[Threaded comment]
 Your version of Excel allows you to read this threaded comment; however, any edits to it will get removed if the file is opened in a newer version of Excel. Learn more: https://go.microsoft.com/fwlink/?linkid=870924
Comment:
	DARWIN RD @isabel@coryhometeam.com VERIFIED
Assigned to isabel@coryhometeam.com
Reply:
	@isabel@coryhometeam.com Fern is asking for me to confirm splits are completed so payment can be released ASAP once we close.
</t>
      </text>
    </comment>
    <comment authorId="364" xr:uid="{5f6472c0-7a4b-4692-98f1-32e0729136e4}" ref="A1">
      <text>
        <t xml:space="preserve">[Threaded comment]
 Your version of Excel allows you to read this threaded comment; however, any edits to it will get removed if the file is opened in a newer version of Excel. Learn more: https://go.microsoft.com/fwlink/?linkid=870924
Comment:
	5/3-5/5 cancelled
5/11-5/13
</t>
      </text>
    </comment>
    <comment authorId="365" xr:uid="{5f778d8c-56fc-4c98-a4ad-91624cae386a}" ref="A1">
      <text>
        <t xml:space="preserve">[Threaded comment]
 Your version of Excel allows you to read this threaded comment; however, any edits to it will get removed if the file is opened in a newer version of Excel. Learn more: https://go.microsoft.com/fwlink/?linkid=870924
Comment:
	@alexis@coryhometeam.com 
12.30 Per Richard these internal splits for Corte Zamora are not 2.0% to each agent - pending direction/approval from Mel.
Assigned to alexis@coryhometeam.com
</t>
      </text>
    </comment>
    <comment authorId="366" xr:uid="{5fa62132-998e-4ec5-8157-f203d13da3e9}" ref="A1">
      <text>
        <t xml:space="preserve">[Threaded comment]
 Your version of Excel allows you to read this threaded comment; however, any edits to it will get removed if the file is opened in a newer version of Excel. Learn more: https://go.microsoft.com/fwlink/?linkid=870924
Comment:
	finishing her last deal with her past broker
</t>
      </text>
    </comment>
    <comment authorId="367" xr:uid="{5feb8a07-8cf7-4405-818b-e6164073d1fc}" ref="A1">
      <text>
        <t xml:space="preserve">[Threaded comment]
 Your version of Excel allows you to read this threaded comment; however, any edits to it will get removed if the file is opened in a newer version of Excel. Learn more: https://go.microsoft.com/fwlink/?linkid=870924
Comment:
	Richard needs to speak to the Sellers. She isn't allowing many showings and the RLA is going to expire 02/17.
</t>
      </text>
    </comment>
    <comment authorId="368" xr:uid="{5ff35fab-9e5f-40ed-8505-0e49396a4b1b}" ref="A1">
      <text>
        <t xml:space="preserve">[Threaded comment]
 Your version of Excel allows you to read this threaded comment; however, any edits to it will get removed if the file is opened in a newer version of Excel. Learn more: https://go.microsoft.com/fwlink/?linkid=870924
Comment:
	1380 W Florida Ave #22
AM verified.
@isabel@coryhometeam.com
@kenia@coryhometeam.com
10.2 CI sent to Escrow.
Assigned to isabel@coryhometeam.com
</t>
      </text>
    </comment>
    <comment authorId="369" xr:uid="{6091b86d-8f1f-4725-be91-c87ef3086f58}" ref="A1">
      <text>
        <t xml:space="preserve">[Threaded comment]
 Your version of Excel allows you to read this threaded comment; however, any edits to it will get removed if the file is opened in a newer version of Excel. Learn more: https://go.microsoft.com/fwlink/?linkid=870924
Comment:
	G STREET @isabel@coryhometeam.com VERIFIED
Assigned to isabel@coryhometeam.com
</t>
      </text>
    </comment>
    <comment authorId="370" xr:uid="{60c043ae-cf55-4265-ac57-9e2db9e52603}" ref="A1">
      <text>
        <t xml:space="preserve">[Threaded comment]
 Your version of Excel allows you to read this threaded comment; however, any edits to it will get removed if the file is opened in a newer version of Excel. Learn more: https://go.microsoft.com/fwlink/?linkid=870924
Comment:
	Credit off the top for Buyer's Home Warranty Coverage to meet CHT minimum plan promised
</t>
      </text>
    </comment>
    <comment authorId="371" xr:uid="{60ecc1d3-c641-45bc-8b7b-934188eeebce}" ref="A1">
      <text>
        <t xml:space="preserve">[Threaded comment]
 Your version of Excel allows you to read this threaded comment; however, any edits to it will get removed if the file is opened in a newer version of Excel. Learn more: https://go.microsoft.com/fwlink/?linkid=870924
Comment:
	16702 Canoe Cove
AM verified.
8.1 CI sent to Escrow.
@isabel@coryhometeam.com 
@kenia@coryhometeam.com
Assigned to isabel@coryhometeam.com
</t>
      </text>
    </comment>
    <comment authorId="372" xr:uid="{610fde10-308a-46fc-aad2-e3deb7926ed4}" ref="A1">
      <text>
        <t xml:space="preserve">[Threaded comment]
 Your version of Excel allows you to read this threaded comment; however, any edits to it will get removed if the file is opened in a newer version of Excel. Learn more: https://go.microsoft.com/fwlink/?linkid=870924
Comment:
	6.2 Time periods to start once park approval has been delivered.
</t>
      </text>
    </comment>
    <comment authorId="373" xr:uid="{6126128b-3bdf-46d1-9347-15ce1ed568d5}" ref="A1">
      <text>
        <t xml:space="preserve">[Threaded comment]
 Your version of Excel allows you to read this threaded comment; however, any edits to it will get removed if the file is opened in a newer version of Excel. Learn more: https://go.microsoft.com/fwlink/?linkid=870924
Comment:
	4.7 Per ETA the CR FULL is extended to 4.3.
</t>
      </text>
    </comment>
    <comment authorId="374" xr:uid="{6139b63a-2c29-4ba5-b52d-d681e64fef10}" ref="A1">
      <text>
        <t xml:space="preserve">[Threaded comment]
 Your version of Excel allows you to read this threaded comment; however, any edits to it will get removed if the file is opened in a newer version of Excel. Learn more: https://go.microsoft.com/fwlink/?linkid=870924
Comment:
	This listing was prior to 10/01, old splits should apply.
Reply:
	@isabel@coryhometeam.com
</t>
      </text>
    </comment>
    <comment authorId="375" xr:uid="{615399d1-1ae4-486b-b9f3-7cc9fdc4d909}" ref="A1">
      <text>
        <t xml:space="preserve">[Threaded comment]
 Your version of Excel allows you to read this threaded comment; however, any edits to it will get removed if the file is opened in a newer version of Excel. Learn more: https://go.microsoft.com/fwlink/?linkid=870924
Comment:
	Docs were delayed by one day.
</t>
      </text>
    </comment>
    <comment authorId="376" xr:uid="{619465ff-4567-4405-8c03-07ff2568a520}" ref="A1">
      <text>
        <t xml:space="preserve">[Threaded comment]
 Your version of Excel allows you to read this threaded comment; however, any edits to it will get removed if the file is opened in a newer version of Excel. Learn more: https://go.microsoft.com/fwlink/?linkid=870924
Comment:
	0 Spring Creek Rd
7.2 Lender from Christian to ALL CASH.
</t>
      </text>
    </comment>
    <comment authorId="377" xr:uid="{61ca4ed2-f37f-4322-be75-f7198b43292d}" ref="A1">
      <text>
        <t xml:space="preserve">[Threaded comment]
 Your version of Excel allows you to read this threaded comment; however, any edits to it will get removed if the file is opened in a newer version of Excel. Learn more: https://go.microsoft.com/fwlink/?linkid=870924
Comment:
	APN: 378-114-017 @isabel@coryhometeam.com VERIFIED
Assigned to isabel@coryhometeam.com
</t>
      </text>
    </comment>
    <comment authorId="378" xr:uid="{621eff27-52b2-4478-a224-8229bd3a7709}"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4.28 CI sent to Escrow.
Assigned to isabel@coryhometeam.com
</t>
      </text>
    </comment>
    <comment authorId="379" xr:uid="{626e689b-6ed8-4fc2-9050-7b8f649d6826}" ref="A1">
      <text>
        <t xml:space="preserve">[Threaded comment]
 Your version of Excel allows you to read this threaded comment; however, any edits to it will get removed if the file is opened in a newer version of Excel. Learn more: https://go.microsoft.com/fwlink/?linkid=870924
Comment:
	PORTSMOUTH DR @isabel@coryhometeam.com VERIFIED
Assigned to isabel@coryhometeam.com
</t>
      </text>
    </comment>
    <comment authorId="380" xr:uid="{63414c73-1ed2-4224-a796-c2bad93fec4e}" ref="A1">
      <text>
        <t xml:space="preserve">[Threaded comment]
 Your version of Excel allows you to read this threaded comment; however, any edits to it will get removed if the file is opened in a newer version of Excel. Learn more: https://go.microsoft.com/fwlink/?linkid=870924
Comment:
	5/6-5/10
</t>
      </text>
    </comment>
    <comment authorId="381" xr:uid="{637ef153-a155-4875-83ca-42de384c344b}" ref="A1">
      <text>
        <t xml:space="preserve">[Threaded comment]
 Your version of Excel allows you to read this threaded comment; however, any edits to it will get removed if the file is opened in a newer version of Excel. Learn more: https://go.microsoft.com/fwlink/?linkid=870924
Comment:
	17170, 17162 Grand Ave
AM verified.
7.31 CI sent to Escrow.
@isabel@coryhometeam.com 
@kenia@coryhometeam.com
Assigned to isabel@coryhometeam.com
</t>
      </text>
    </comment>
    <comment authorId="382" xr:uid="{638087ee-9c49-4793-9d87-841d76e3cb0a}" ref="A1">
      <text>
        <t xml:space="preserve">[Threaded comment]
 Your version of Excel allows you to read this threaded comment; however, any edits to it will get removed if the file is opened in a newer version of Excel. Learn more: https://go.microsoft.com/fwlink/?linkid=870924
Comment:
	(Estimated date only; COE to occur a specified number of days after short sale approval.)
</t>
      </text>
    </comment>
    <comment authorId="383" xr:uid="{638c3b75-5712-4134-9525-27b364e64cbf}" ref="A1">
      <text>
        <t xml:space="preserve">[Threaded comment]
 Your version of Excel allows you to read this threaded comment; however, any edits to it will get removed if the file is opened in a newer version of Excel. Learn more: https://go.microsoft.com/fwlink/?linkid=870924
Comment:
	Released Friday 08/22 but this is LA County they don't do same day recording.
</t>
      </text>
    </comment>
    <comment authorId="384" xr:uid="{63d1046b-c449-42ca-81b5-cc62b13a8293}" ref="A1">
      <text>
        <t xml:space="preserve">[Threaded comment]
 Your version of Excel allows you to read this threaded comment; however, any edits to it will get removed if the file is opened in a newer version of Excel. Learn more: https://go.microsoft.com/fwlink/?linkid=870924
Comment:
	MESQUITE DR @isabel@coryhometeam.com VERIFIED
Assigned to isabel@coryhometeam.com
</t>
      </text>
    </comment>
    <comment authorId="385" xr:uid="{64a2022f-5272-4d5d-8f5b-f1961e3f8519}" ref="A1">
      <text>
        <t xml:space="preserve">[Threaded comment]
 Your version of Excel allows you to read this threaded comment; however, any edits to it will get removed if the file is opened in a newer version of Excel. Learn more: https://go.microsoft.com/fwlink/?linkid=870924
Comment:
	Reservation 2/14-2/17
</t>
      </text>
    </comment>
    <comment authorId="386" xr:uid="{64ade26b-456e-482e-819d-e87f311adea4}" ref="A1">
      <text>
        <t xml:space="preserve">[Threaded comment]
 Your version of Excel allows you to read this threaded comment; however, any edits to it will get removed if the file is opened in a newer version of Excel. Learn more: https://go.microsoft.com/fwlink/?linkid=870924
Comment:
	@alexis@coryhometeam.com not found on the CHT Agent ListingBoard yet
Assigned to alexis@coryhometeam.com
Reply:
	Hi Remy
Yes it is, please see line #40 o the Agent Board.
</t>
      </text>
    </comment>
    <comment authorId="387" xr:uid="{64c36a78-ae10-48f6-978a-4085a5bcd19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2.13 CI sent to Escrow.
Assigned to isabel@coryhometeam.com
</t>
      </text>
    </comment>
    <comment authorId="388" xr:uid="{64c6a047-335c-4363-89e6-8eb58c8dd478}" ref="A1">
      <text>
        <t xml:space="preserve">[Threaded comment]
 Your version of Excel allows you to read this threaded comment; however, any edits to it will get removed if the file is opened in a newer version of Excel. Learn more: https://go.microsoft.com/fwlink/?linkid=870924
Comment:
	CALCITE AVE @isabel@coryhometeam.com VERIFIED
Assigned to isabel@coryhometeam.com
</t>
      </text>
    </comment>
    <comment authorId="389" xr:uid="{65727ee3-8c50-4787-8a60-5d73ea6f6c2e}"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RLA was signed on 07/14/25 please process initial tasks asap.
Assigned to aileen@coryhometeam.com
</t>
      </text>
    </comment>
    <comment authorId="390" xr:uid="{6593b04a-92bd-4e1a-864c-e403e0225797}" ref="A1">
      <text>
        <t xml:space="preserve">[Threaded comment]
 Your version of Excel allows you to read this threaded comment; however, any edits to it will get removed if the file is opened in a newer version of Excel. Learn more: https://go.microsoft.com/fwlink/?linkid=870924
Comment:
	10.27 As per take sheet: BUYER IS PAYING FOR MY COMMISSION.
</t>
      </text>
    </comment>
    <comment authorId="391" xr:uid="{65c1d451-1023-4b1b-9ba3-4ba5be1c14a1}" ref="A1">
      <text>
        <t xml:space="preserve">[Threaded comment]
 Your version of Excel allows you to read this threaded comment; however, any edits to it will get removed if the file is opened in a newer version of Excel. Learn more: https://go.microsoft.com/fwlink/?linkid=870924
Comment:
	SENNA CT @isabel@coryhometeam.com VERIFIED
Assigned to isabel@coryhometeam.com
</t>
      </text>
    </comment>
    <comment authorId="392" xr:uid="{65da16c7-a3bd-4724-a7a2-85e472f49d32}" ref="A1">
      <text>
        <t xml:space="preserve">[Threaded comment]
 Your version of Excel allows you to read this threaded comment; however, any edits to it will get removed if the file is opened in a newer version of Excel. Learn more: https://go.microsoft.com/fwlink/?linkid=870924
Comment:
	FIRBROOK ST. @isabel@coryhometeam.com VERIFIED
Assigned to isabel@coryhometeam.com
</t>
      </text>
    </comment>
    <comment authorId="393" xr:uid="{668846bc-76d5-4044-9847-94243b06baaa}" ref="A1">
      <text>
        <t xml:space="preserve">[Threaded comment]
 Your version of Excel allows you to read this threaded comment; however, any edits to it will get removed if the file is opened in a newer version of Excel. Learn more: https://go.microsoft.com/fwlink/?linkid=870924
Comment:
	9.30 COE moved 10.3 per ETA1.
Reply:
	10.3 NEW COE as per ETA2 10.6
</t>
      </text>
    </comment>
    <comment authorId="394" xr:uid="{66d56110-436e-4173-a53d-2d7d5e6f9ab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4.10 CI sent to Escrow.
Assigned to isabel@coryhometeam.com
</t>
      </text>
    </comment>
    <comment authorId="395" xr:uid="{670f8fa5-a220-4657-bb7b-e48525c0f92e}" ref="A1">
      <text>
        <t xml:space="preserve">[Threaded comment]
 Your version of Excel allows you to read this threaded comment; however, any edits to it will get removed if the file is opened in a newer version of Excel. Learn more: https://go.microsoft.com/fwlink/?linkid=870924
Comment:
	1639 Hendy Woods Cir
8.21 From Nate: Hi Kenia, looks like I made a boo boo on Hendy woods, I put in the escrow take sheet that it was at 2.0% but it’s actually at 2.5 and seller is aware. Also he is wanting to make sure the buyer agent commission is only 2%. I looked but couldn’t confirm.
</t>
      </text>
    </comment>
    <comment authorId="396" xr:uid="{675ad8d1-46d7-49dd-83da-7636f3e8ffc8}" ref="A1">
      <text>
        <t xml:space="preserve">[Threaded comment]
 Your version of Excel allows you to read this threaded comment; however, any edits to it will get removed if the file is opened in a newer version of Excel. Learn more: https://go.microsoft.com/fwlink/?linkid=870924
Comment:
	SAN MARCOS BLVD @isabel@coryhometeam.com VERIFIED
Assigned to isabel@coryhometeam.com
</t>
      </text>
    </comment>
    <comment authorId="397" xr:uid="{68342b4a-273a-492a-a261-bdbc8494a020}" ref="A1">
      <text>
        <t xml:space="preserve">[Threaded comment]
 Your version of Excel allows you to read this threaded comment; however, any edits to it will get removed if the file is opened in a newer version of Excel. Learn more: https://go.microsoft.com/fwlink/?linkid=870924
Comment:
	$100.00
</t>
      </text>
    </comment>
    <comment authorId="398" xr:uid="{68504f55-ab2b-4549-b2d8-8e13485085f5}" ref="A1">
      <text>
        <t xml:space="preserve">[Threaded comment]
 Your version of Excel allows you to read this threaded comment; however, any edits to it will get removed if the file is opened in a newer version of Excel. Learn more: https://go.microsoft.com/fwlink/?linkid=870924
Comment:
	3830 Cougar Canyon Rd
AM verified.
@isabel@coryhometeam.com 
@kenia@coryhometeam.com 
6.12 CI sent to Escrow.
Assigned to isabel@coryhometeam.com
Reply:
	@isabel@coryhometeam.com 
7.1 REVISED CI sent to Escrow.
</t>
      </text>
    </comment>
    <comment authorId="399" xr:uid="{6864b104-1789-42a5-bfd7-2b91fe8b547a}" ref="A1">
      <text>
        <t xml:space="preserve">[Threaded comment]
 Your version of Excel allows you to read this threaded comment; however, any edits to it will get removed if the file is opened in a newer version of Excel. Learn more: https://go.microsoft.com/fwlink/?linkid=870924
Comment:
	1550 Rimpau Ave #186
AM verified.
@isabel@coryhometeam.com
@kenia@coryhometeam.com
11.6 CI sent to Escrow.
Assigned to isabel@coryhometeam.com
</t>
      </text>
    </comment>
    <comment authorId="400" xr:uid="{686ff9b2-31c8-44f2-bc32-60c5bd347bd7}" ref="A1">
      <text>
        <t xml:space="preserve">[Threaded comment]
 Your version of Excel allows you to read this threaded comment; however, any edits to it will get removed if the file is opened in a newer version of Excel. Learn more: https://go.microsoft.com/fwlink/?linkid=870924
Comment:
	4.17 Purchase price increased to 760K per ADM1.
</t>
      </text>
    </comment>
    <comment authorId="401" xr:uid="{687fa02e-4c0e-4b30-bf48-996b53f05b11}" ref="A1">
      <text>
        <t xml:space="preserve">[Threaded comment]
 Your version of Excel allows you to read this threaded comment; however, any edits to it will get removed if the file is opened in a newer version of Excel. Learn more: https://go.microsoft.com/fwlink/?linkid=870924
Comment:
	1.20 CR loan moved as per ETA2.
Reply:
	1.29 New ETA3 FULL or Loan Contingency is DUE 1.30.
</t>
      </text>
    </comment>
    <comment authorId="402" xr:uid="{68810a6c-0dc0-4327-9a22-2a217c4d30e7}" ref="A1">
      <text>
        <t xml:space="preserve">[Threaded comment]
 Your version of Excel allows you to read this threaded comment; however, any edits to it will get removed if the file is opened in a newer version of Excel. Learn more: https://go.microsoft.com/fwlink/?linkid=870924
Comment:
	201 S Pennsylvania Ave # Spc 67
AM verified.
@isabel@coryhometeam.com 
@kenia@coryhometeam.com 
7.15 CI sent to Escrow.
Assigned to isabel@coryhometeam.com
</t>
      </text>
    </comment>
    <comment authorId="403" xr:uid="{688cce16-2aee-41b6-ad17-46f50ab53cf9}" ref="AT17">
      <text>
        <t xml:space="preserve">[Threaded comment]
 Your version of Excel allows you to read this threaded comment; however, any edits to it will get removed if the file is opened in a newer version of Excel. Learn more: https://go.microsoft.com/fwlink/?linkid=870924
Comment:
	1717 Tara Way
AM verified.
@isabel@coryhometeam.com
@kenia@coryhometeam.com
6.10 CI sent to Escrow.
Assigned to isabel@coryhometeam.com
</t>
      </text>
    </comment>
    <comment authorId="404" xr:uid="{68fecf6d-abfc-47c2-909f-53249a806af3}" ref="A1">
      <text>
        <t xml:space="preserve">[Threaded comment]
 Your version of Excel allows you to read this threaded comment; however, any edits to it will get removed if the file is opened in a newer version of Excel. Learn more: https://go.microsoft.com/fwlink/?linkid=870924
Comment:
	4000 Shepherd Road
8.25 Loan extended to 8.29. ETA form is for signature.
Reply:
	9.5 An ETA form extending COE to 9/11 is out for signature.
</t>
      </text>
    </comment>
    <comment authorId="405" xr:uid="{696fd0de-bd73-4224-8515-b83d246f2db9}" ref="A1">
      <text>
        <t xml:space="preserve">[Threaded comment]
 Your version of Excel allows you to read this threaded comment; however, any edits to it will get removed if the file is opened in a newer version of Excel. Learn more: https://go.microsoft.com/fwlink/?linkid=870924
Comment:
	ORION ST @isabel@coryhometeam.com VERIFIED
Assigned to isabel@coryhometeam.com
</t>
      </text>
    </comment>
    <comment authorId="406" xr:uid="{69bbe443-571a-4b9f-8cfd-d7b6ed0147c3}" ref="A1">
      <text>
        <t xml:space="preserve">[Threaded comment]
 Your version of Excel allows you to read this threaded comment; however, any edits to it will get removed if the file is opened in a newer version of Excel. Learn more: https://go.microsoft.com/fwlink/?linkid=870924
Comment:
	@dana@coryhometeam.com REF-11927 Cliffrose splits in SS, ready for review/approval. Thank you!
</t>
      </text>
    </comment>
    <comment authorId="407" xr:uid="{69fba3a0-c72d-466a-9ea7-35620429df34}" ref="A1">
      <text>
        <t xml:space="preserve">[Threaded comment]
 Your version of Excel allows you to read this threaded comment; however, any edits to it will get removed if the file is opened in a newer version of Excel. Learn more: https://go.microsoft.com/fwlink/?linkid=870924
Comment:
	BAHAMA WAY @isabel@coryhometeam.com VERIFIED
Assigned to isabel@coryhometeam.com
</t>
      </text>
    </comment>
    <comment authorId="408" xr:uid="{6a11f572-b7ef-45cb-a98c-7ac784c98e25}" ref="A1">
      <text>
        <t xml:space="preserve">[Threaded comment]
 Your version of Excel allows you to read this threaded comment; however, any edits to it will get removed if the file is opened in a newer version of Excel. Learn more: https://go.microsoft.com/fwlink/?linkid=870924
Comment:
	10.7 ETA COE 10.15 out to LA.
</t>
      </text>
    </comment>
    <comment authorId="409" xr:uid="{6a1f0086-691c-4ed7-a8e3-662fde5c6533}"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3.14 CI sent to Escrow.
Assigned to isabel@coryhometeam.com
</t>
      </text>
    </comment>
    <comment authorId="410" xr:uid="{6a3059ba-8ef0-4cb8-9dff-f18e9eaba9ca}"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12.18 $100.00
Assigned to jamesa@coryhometeam.com
</t>
      </text>
    </comment>
    <comment authorId="411" xr:uid="{6a62197e-973a-4339-bca9-7fcf6cbd0de1}"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12.23 THORESON ST @isabel@coryhometeam.com VERIFIED
</t>
      </text>
    </comment>
    <comment authorId="412" xr:uid="{6a82f562-c882-4132-9684-ca6c1b16cfa9}" ref="A1">
      <text>
        <t xml:space="preserve">[Threaded comment]
 Your version of Excel allows you to read this threaded comment; however, any edits to it will get removed if the file is opened in a newer version of Excel. Learn more: https://go.microsoft.com/fwlink/?linkid=870924
Comment:
	17 Days after the Seller delivers written notice removing the SPRP
</t>
      </text>
    </comment>
    <comment authorId="413" xr:uid="{6a83c614-0a5d-4bd7-90c8-87b5a83073be}"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When we go to market, this is not a showcase and it is a manufactured home in Corona so we will use CRMLS
Assigned to aileen@coryhometeam.com
</t>
      </text>
    </comment>
    <comment authorId="414" xr:uid="{6ac56ad5-47b3-46fd-9d24-7b2ad331883c}" ref="A1">
      <text>
        <t xml:space="preserve">[Threaded comment]
 Your version of Excel allows you to read this threaded comment; however, any edits to it will get removed if the file is opened in a newer version of Excel. Learn more: https://go.microsoft.com/fwlink/?linkid=870924
Comment:
	Buyer refused to pay at signing. Mel approved so we could close the deal.
</t>
      </text>
    </comment>
    <comment authorId="415" xr:uid="{6ac7768a-145f-4ea5-898b-aa4d8adafbcf}" ref="A1">
      <text>
        <t xml:space="preserve">[Threaded comment]
 Your version of Excel allows you to read this threaded comment; however, any edits to it will get removed if the file is opened in a newer version of Excel. Learn more: https://go.microsoft.com/fwlink/?linkid=870924
Comment:
	Seller requested extension to April 1st.
</t>
      </text>
    </comment>
    <comment authorId="416" xr:uid="{6ad86df4-ec20-47d8-8d9b-6879f13cc364}" ref="A1">
      <text>
        <t xml:space="preserve">[Threaded comment]
 Your version of Excel allows you to read this threaded comment; however, any edits to it will get removed if the file is opened in a newer version of Excel. Learn more: https://go.microsoft.com/fwlink/?linkid=870924
Comment:
	CAMINO DE LA LUNA @isabel@coryhometeam.com VERIFIED
Assigned to isabel@coryhometeam.com
</t>
      </text>
    </comment>
    <comment authorId="417" xr:uid="{6b488482-5ad8-40af-8b78-0728dd0f9eb6}"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3.3 CI sent to Escrow.
Assigned to isabel@coryhometeam.com
</t>
      </text>
    </comment>
    <comment authorId="418" xr:uid="{6c39954d-2739-4ee9-bbaf-6038ba6ec5d2}" ref="AT42">
      <text>
        <t xml:space="preserve">[Threaded comment]
 Your version of Excel allows you to read this threaded comment; however, any edits to it will get removed if the file is opened in a newer version of Excel. Learn more: https://go.microsoft.com/fwlink/?linkid=870924
Comment:
	7596 Arcadia Ave
AM verified.
@isabel@coryhometeam.com
@kenia@coryhometeam.com
6.16 CI sent to Escrow.
Assigned to isabel@coryhometeam.com
</t>
      </text>
    </comment>
    <comment authorId="419" xr:uid="{6c449d49-bb3c-43b1-89e6-6648875df89b}" ref="A1">
      <text>
        <t xml:space="preserve">[Threaded comment]
 Your version of Excel allows you to read this threaded comment; however, any edits to it will get removed if the file is opened in a newer version of Excel. Learn more: https://go.microsoft.com/fwlink/?linkid=870924
Comment:
	PAINTED DESER DR @isabel@coryhometeam.com VERIFIED
Assigned to isabel@coryhometeam.com
</t>
      </text>
    </comment>
    <comment authorId="420" xr:uid="{6c69dd8d-b634-4634-b3a3-e0226ca8d1a2}" ref="A1">
      <text>
        <t xml:space="preserve">[Threaded comment]
 Your version of Excel allows you to read this threaded comment; however, any edits to it will get removed if the file is opened in a newer version of Excel. Learn more: https://go.microsoft.com/fwlink/?linkid=870924
Comment:
	SAINT TIMOTHY RD @isabel@coryhometeam.com VERIFIED
Assigned to isabel@coryhometeam.com
</t>
      </text>
    </comment>
    <comment authorId="421" xr:uid="{6cac074e-a33b-4494-bca8-4e4390ab394f}" ref="A1">
      <text>
        <t xml:space="preserve">[Threaded comment]
 Your version of Excel allows you to read this threaded comment; however, any edits to it will get removed if the file is opened in a newer version of Excel. Learn more: https://go.microsoft.com/fwlink/?linkid=870924
Comment:
	SAN ELIJO @isabel@coryhometeam.com VERIFIED
Assigned to isabel@coryhometeam.com
</t>
      </text>
    </comment>
    <comment authorId="422" xr:uid="{6ccfb987-7d9e-4e47-b73b-e8949b459496}" ref="P14">
      <text>
        <t xml:space="preserve">[Threaded comment]
 Your version of Excel allows you to read this threaded comment; however, any edits to it will get removed if the file is opened in a newer version of Excel. Learn more: https://go.microsoft.com/fwlink/?linkid=870924
Comment:
	Choice Home Warranty
This file is with Cheree's previous broker and is locked in with their services.
</t>
      </text>
    </comment>
    <comment authorId="423" xr:uid="{6cd3d1f9-5df9-46a8-9069-d5fd4da6bdc2}" ref="A1">
      <text>
        <t xml:space="preserve">[Threaded comment]
 Your version of Excel allows you to read this threaded comment; however, any edits to it will get removed if the file is opened in a newer version of Excel. Learn more: https://go.microsoft.com/fwlink/?linkid=870924
Comment:
	29734 Big Dipper Way
AM verified.
@isabel@coryhometeam.com 
@kenia@coryhometeam.com 
6.26 CI sent to Escrow.
Assigned to isabel@coryhometeam.com
</t>
      </text>
    </comment>
    <comment authorId="424" xr:uid="{6ce25ff9-99f1-41fa-adf1-67e69c4c720e}" ref="A1">
      <text>
        <t xml:space="preserve">[Threaded comment]
 Your version of Excel allows you to read this threaded comment; however, any edits to it will get removed if the file is opened in a newer version of Excel. Learn more: https://go.microsoft.com/fwlink/?linkid=870924
Comment:
	Flat Fee: $6,000
</t>
      </text>
    </comment>
    <comment authorId="425" xr:uid="{6cee146b-76d4-42a2-a0f0-869ba7191db9}" ref="A1">
      <text>
        <t xml:space="preserve">[Threaded comment]
 Your version of Excel allows you to read this threaded comment; however, any edits to it will get removed if the file is opened in a newer version of Excel. Learn more: https://go.microsoft.com/fwlink/?linkid=870924
Comment:
	Carla Harper 
7.7 ETA extending COE from 7.1 to 7.10 out for signature.
</t>
      </text>
    </comment>
    <comment authorId="426" xr:uid="{6d4892cf-0449-424d-b0a0-2707b46d51ab}" ref="A1">
      <text>
        <t xml:space="preserve">[Threaded comment]
 Your version of Excel allows you to read this threaded comment; however, any edits to it will get removed if the file is opened in a newer version of Excel. Learn more: https://go.microsoft.com/fwlink/?linkid=870924
Comment:
	1-day 5/18/2025
</t>
      </text>
    </comment>
    <comment authorId="427" xr:uid="{6db99e66-392f-410f-8edd-cf5fd46ccf93}" ref="A1">
      <text>
        <t xml:space="preserve">[Threaded comment]
 Your version of Excel allows you to read this threaded comment; however, any edits to it will get removed if the file is opened in a newer version of Excel. Learn more: https://go.microsoft.com/fwlink/?linkid=870924
Comment:
	0 Spring Creek Rd
7.15 ETA COE 7.18 or sooner.
Reply:
	7.23 New COE per ETA2 COE 7.25.
</t>
      </text>
    </comment>
    <comment authorId="428" xr:uid="{6dcc3a1c-7e7a-4a70-93ad-de578c5d8cb2}" ref="A1">
      <text>
        <t xml:space="preserve">[Threaded comment]
 Your version of Excel allows you to read this threaded comment; however, any edits to it will get removed if the file is opened in a newer version of Excel. Learn more: https://go.microsoft.com/fwlink/?linkid=870924
Comment:
	NONNIE DRIVE @isabel@coryhometeam.com VERIFIED
Assigned to isabel@coryhometeam.com
</t>
      </text>
    </comment>
    <comment authorId="429" xr:uid="{6de07742-e9c2-4f40-9a90-221753409edf}" ref="A1">
      <text>
        <t xml:space="preserve">[Threaded comment]
 Your version of Excel allows you to read this threaded comment; however, any edits to it will get removed if the file is opened in a newer version of Excel. Learn more: https://go.microsoft.com/fwlink/?linkid=870924
Comment:
	10.20 Per ETA new COE is 10.23.
Reply:
	10.24 ETA2 COE 11.7
</t>
      </text>
    </comment>
    <comment authorId="430" xr:uid="{6ef426a2-83cd-470f-ab70-7b22db06cf1e}" ref="A1">
      <text>
        <t xml:space="preserve">[Threaded comment]
 Your version of Excel allows you to read this threaded comment; however, any edits to it will get removed if the file is opened in a newer version of Excel. Learn more: https://go.microsoft.com/fwlink/?linkid=870924
Comment:
	0 Nandina
AM verified.
@isabel@coryhometeam.com 
@kenia@coryhometeam.com 
6.25 CI sent to Escrow.
Assigned to isabel@coryhometeam.com
</t>
      </text>
    </comment>
    <comment authorId="431" xr:uid="{6f0538a8-e47b-48ac-8dff-fbdaf754e0a8}" ref="A1">
      <text>
        <t xml:space="preserve">[Threaded comment]
 Your version of Excel allows you to read this threaded comment; however, any edits to it will get removed if the file is opened in a newer version of Excel. Learn more: https://go.microsoft.com/fwlink/?linkid=870924
Comment:
	COVEY QUAIL @isabel@coryhometeam.com VERIFIED
Assigned to isabel@coryhometeam.com
</t>
      </text>
    </comment>
    <comment authorId="432" xr:uid="{70072293-ddb4-4699-9bb3-6afb93582629}" ref="A1">
      <text>
        <t xml:space="preserve">[Threaded comment]
 Your version of Excel allows you to read this threaded comment; however, any edits to it will get removed if the file is opened in a newer version of Excel. Learn more: https://go.microsoft.com/fwlink/?linkid=870924
Comment:
	Pending park approval.
</t>
      </text>
    </comment>
    <comment authorId="433" xr:uid="{703df442-5c3b-4159-9340-9408782820cd}" ref="A1">
      <text>
        <t xml:space="preserve">[Threaded comment]
 Your version of Excel allows you to read this threaded comment; however, any edits to it will get removed if the file is opened in a newer version of Excel. Learn more: https://go.microsoft.com/fwlink/?linkid=870924
Comment:
	10.27 Per Dana: We don't know if we are continuing.
</t>
      </text>
    </comment>
    <comment authorId="434" xr:uid="{70509bbe-4e45-443f-815d-87be1baa35b2}" ref="A1">
      <text>
        <t xml:space="preserve">[Threaded comment]
 Your version of Excel allows you to read this threaded comment; however, any edits to it will get removed if the file is opened in a newer version of Excel. Learn more: https://go.microsoft.com/fwlink/?linkid=870924
Comment:
	1.6 App extended from 1.8 to 1.16 as per ETA.
</t>
      </text>
    </comment>
    <comment authorId="435" xr:uid="{7072a8d6-6ecd-4f17-9b7a-4099e98e0c90}" ref="A1">
      <text>
        <t xml:space="preserve">[Threaded comment]
 Your version of Excel allows you to read this threaded comment; however, any edits to it will get removed if the file is opened in a newer version of Excel. Learn more: https://go.microsoft.com/fwlink/?linkid=870924
Comment:
	Christian is the lender - foundation cert was provided week of 09/22, CTC on 09/26 and Christian is advising we can fund and close before EOM.
</t>
      </text>
    </comment>
    <comment authorId="436" xr:uid="{70ab1efb-e5ea-4c36-9fb2-d1095099e363}" ref="A1">
      <text>
        <t xml:space="preserve">[Threaded comment]
 Your version of Excel allows you to read this threaded comment; however, any edits to it will get removed if the file is opened in a newer version of Excel. Learn more: https://go.microsoft.com/fwlink/?linkid=870924
Comment:
	LA TIERRA LANE @isabel@coryhometeam.com VERIFIED
Assigned to isabel@coryhometeam.com
</t>
      </text>
    </comment>
    <comment authorId="437" xr:uid="{70c6ce8f-7d4e-4142-ba07-08fa0d07a19e}" ref="A1">
      <text>
        <t xml:space="preserve">[Threaded comment]
 Your version of Excel allows you to read this threaded comment; however, any edits to it will get removed if the file is opened in a newer version of Excel. Learn more: https://go.microsoft.com/fwlink/?linkid=870924
Comment:
	125 Moneda Court
AM verified.
@isabel@coryhometeam.com
@kenia@coryhometeam.com
8.26 CI sent to Escrow.
Assigned to isabel@coryhometeam.com
</t>
      </text>
    </comment>
    <comment authorId="438" xr:uid="{70d2e878-d4c0-4eea-9651-f5e9d09f82e0}" ref="A1">
      <text>
        <t xml:space="preserve">[Threaded comment]
 Your version of Excel allows you to read this threaded comment; however, any edits to it will get removed if the file is opened in a newer version of Excel. Learn more: https://go.microsoft.com/fwlink/?linkid=870924
Comment:
	@dana@coryhometeam.com @isabel@coryhometeam.com 
Mario Munuz and Rosalina are splitting commission
Assigned to dana@coryhometeam.com
</t>
      </text>
    </comment>
    <comment authorId="439" xr:uid="{711a04be-b352-4ffc-b6e9-8f4ea914a965}" ref="A1">
      <text>
        <t xml:space="preserve">[Threaded comment]
 Your version of Excel allows you to read this threaded comment; however, any edits to it will get removed if the file is opened in a newer version of Excel. Learn more: https://go.microsoft.com/fwlink/?linkid=870924
Comment:
	Kathy is crediting the buyer's $595 fee from her commission
</t>
      </text>
    </comment>
    <comment authorId="440" xr:uid="{712f9af5-b778-4d2a-a009-c800932ec5b1}" ref="A1">
      <text>
        <t xml:space="preserve">[Threaded comment]
 Your version of Excel allows you to read this threaded comment; however, any edits to it will get removed if the file is opened in a newer version of Excel. Learn more: https://go.microsoft.com/fwlink/?linkid=870924
Comment:
	Complete lender info to follow.
</t>
      </text>
    </comment>
    <comment authorId="441" xr:uid="{717ffeb7-d108-43da-8294-281e97091381}" ref="A1">
      <text>
        <t xml:space="preserve">[Threaded comment]
 Your version of Excel allows you to read this threaded comment; however, any edits to it will get removed if the file is opened in a newer version of Excel. Learn more: https://go.microsoft.com/fwlink/?linkid=870924
Comment:
	AMADOR DR @isabel@coryhometeam.com VERIFIED
Assigned to isabel@coryhometeam.com
</t>
      </text>
    </comment>
    <comment authorId="442" xr:uid="{721add8c-c04a-46c9-80bb-9026c08a8d52}" ref="A1">
      <text>
        <t xml:space="preserve">[Threaded comment]
 Your version of Excel allows you to read this threaded comment; however, any edits to it will get removed if the file is opened in a newer version of Excel. Learn more: https://go.microsoft.com/fwlink/?linkid=870924
Comment:
	@alexis@coryhometeam.com this is Dana Garcia's number
Assigned to alexis@coryhometeam.com
Reply:
	@remy@coryhometeam.com That is what the agent provided but I located the correct number for the buyer, Leidy Juarez De Leon. I updated it on the TS
</t>
      </text>
    </comment>
    <comment authorId="443" xr:uid="{72965167-79c1-4f7e-882f-c072af8307c5}"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4.15 CI sent to Escrow.
Assigned to isabel@coryhometeam.com
</t>
      </text>
    </comment>
    <comment authorId="444" xr:uid="{72cf3a54-b513-4537-8111-ff4f9e811de2}" ref="A1">
      <text>
        <t xml:space="preserve">[Threaded comment]
 Your version of Excel allows you to read this threaded comment; however, any edits to it will get removed if the file is opened in a newer version of Excel. Learn more: https://go.microsoft.com/fwlink/?linkid=870924
Comment:
	planning to begin next steps next week
Reply:
	text back to Mel/Me last night, shes needed to work to make $ before she can get started, isnt ready quite yet
</t>
      </text>
    </comment>
    <comment authorId="445" xr:uid="{733b6148-2ce5-499e-afe0-eb9897f856a1}" ref="A1">
      <text>
        <t xml:space="preserve">[Threaded comment]
 Your version of Excel allows you to read this threaded comment; however, any edits to it will get removed if the file is opened in a newer version of Excel. Learn more: https://go.microsoft.com/fwlink/?linkid=870924
Comment:
	Document issues with the lender and the mobile home park. Working on a resolution or possibly need to change banks.
</t>
      </text>
    </comment>
    <comment authorId="446" xr:uid="{73b2e239-97d6-4bb1-88e6-7d59f80f13c8}" ref="X27">
      <text>
        <t xml:space="preserve">[Threaded comment]
 Your version of Excel allows you to read this threaded comment; however, any edits to it will get removed if the file is opened in a newer version of Excel. Learn more: https://go.microsoft.com/fwlink/?linkid=870924
Comment:
	Estimated date only. This is contingent on buyers property.
</t>
      </text>
    </comment>
    <comment authorId="447" xr:uid="{7413fee2-dccf-4236-b350-30edb1ad58e0}" ref="A1">
      <text>
        <t xml:space="preserve">[Threaded comment]
 Your version of Excel allows you to read this threaded comment; however, any edits to it will get removed if the file is opened in a newer version of Excel. Learn more: https://go.microsoft.com/fwlink/?linkid=870924
Comment:
	5/15-5/17
Reply:
	MULTIPLE reservations
</t>
      </text>
    </comment>
    <comment authorId="448" xr:uid="{7467ffac-a9ea-4855-bd44-ba7795a9f479}" ref="A1">
      <text>
        <t xml:space="preserve">[Threaded comment]
 Your version of Excel allows you to read this threaded comment; however, any edits to it will get removed if the file is opened in a newer version of Excel. Learn more: https://go.microsoft.com/fwlink/?linkid=870924
Comment:
	BLACK CANYON DR @isabel@coryhometeam.com VERIFIED
Assigned to isabel@coryhometeam.com
</t>
      </text>
    </comment>
    <comment authorId="449" xr:uid="{748a4d0e-d6ed-499c-b11f-674fe25db861}" ref="A1">
      <text>
        <t xml:space="preserve">[Threaded comment]
 Your version of Excel allows you to read this threaded comment; however, any edits to it will get removed if the file is opened in a newer version of Excel. Learn more: https://go.microsoft.com/fwlink/?linkid=870924
Comment:
	RONDO STREET @isabel@coryhometeam.com VERIFIED
Assigned to isabel@coryhometeam.com
</t>
      </text>
    </comment>
    <comment authorId="450" xr:uid="{749fd407-8a47-4edc-b3ba-6bb38c09153b}"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@dana@coryhometeam.com Please note the deduction has been added.
Assigned to isabel@coryhometeam.com
</t>
      </text>
    </comment>
    <comment authorId="451" xr:uid="{74a2d38d-d298-4b87-8ab3-b032820593ed}" ref="A1">
      <text>
        <t xml:space="preserve">[Threaded comment]
 Your version of Excel allows you to read this threaded comment; however, any edits to it will get removed if the file is opened in a newer version of Excel. Learn more: https://go.microsoft.com/fwlink/?linkid=870924
Comment:
	CARNATION LN @isabel@coryhometeam.com VERIFIED
Assigned to isabel@coryhometeam.com
</t>
      </text>
    </comment>
    <comment authorId="452" xr:uid="{74b7c9d2-93e0-469d-a740-72023b75494c}" ref="A1">
      <text>
        <t xml:space="preserve">[Threaded comment]
 Your version of Excel allows you to read this threaded comment; however, any edits to it will get removed if the file is opened in a newer version of Excel. Learn more: https://go.microsoft.com/fwlink/?linkid=870924
Comment:
	Sent Access Request to Agent
</t>
      </text>
    </comment>
    <comment authorId="453" xr:uid="{74b7f6ce-dfdf-4a9f-9366-86948cc12639}" ref="A1">
      <text>
        <t xml:space="preserve">[Threaded comment]
 Your version of Excel allows you to read this threaded comment; however, any edits to it will get removed if the file is opened in a newer version of Excel. Learn more: https://go.microsoft.com/fwlink/?linkid=870924
Comment:
	3.3 Sales price from 98759.20 to 82K. See ADM (Exhibit A)
</t>
      </text>
    </comment>
    <comment authorId="454" xr:uid="{74c49905-aa83-4dbc-87cf-7eae0d9f1975}"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3.12 CI sent to Escrow.
Assigned to isabel@coryhometeam.com
</t>
      </text>
    </comment>
    <comment authorId="455" xr:uid="{74ed5d64-259c-4988-9a9c-3df45b3e2f44}" ref="A1">
      <text>
        <t xml:space="preserve">[Threaded comment]
 Your version of Excel allows you to read this threaded comment; however, any edits to it will get removed if the file is opened in a newer version of Excel. Learn more: https://go.microsoft.com/fwlink/?linkid=870924
Comment:
	5.27 I asked escrow to send a copy of the commission instructions. The escrow failed to provide this document. I sent a follow up email.
</t>
      </text>
    </comment>
    <comment authorId="456" xr:uid="{7541ebed-9510-47a0-a988-ff68333c9f68}" ref="A1">
      <text>
        <t xml:space="preserve">[Threaded comment]
 Your version of Excel allows you to read this threaded comment; however, any edits to it will get removed if the file is opened in a newer version of Excel. Learn more: https://go.microsoft.com/fwlink/?linkid=870924
Comment:
	40240 Brook Trails Way
8.19 An SIP form was added to this transaction.
</t>
      </text>
    </comment>
    <comment authorId="457" xr:uid="{7637ed8e-6f12-477f-a6b2-0bca23738c14}"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12.17 AM verified.
@isabel@coryhometeam.com 
@kenia@coryhometeam.com 
12.17 CI sent to Escrow.
</t>
      </text>
    </comment>
    <comment authorId="458" xr:uid="{766d5390-88ad-4162-af7b-4ac2aefd6b81}"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@dana@coryhometeam.com 
*Special instructions From Bridget
Buyers are my husband Ron and I.
Please draft an addendum giving a buyer credit to the buyer from buyer brokerage commission. Total commission is 3% or $15,450
personal escrows I have to pay $1500,
so $15450-1500=$13,950 credit from CHT/eXp to buyer.
Assigned to isabel@coryhometeam.com
</t>
      </text>
    </comment>
    <comment authorId="459" xr:uid="{767c799d-ade1-4bd7-b63d-10c460337058}" ref="A1">
      <text>
        <t xml:space="preserve">[Threaded comment]
 Your version of Excel allows you to read this threaded comment; however, any edits to it will get removed if the file is opened in a newer version of Excel. Learn more: https://go.microsoft.com/fwlink/?linkid=870924
Comment:
	3830 Cougar Canyon Rd
6.27 Price decrease from 488K to 473K as per AEA2.
</t>
      </text>
    </comment>
    <comment authorId="460" xr:uid="{76ae7f27-ac7a-4e64-9deb-2537aba85b42}" ref="A1">
      <text>
        <t xml:space="preserve">[Threaded comment]
 Your version of Excel allows you to read this threaded comment; however, any edits to it will get removed if the file is opened in a newer version of Excel. Learn more: https://go.microsoft.com/fwlink/?linkid=870924
Comment:
	CORTE LORCA @isabel@coryhometeam.com VERIFIED
Assigned to isabel@coryhometeam.com
</t>
      </text>
    </comment>
    <comment authorId="461" xr:uid="{76d50824-8642-4de3-a89f-f5a26075f6e2}" ref="A1">
      <text>
        <t xml:space="preserve">[Threaded comment]
 Your version of Excel allows you to read this threaded comment; however, any edits to it will get removed if the file is opened in a newer version of Excel. Learn more: https://go.microsoft.com/fwlink/?linkid=870924
Comment:
	Waiting confirmation from Eddie.
</t>
      </text>
    </comment>
    <comment authorId="462" xr:uid="{77424916-9a77-45dc-856f-99dd6966d7db}" ref="A1">
      <text>
        <t xml:space="preserve">[Threaded comment]
 Your version of Excel allows you to read this threaded comment; however, any edits to it will get removed if the file is opened in a newer version of Excel. Learn more: https://go.microsoft.com/fwlink/?linkid=870924
Comment:
	KNOLLWOOD ST @isabel@coryhometeam.com VERIFIED
Assigned to isabel@coryhometeam.com
</t>
      </text>
    </comment>
    <comment authorId="463" xr:uid="{77adf335-dff2-49b4-bd02-19049e18cd27}" ref="A1">
      <text>
        <t xml:space="preserve">[Threaded comment]
 Your version of Excel allows you to read this threaded comment; however, any edits to it will get removed if the file is opened in a newer version of Excel. Learn more: https://go.microsoft.com/fwlink/?linkid=870924
Comment:
	1.30.25 Per Mario, please put on hold.
Reason: Family Emergency
</t>
      </text>
    </comment>
    <comment authorId="464" xr:uid="{77c51142-ac00-45b2-88d3-a9aa496e175c}" ref="A1">
      <text>
        <t xml:space="preserve">[Threaded comment]
 Your version of Excel allows you to read this threaded comment; however, any edits to it will get removed if the file is opened in a newer version of Excel. Learn more: https://go.microsoft.com/fwlink/?linkid=870924
Comment:
	@kenia@coryhometeam.com Do you know if this one is moving forward? The DB folder has a HFL signed in June and I didn't see a RLA in DocuSign.
Assigned to kenia@coryhometeam.com
Reply:
	seller stopped communicating as of 6/16 I moved it to Cancelled tab
</t>
      </text>
    </comment>
    <comment authorId="465" xr:uid="{780db042-d6d5-4516-851e-823b192f6938}" ref="A1">
      <text>
        <t xml:space="preserve">[Threaded comment]
 Your version of Excel allows you to read this threaded comment; however, any edits to it will get removed if the file is opened in a newer version of Excel. Learn more: https://go.microsoft.com/fwlink/?linkid=870924
Comment:
	PRIMROSE LN @isabel@coryhometeam.com VERIFIED
Assigned to isabel@coryhometeam.com
</t>
      </text>
    </comment>
    <comment authorId="466" xr:uid="{79db26e4-d9fe-41a5-9792-daeca305a102}" ref="A1">
      <text>
        <t xml:space="preserve">[Threaded comment]
 Your version of Excel allows you to read this threaded comment; however, any edits to it will get removed if the file is opened in a newer version of Excel. Learn more: https://go.microsoft.com/fwlink/?linkid=870924
Comment:
	8247 Concord St
AM verified.
@isabel@coryhometeam.com 
@kenia@coryhometeam.com 
7.10 CI sent to Escrow.
Assigned to isabel@coryhometeam.com
</t>
      </text>
    </comment>
    <comment authorId="467" xr:uid="{7aac36d0-a690-47db-af77-7d65189be34c}" ref="A1">
      <text>
        <t xml:space="preserve">[Threaded comment]
 Your version of Excel allows you to read this threaded comment; however, any edits to it will get removed if the file is opened in a newer version of Excel. Learn more: https://go.microsoft.com/fwlink/?linkid=870924
Comment:
	1.8 Transaction changed from CASH to financing. Also, agent will be adding a COP.
</t>
      </text>
    </comment>
    <comment authorId="468" xr:uid="{7b793dde-11a5-4fa9-9493-0f9f11d5136a}" ref="A1">
      <text>
        <t xml:space="preserve">[Threaded comment]
 Your version of Excel allows you to read this threaded comment; however, any edits to it will get removed if the file is opened in a newer version of Excel. Learn more: https://go.microsoft.com/fwlink/?linkid=870924
Comment:
	@dana@coryhometeam.com This closed on 07/07/25 - this date is correct. Final Closing Statement confirms this info.
Assigned to dana@coryhometeam.com
</t>
      </text>
    </comment>
    <comment authorId="469" xr:uid="{7b9c76b2-02f7-478e-8b5c-fbaafc903da3}" ref="A1">
      <text>
        <t xml:space="preserve">[Threaded comment]
 Your version of Excel allows you to read this threaded comment; however, any edits to it will get removed if the file is opened in a newer version of Excel. Learn more: https://go.microsoft.com/fwlink/?linkid=870924
Comment:
	4.25 COE moved from 4.29 to 5.2 per ETA.
</t>
      </text>
    </comment>
    <comment authorId="470" xr:uid="{7bc5d558-c2f0-4c55-8350-5d5af6017b1b}" ref="A1">
      <text>
        <t xml:space="preserve">[Threaded comment]
 Your version of Excel allows you to read this threaded comment; however, any edits to it will get removed if the file is opened in a newer version of Excel. Learn more: https://go.microsoft.com/fwlink/?linkid=870924
Comment:
	OpenDoor - Fee does not apply.
</t>
      </text>
    </comment>
    <comment authorId="471" xr:uid="{7c5f6809-9e0a-44c0-9ecc-b7599f337a0a}" ref="A1">
      <text>
        <t xml:space="preserve">[Threaded comment]
 Your version of Excel allows you to read this threaded comment; however, any edits to it will get removed if the file is opened in a newer version of Excel. Learn more: https://go.microsoft.com/fwlink/?linkid=870924
Comment:
	26095 Mccall Blvd
AM verified.
@isabel@coryhometeam.com
@kenia@coryhometeam.com
11.14 CI sent to Escrow.
Assigned to isabel@coryhometeam.com
</t>
      </text>
    </comment>
    <comment authorId="472" xr:uid="{7c6ef333-f528-4b38-a42b-b47913ede479}" ref="A1">
      <text>
        <t xml:space="preserve">[Threaded comment]
 Your version of Excel allows you to read this threaded comment; however, any edits to it will get removed if the file is opened in a newer version of Excel. Learn more: https://go.microsoft.com/fwlink/?linkid=870924
Comment:
	BELLA ROSA DRIVE @isabel@coryhometeam.com VERIFIED
Assigned to isabel@coryhometeam.com
</t>
      </text>
    </comment>
    <comment authorId="473" xr:uid="{7c972c01-482a-4eeb-a574-505d79654330}" ref="A1">
      <text>
        <t xml:space="preserve">[Threaded comment]
 Your version of Excel allows you to read this threaded comment; however, any edits to it will get removed if the file is opened in a newer version of Excel. Learn more: https://go.microsoft.com/fwlink/?linkid=870924
Comment:
	26561 Sun City Blvd
AM verified.
@isabel@coryhometeam.com
@kenia@coryhometeam.com
9.22 CI sent to Escrow.
Assigned to isabel@coryhometeam.com
</t>
      </text>
    </comment>
    <comment authorId="474" xr:uid="{7ca9e846-40b8-4231-8f6a-ac71ad27dbcb}" ref="A1">
      <text>
        <t xml:space="preserve">[Threaded comment]
 Your version of Excel allows you to read this threaded comment; however, any edits to it will get removed if the file is opened in a newer version of Excel. Learn more: https://go.microsoft.com/fwlink/?linkid=870924
Comment:
	No Marketing per MLSA
</t>
      </text>
    </comment>
    <comment authorId="475" xr:uid="{7cc9c447-a1a4-4e22-9bd9-8a46c21b0f05}" ref="A1">
      <text>
        <t xml:space="preserve">[Threaded comment]
 Your version of Excel allows you to read this threaded comment; however, any edits to it will get removed if the file is opened in a newer version of Excel. Learn more: https://go.microsoft.com/fwlink/?linkid=870924
Comment:
	Approved off the top by Kiona in email on 07/01/25
Reply:
	Seller requested credit of $4,800 be returned to total commission due to LA.
</t>
      </text>
    </comment>
    <comment authorId="476" xr:uid="{7d4ee238-2455-408d-a04d-4ee4d638622a}" ref="A1">
      <text>
        <t xml:space="preserve">[Threaded comment]
 Your version of Excel allows you to read this threaded comment; however, any edits to it will get removed if the file is opened in a newer version of Excel. Learn more: https://go.microsoft.com/fwlink/?linkid=870924
Comment:
	7.29 Per ETA new COE date is 8.4
Reply:
	8.6 Per ETA2 new COE is 8.13.
</t>
      </text>
    </comment>
    <comment authorId="477" xr:uid="{7dbdadf7-67fb-4f6c-8526-920c0df203ff}" ref="A1">
      <text>
        <t xml:space="preserve">[Threaded comment]
 Your version of Excel allows you to read this threaded comment; however, any edits to it will get removed if the file is opened in a newer version of Excel. Learn more: https://go.microsoft.com/fwlink/?linkid=870924
Comment:
	24484 Tuscola Circle
AM verified.
@isabel@coryhometeam.com
@kenia@coryhometeam.com
11.6 CI sent to Escrow.
Assigned to isabel@coryhometeam.com
</t>
      </text>
    </comment>
    <comment authorId="478" xr:uid="{7e305c0d-a522-42ee-bd1c-2ec50c6a1fff}"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12.4 POPPY FIELD CT @isabel@coryhometeam.com VERIFIED
</t>
      </text>
    </comment>
    <comment authorId="479" xr:uid="{7e362ad8-88eb-406b-b364-945e3535a360}"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4.17 CI sent to Escrow.
Assigned to isabel@coryhometeam.com
</t>
      </text>
    </comment>
    <comment authorId="480" xr:uid="{7f7a9804-8a30-4042-bba6-d60896ac3309}" ref="A1">
      <text>
        <t xml:space="preserve">[Threaded comment]
 Your version of Excel allows you to read this threaded comment; however, any edits to it will get removed if the file is opened in a newer version of Excel. Learn more: https://go.microsoft.com/fwlink/?linkid=870924
Comment:
	975 California St, Spc 46
AM verified.
@isabel@coryhometeam.com 
@kenia@coryhometeam.com 
6.26 CI sent to Escrow.
Assigned to isabel@coryhometeam.com
</t>
      </text>
    </comment>
    <comment authorId="481" xr:uid="{7f833a62-8e2a-4a64-9535-001a5266c1cc}" ref="A1">
      <text>
        <t xml:space="preserve">[Threaded comment]
 Your version of Excel allows you to read this threaded comment; however, any edits to it will get removed if the file is opened in a newer version of Excel. Learn more: https://go.microsoft.com/fwlink/?linkid=870924
Comment:
	Cheryl to pay $5K out of her commission to Seller as credit.
</t>
      </text>
    </comment>
    <comment authorId="482" xr:uid="{7fab7eb0-2af7-43ca-b4c0-4ca09738170d}" ref="A1">
      <text>
        <t xml:space="preserve">[Threaded comment]
 Your version of Excel allows you to read this threaded comment; however, any edits to it will get removed if the file is opened in a newer version of Excel. Learn more: https://go.microsoft.com/fwlink/?linkid=870924
Comment:
	Per Alexandra 03/31/25
The underwriter called the loan officer and will not accept some type of payment arrangement on a collection of theirs. They are trying to work through this but it’s definitely going to be pushed out a bit.
</t>
      </text>
    </comment>
    <comment authorId="483" xr:uid="{7fbf7b9d-c3a9-45be-aa9c-ce6ba29ad36f}" ref="A1">
      <text>
        <t xml:space="preserve">[Threaded comment]
 Your version of Excel allows you to read this threaded comment; however, any edits to it will get removed if the file is opened in a newer version of Excel. Learn more: https://go.microsoft.com/fwlink/?linkid=870924
Comment:
	12.12 flex seller- open door @isabel@coryhometeam.com
Assigned to isabel@coryhometeam.com
</t>
      </text>
    </comment>
    <comment authorId="484" xr:uid="{811a2d1f-8b66-4c07-b31f-2a4312b7512a}"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3.12 CI sent to Escrow.
Assigned to isabel@coryhometeam.com
</t>
      </text>
    </comment>
    <comment authorId="485" xr:uid="{81a991c6-c95b-4417-a9f7-5bf883b70aba}" ref="A1">
      <text>
        <t xml:space="preserve">[Threaded comment]
 Your version of Excel allows you to read this threaded comment; however, any edits to it will get removed if the file is opened in a newer version of Excel. Learn more: https://go.microsoft.com/fwlink/?linkid=870924
Comment:
	200 N El Camino Real #80
AM verified.
@isabel@coryhometeam.com
@kenia@coryhometeam.com
10.6 CI sent to Escrow.
Assigned to isabel@coryhometeam.com
</t>
      </text>
    </comment>
    <comment authorId="486" xr:uid="{81f01602-3e0f-4263-aeaa-6ee16698ce29}" ref="A1">
      <text>
        <t xml:space="preserve">[Threaded comment]
 Your version of Excel allows you to read this threaded comment; however, any edits to it will get removed if the file is opened in a newer version of Excel. Learn more: https://go.microsoft.com/fwlink/?linkid=870924
Comment:
	1.5% from seller and .5 from buyer
</t>
      </text>
    </comment>
    <comment authorId="487" xr:uid="{825effcc-0a72-428f-b353-6aa3fe2f4c05}"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5.5 CI sent to Escrow.
Assigned to isabel@coryhometeam.com
</t>
      </text>
    </comment>
    <comment authorId="488" xr:uid="{827e1ff9-f83b-4dcb-8e0b-d17979bf466f}" ref="A1">
      <text>
        <t xml:space="preserve">[Threaded comment]
 Your version of Excel allows you to read this threaded comment; however, any edits to it will get removed if the file is opened in a newer version of Excel. Learn more: https://go.microsoft.com/fwlink/?linkid=870924
Comment:
	913 S Grand Ave #41
AM verified.
@isabel@coryhometeam.com
@kenia@coryhometeam.com
9.22 CI sent to Escrow.
Assigned to isabel@coryhometeam.com
</t>
      </text>
    </comment>
    <comment authorId="489" xr:uid="{82b6458a-9e49-4209-b46d-406aaa2c0c02}" ref="A1">
      <text>
        <t xml:space="preserve">[Threaded comment]
 Your version of Excel allows you to read this threaded comment; however, any edits to it will get removed if the file is opened in a newer version of Excel. Learn more: https://go.microsoft.com/fwlink/?linkid=870924
Comment:
	5.2 Buyer opted out to a new lender.
</t>
      </text>
    </comment>
    <comment authorId="490" xr:uid="{82bcb60c-467e-4859-909c-b978f15b54d0}" ref="A1">
      <text>
        <t xml:space="preserve">[Threaded comment]
 Your version of Excel allows you to read this threaded comment; however, any edits to it will get removed if the file is opened in a newer version of Excel. Learn more: https://go.microsoft.com/fwlink/?linkid=870924
Comment:
	@dana@coryhometeam.com this is the minimum EXP is requiring on my transactions with Blake until I hit my minimum with them.
Assigned to dana@coryhometeam.com
</t>
      </text>
    </comment>
    <comment authorId="491" xr:uid="{83189293-5dfe-4393-8bbb-3701ceb4563a}" ref="A1">
      <text>
        <t xml:space="preserve">[Threaded comment]
 Your version of Excel allows you to read this threaded comment; however, any edits to it will get removed if the file is opened in a newer version of Excel. Learn more: https://go.microsoft.com/fwlink/?linkid=870924
Comment:
	45521 State Highway 74 #68
AM verified.
@isabel@coryhometeam.com
@kenia@coryhometeam.com
8.21 CI sent to Escrow.
Assigned to isabel@coryhometeam.com
</t>
      </text>
    </comment>
    <comment authorId="492" xr:uid="{8336db16-7c5b-45d5-803a-e631821f97fb}" ref="A1">
      <text>
        <t xml:space="preserve">[Threaded comment]
 Your version of Excel allows you to read this threaded comment; however, any edits to it will get removed if the file is opened in a newer version of Excel. Learn more: https://go.microsoft.com/fwlink/?linkid=870924
Comment:
	6/22-6/24
</t>
      </text>
    </comment>
    <comment authorId="493" xr:uid="{834d3af9-2d7b-45e0-bc10-f40ffb7dc051}" ref="A1">
      <text>
        <t xml:space="preserve">[Threaded comment]
 Your version of Excel allows you to read this threaded comment; however, any edits to it will get removed if the file is opened in a newer version of Excel. Learn more: https://go.microsoft.com/fwlink/?linkid=870924
Comment:
	MARABELLA CT @isabel@coryhometeam.com VERIFIED
Assigned to isabel@coryhometeam.com
</t>
      </text>
    </comment>
    <comment authorId="494" xr:uid="{83ac5508-776e-4567-8317-9f3fa642c441}" ref="A1">
      <text>
        <t xml:space="preserve">[Threaded comment]
 Your version of Excel allows you to read this threaded comment; however, any edits to it will get removed if the file is opened in a newer version of Excel. Learn more: https://go.microsoft.com/fwlink/?linkid=870924
Comment:
	REF 59520 Gilman Rd - splits now ready (100% to Blake) @dana@coryhometeam.com
</t>
      </text>
    </comment>
    <comment authorId="495" xr:uid="{84222177-07d1-48ef-946a-50383a0ae4e6}"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4.15 CI sent to Escrow.
Assigned to isabel@coryhometeam.com
</t>
      </text>
    </comment>
    <comment authorId="496" xr:uid="{8440cb31-1312-40c0-8c0f-7232ac126de0}"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12.30 AM verified.
@isabel@coryhometeam.com 
@kenia@coryhometeam.com 
12.30 CI sent to Escrow.
Reply:
	Marked as resolved
</t>
      </text>
    </comment>
    <comment authorId="497" xr:uid="{846933b9-9b24-48dd-8f7c-e71aed5b8064}" ref="A1">
      <text>
        <t xml:space="preserve">[Threaded comment]
 Your version of Excel allows you to read this threaded comment; however, any edits to it will get removed if the file is opened in a newer version of Excel. Learn more: https://go.microsoft.com/fwlink/?linkid=870924
Comment:
	901 S Sixth Ave # 195
AM verified.
@isabel@coryhometeam.com 
@kenia@coryhometeam.com 
6.25 CI sent to Escrow.
Assigned to isabel@coryhometeam.com
</t>
      </text>
    </comment>
    <comment authorId="498" xr:uid="{849a586b-66f8-44ee-8d22-edfa1e13c846}" ref="A1">
      <text>
        <t xml:space="preserve">[Threaded comment]
 Your version of Excel allows you to read this threaded comment; however, any edits to it will get removed if the file is opened in a newer version of Excel. Learn more: https://go.microsoft.com/fwlink/?linkid=870924
Comment:
	5/24-5/25
</t>
      </text>
    </comment>
    <comment authorId="499" xr:uid="{84b7886a-4a64-4673-a742-b36033c711b6}" ref="A1">
      <text>
        <t xml:space="preserve">[Threaded comment]
 Your version of Excel allows you to read this threaded comment; however, any edits to it will get removed if the file is opened in a newer version of Excel. Learn more: https://go.microsoft.com/fwlink/?linkid=870924
Comment:
	LYN AVENUE @isabel@coryhometeam.com VERIFIED
Assigned to isabel@coryhometeam.com
</t>
      </text>
    </comment>
    <comment authorId="500" xr:uid="{854ef886-4a6d-4c87-b11a-061b17e65816}"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When we got to market, this is not SHOWCASE so we will use CRMLS
Assigned to aileen@coryhometeam.com
</t>
      </text>
    </comment>
    <comment authorId="501" xr:uid="{857c7ef5-b73d-4c08-ab9f-1f2a2547ac9e}" ref="A1">
      <text>
        <t xml:space="preserve">[Threaded comment]
 Your version of Excel allows you to read this threaded comment; however, any edits to it will get removed if the file is opened in a newer version of Excel. Learn more: https://go.microsoft.com/fwlink/?linkid=870924
Comment:
	MANCHESTER LN @isabel@coryhometeam.com VERIFIED
Assigned to isabel@coryhometeam.com
</t>
      </text>
    </comment>
    <comment authorId="502" xr:uid="{860b8fd8-c5a9-42e7-a125-88ffa233e4dc}" ref="A1">
      <text>
        <t xml:space="preserve">[Threaded comment]
 Your version of Excel allows you to read this threaded comment; however, any edits to it will get removed if the file is opened in a newer version of Excel. Learn more: https://go.microsoft.com/fwlink/?linkid=870924
Comment:
	TWIN LAKES @isabel@coryhometeam.com VERIFIED
Assigned to isabel@coryhometeam.com
</t>
      </text>
    </comment>
    <comment authorId="503" xr:uid="{861017ce-d5c5-438b-b067-83d92d0cc657}" ref="A1">
      <text>
        <t xml:space="preserve">[Threaded comment]
 Your version of Excel allows you to read this threaded comment; however, any edits to it will get removed if the file is opened in a newer version of Excel. Learn more: https://go.microsoft.com/fwlink/?linkid=870924
Comment:
	PONDEROSA DR @isabel@coryhometeam.com VERIFIED
Assigned to isabel@coryhometeam.com
</t>
      </text>
    </comment>
    <comment authorId="504" xr:uid="{865a793e-1b6e-4c68-8944-6f5a5ecff26a}" ref="A1">
      <text>
        <t xml:space="preserve">[Threaded comment]
 Your version of Excel allows you to read this threaded comment; however, any edits to it will get removed if the file is opened in a newer version of Excel. Learn more: https://go.microsoft.com/fwlink/?linkid=870924
Comment:
	4.27 Araceli removed from the transaction.
</t>
      </text>
    </comment>
    <comment authorId="505" xr:uid="{867821ed-acb6-4a8f-b189-9e7c9e7837cf}" ref="AD10">
      <text>
        <t xml:space="preserve">[Threaded comment]
 Your version of Excel allows you to read this threaded comment; however, any edits to it will get removed if the file is opened in a newer version of Excel. Learn more: https://go.microsoft.com/fwlink/?linkid=870924
Comment:
	6.3 Kiona advised she reduced commission from 3% to 2% 
@dana@coryhometeam.com
Assigned to dana@coryhometeam.com
</t>
      </text>
    </comment>
    <comment authorId="506" xr:uid="{87515cec-3d8b-4279-b000-577a8ad4f938}" ref="A1">
      <text>
        <t xml:space="preserve">[Threaded comment]
 Your version of Excel allows you to read this threaded comment; however, any edits to it will get removed if the file is opened in a newer version of Excel. Learn more: https://go.microsoft.com/fwlink/?linkid=870924
Comment:
	7/2/2025
</t>
      </text>
    </comment>
    <comment authorId="507" xr:uid="{876f5503-1a60-413f-94cf-4f057faafb60}" ref="A1">
      <text>
        <t xml:space="preserve">[Threaded comment]
 Your version of Excel allows you to read this threaded comment; however, any edits to it will get removed if the file is opened in a newer version of Excel. Learn more: https://go.microsoft.com/fwlink/?linkid=870924
Comment:
	seller credit to buyer for repairs
</t>
      </text>
    </comment>
    <comment authorId="508" xr:uid="{87e52c5c-ad2c-48d4-a674-61a771fdd4bd}"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4.25 CI sent to Escrow.
Assigned to isabel@coryhometeam.com
</t>
      </text>
    </comment>
    <comment authorId="509" xr:uid="{880680b8-d6b1-41d6-831d-f031e611f3e7}"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3.6 CI sent to Escrow.
Assigned to isabel@coryhometeam.com
</t>
      </text>
    </comment>
    <comment authorId="510" xr:uid="{8842eb90-8862-41f8-9024-6c2017d266e7}" ref="A1">
      <text>
        <t xml:space="preserve">[Threaded comment]
 Your version of Excel allows you to read this threaded comment; however, any edits to it will get removed if the file is opened in a newer version of Excel. Learn more: https://go.microsoft.com/fwlink/?linkid=870924
Comment:
	33340 Gisborne Way
AM verified.
@isabel@coryhometeam.com 
@kenia@coryhometeam.com 
8.12 CI sent to Escrow.
Assigned to isabel@coryhometeam.com
</t>
      </text>
    </comment>
    <comment authorId="511" xr:uid="{884f8148-c305-4378-b9d6-675c83dfd879}" ref="A1">
      <text>
        <t xml:space="preserve">[Threaded comment]
 Your version of Excel allows you to read this threaded comment; however, any edits to it will get removed if the file is opened in a newer version of Excel. Learn more: https://go.microsoft.com/fwlink/?linkid=870924
Comment:
	HENDRIX AVE @isabel@coryhometeam.com VERIFIED
Assigned to isabel@coryhometeam.com
</t>
      </text>
    </comment>
    <comment authorId="512" xr:uid="{8862f329-1945-4414-9195-1a65f3b110dc}" ref="A1">
      <text>
        <t xml:space="preserve">[Threaded comment]
 Your version of Excel allows you to read this threaded comment; however, any edits to it will get removed if the file is opened in a newer version of Excel. Learn more: https://go.microsoft.com/fwlink/?linkid=870924
Comment:
	475 Termino Ave
AM verified.
@isabel@coryhometeam.com
@kenia@coryhometeam.com
12.23 CI sent to Escrow.
Assigned to isabel@coryhometeam.com
</t>
      </text>
    </comment>
    <comment authorId="513" xr:uid="{88912d1a-8209-48a6-9c64-30c9f7f4f390}" ref="A1">
      <text>
        <t xml:space="preserve">[Threaded comment]
 Your version of Excel allows you to read this threaded comment; however, any edits to it will get removed if the file is opened in a newer version of Excel. Learn more: https://go.microsoft.com/fwlink/?linkid=870924
Comment:
	14768 Ingram Way
As ETA new COE is 7.25 or sooner.
</t>
      </text>
    </comment>
    <comment authorId="514" xr:uid="{88a61d56-b9ef-4f80-9d17-96c749b02e9c}" ref="A1">
      <text>
        <t xml:space="preserve">[Threaded comment]
 Your version of Excel allows you to read this threaded comment; however, any edits to it will get removed if the file is opened in a newer version of Excel. Learn more: https://go.microsoft.com/fwlink/?linkid=870924
Comment:
	3663 Buchanan St #154
AM verified.
@isabel@coryhometeam.com
@kenia@coryhometeam.com
9.2 CI sent to Escrow.
Assigned to isabel@coryhometeam.com
</t>
      </text>
    </comment>
    <comment authorId="515" xr:uid="{89036c23-ca58-4a47-8797-0c5c02f32551}"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12.19 Order pending due to warranty info incomplete. An AEA will follow.
</t>
      </text>
    </comment>
    <comment authorId="516" xr:uid="{8907faac-6f44-46c9-b267-9a1649f83a85}" ref="A1">
      <text>
        <t xml:space="preserve">[Threaded comment]
 Your version of Excel allows you to read this threaded comment; however, any edits to it will get removed if the file is opened in a newer version of Excel. Learn more: https://go.microsoft.com/fwlink/?linkid=870924
Comment:
	Commission is $1000
</t>
      </text>
    </comment>
    <comment authorId="517" xr:uid="{896624b4-1a76-45b2-a9e5-ef12d65e7b6f}" ref="A1">
      <text>
        <t xml:space="preserve">[Threaded comment]
 Your version of Excel allows you to read this threaded comment; however, any edits to it will get removed if the file is opened in a newer version of Excel. Learn more: https://go.microsoft.com/fwlink/?linkid=870924
Comment:
	4/8-4/10/2025
</t>
      </text>
    </comment>
    <comment authorId="518" xr:uid="{89a0ac8e-3ed1-4ec7-bed6-5307c2922716}" ref="A1">
      <text>
        <t xml:space="preserve">[Threaded comment]
 Your version of Excel allows you to read this threaded comment; however, any edits to it will get removed if the file is opened in a newer version of Excel. Learn more: https://go.microsoft.com/fwlink/?linkid=870924
Comment:
	136 W Mayberry Ave
AM verified.
@isabel@coryhometeam.com 
@kenia@coryhometeam.com 
8.4 CI sent to Escrow.
Assigned to isabel@coryhometeam.com
</t>
      </text>
    </comment>
    <comment authorId="519" xr:uid="{89d1311d-b0eb-4a2a-8449-f0e914689e79}"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1.22 CI sent to Escrow.
Assigned to isabel@coryhometeam.com
</t>
      </text>
    </comment>
    <comment authorId="520" xr:uid="{89da9ed4-9b80-4a2e-962f-889848aa0fa6}"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4.25 CI sent to Escrow.
Assigned to isabel@coryhometeam.com
</t>
      </text>
    </comment>
    <comment authorId="521" xr:uid="{8a2391bd-6682-4319-88e2-e5ed818a402d}"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1.30 CI sent to Escrow.
Assigned to isabel@coryhometeam.com
Reply:
	AM verified.
@isabel@coryhometeam.com 
@kenia@coryhometeam.com 
2.5 REVISED CI sent to Escrow.
</t>
      </text>
    </comment>
    <comment authorId="522" xr:uid="{8a5df992-bbcc-4f98-b09a-dfeeba3d1252}" ref="A1">
      <text>
        <t xml:space="preserve">[Threaded comment]
 Your version of Excel allows you to read this threaded comment; however, any edits to it will get removed if the file is opened in a newer version of Excel. Learn more: https://go.microsoft.com/fwlink/?linkid=870924
Comment:
	CRESCENT AVE @isabel@coryhometeam.com VERIFIED
Assigned to isabel@coryhometeam.com
</t>
      </text>
    </comment>
    <comment authorId="523" xr:uid="{8a696afa-80fd-4f3f-9194-2dcd4cbfaf82}" ref="A1">
      <text>
        <t xml:space="preserve">[Threaded comment]
 Your version of Excel allows you to read this threaded comment; however, any edits to it will get removed if the file is opened in a newer version of Excel. Learn more: https://go.microsoft.com/fwlink/?linkid=870924
Comment:
	The agents commission is $1,500 flat fee.
</t>
      </text>
    </comment>
    <comment authorId="524" xr:uid="{8a6d4e67-bffd-4e3d-b0b3-55ae07de43db}" ref="A1">
      <text>
        <t xml:space="preserve">[Threaded comment]
 Your version of Excel allows you to read this threaded comment; however, any edits to it will get removed if the file is opened in a newer version of Excel. Learn more: https://go.microsoft.com/fwlink/?linkid=870924
Comment:
	6.9 COE extended to 7.10 as per ADM2.
</t>
      </text>
    </comment>
    <comment authorId="525" xr:uid="{8a8ee4a7-5085-4bc6-900b-bbe2dbba1c0d}" ref="A1">
      <text>
        <t xml:space="preserve">[Threaded comment]
 Your version of Excel allows you to read this threaded comment; however, any edits to it will get removed if the file is opened in a newer version of Excel. Learn more: https://go.microsoft.com/fwlink/?linkid=870924
Comment:
	16425 Trailblazer Ave
7.2 Change lender from Wells Fargo to GMCC.
</t>
      </text>
    </comment>
    <comment authorId="526" xr:uid="{8b5f84bd-52ba-46ac-ab67-5d117245b23e}" ref="A1">
      <text>
        <t xml:space="preserve">[Threaded comment]
 Your version of Excel allows you to read this threaded comment; however, any edits to it will get removed if the file is opened in a newer version of Excel. Learn more: https://go.microsoft.com/fwlink/?linkid=870924
Comment:
	CRISS AVE @isabel@coryhometeam.com VERIFIED
Assigned to isabel@coryhometeam.com
</t>
      </text>
    </comment>
    <comment authorId="527" xr:uid="{8bdfc535-4c32-4032-a04d-4f255527411b}" ref="A1">
      <text>
        <t xml:space="preserve">[Threaded comment]
 Your version of Excel allows you to read this threaded comment; however, any edits to it will get removed if the file is opened in a newer version of Excel. Learn more: https://go.microsoft.com/fwlink/?linkid=870924
Comment:
	BAUTISTA ROAD @isabel@coryhometeam.com VERIFIED
Assigned to isabel@coryhometeam.com
</t>
      </text>
    </comment>
    <comment authorId="528" xr:uid="{8be1d2c9-f0d1-4ead-a07a-086a72959f5e}" ref="A1">
      <text>
        <t xml:space="preserve">[Threaded comment]
 Your version of Excel allows you to read this threaded comment; however, any edits to it will get removed if the file is opened in a newer version of Excel. Learn more: https://go.microsoft.com/fwlink/?linkid=870924
Comment:
	2466 Bolker Dr
AM verified.
@isabel@coryhometeam.com
@kenia@coryhometeam.com
10.27 CI sent to Escrow.
Assigned to isabel@coryhometeam.com
</t>
      </text>
    </comment>
    <comment authorId="529" xr:uid="{8be7e9f1-261d-4ec1-a7cb-5746995fa2ef}" ref="A1">
      <text>
        <t xml:space="preserve">[Threaded comment]
 Your version of Excel allows you to read this threaded comment; however, any edits to it will get removed if the file is opened in a newer version of Excel. Learn more: https://go.microsoft.com/fwlink/?linkid=870924
Comment:
	W 4TH ST @isabel@coryhometeam.com VERIFIED
Assigned to isabel@coryhometeam.com
</t>
      </text>
    </comment>
    <comment authorId="530" xr:uid="{8c12c825-79e4-4f01-8e83-d33450e727db}" ref="A1">
      <text>
        <t xml:space="preserve">[Threaded comment]
 Your version of Excel allows you to read this threaded comment; however, any edits to it will get removed if the file is opened in a newer version of Excel. Learn more: https://go.microsoft.com/fwlink/?linkid=870924
Comment:
	By @rafael@coryhometeam.com 11/6 - Waived but to confirm with Blake per Kenia.
Assigned to rafael@coryhometeam.com
</t>
      </text>
    </comment>
    <comment authorId="531" xr:uid="{8c2b32cd-54e4-411c-97b2-658b6dc49d5f}" ref="A1">
      <text>
        <t xml:space="preserve">[Threaded comment]
 Your version of Excel allows you to read this threaded comment; however, any edits to it will get removed if the file is opened in a newer version of Excel. Learn more: https://go.microsoft.com/fwlink/?linkid=870924
Comment:
	Commission is $10,000.00 Fixed
</t>
      </text>
    </comment>
    <comment authorId="532" xr:uid="{8c910574-9ef5-467b-ae2d-c7e77ca68e07}" ref="A1">
      <text>
        <t xml:space="preserve">[Threaded comment]
 Your version of Excel allows you to read this threaded comment; however, any edits to it will get removed if the file is opened in a newer version of Excel. Learn more: https://go.microsoft.com/fwlink/?linkid=870924
Comment:
	Per SMCO1: SELLING BROKER COMPENSATION TO BE $3.000 MAX.
</t>
      </text>
    </comment>
    <comment authorId="533" xr:uid="{8cd608a7-73ee-4322-bda2-34e53a699165}"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2.6 CI sent to Escrow.
Assigned to isabel@coryhometeam.com
</t>
      </text>
    </comment>
    <comment authorId="534" xr:uid="{8cdc70a9-92ba-4124-b6b8-5ec0710b79f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3.26 CI sent to Escrow.
Assigned to isabel@coryhometeam.com
</t>
      </text>
    </comment>
    <comment authorId="535" xr:uid="{8d798f3b-69cd-4a1d-bf70-0b5ffee7ad01}"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1.21 CI sent to Escrow.
Assigned to isabel@coryhometeam.com
</t>
      </text>
    </comment>
    <comment authorId="536" xr:uid="{8d87642c-1770-4d68-bb72-a97dbd6097a3}"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Ansar to receive 80% on this file only_ 3375 Fuschia
Assigned to isabel@coryhometeam.com
</t>
      </text>
    </comment>
    <comment authorId="537" xr:uid="{8da7b486-a184-458d-8a4a-d5bb81596537}" ref="A1">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the day after buyer’s delivery of Escrow Evidence for Buyer's Property (COP 11.A(i)
</t>
      </text>
    </comment>
    <comment authorId="538" xr:uid="{8db8ae78-2852-4dcf-80ed-156c73ceddd0}" ref="A1">
      <text>
        <t xml:space="preserve">[Threaded comment]
 Your version of Excel allows you to read this threaded comment; however, any edits to it will get removed if the file is opened in a newer version of Excel. Learn more: https://go.microsoft.com/fwlink/?linkid=870924
Comment:
	3.3 COE date adjusted from 4/1 to 3/31. Per RPA it's 30 days after acceptance date.
</t>
      </text>
    </comment>
    <comment authorId="539" xr:uid="{8dfbaa02-e356-4380-9c52-f84867be0f0a}" ref="A1">
      <text>
        <t xml:space="preserve">[Threaded comment]
 Your version of Excel allows you to read this threaded comment; however, any edits to it will get removed if the file is opened in a newer version of Excel. Learn more: https://go.microsoft.com/fwlink/?linkid=870924
Comment:
	SHRIER DR @isabel@coryhometeam.com VERIFIED
Assigned to isabel@coryhometeam.com
</t>
      </text>
    </comment>
    <comment authorId="540" xr:uid="{8e0c4030-3e6d-4998-9b73-17d513431cb1}" ref="A1">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the day after buyer’s delivery of Escrow Evidence for Buyer's Property (COP 11.A(i)
</t>
      </text>
    </comment>
    <comment authorId="541" xr:uid="{8f1cea74-06ef-4ae0-96f1-6fc18d524436}" ref="AD24">
      <text>
        <t xml:space="preserve">[Threaded comment]
 Your version of Excel allows you to read this threaded comment; however, any edits to it will get removed if the file is opened in a newer version of Excel. Learn more: https://go.microsoft.com/fwlink/?linkid=870924
Comment:
	$5000.00 Flat Rate
</t>
      </text>
    </comment>
    <comment authorId="542" xr:uid="{8f85705f-b813-4a01-a81f-fff790634c9d}"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1.14 CI sent to Escrow.
Assigned to isabel@coryhometeam.com
</t>
      </text>
    </comment>
    <comment authorId="543" xr:uid="{8ffc69cb-cb50-4c47-b4f7-3f07a7c194ec}" ref="A1">
      <text>
        <t xml:space="preserve">[Threaded comment]
 Your version of Excel allows you to read this threaded comment; however, any edits to it will get removed if the file is opened in a newer version of Excel. Learn more: https://go.microsoft.com/fwlink/?linkid=870924
Comment:
	HEMET ST @isabel@coryhometeam.com VERIFIED
Assigned to isabel@coryhometeam.com
</t>
      </text>
    </comment>
    <comment authorId="544" xr:uid="{909fe6a5-958c-4f8a-930f-db26322ce115}" ref="A1">
      <text>
        <t xml:space="preserve">[Threaded comment]
 Your version of Excel allows you to read this threaded comment; however, any edits to it will get removed if the file is opened in a newer version of Excel. Learn more: https://go.microsoft.com/fwlink/?linkid=870924
Comment:
	27250 Murrieta Rd # 225
AM verified
@isabel@coryhometeam.com 
@kenia@coryhometeam.com 
7.11 CI sent to Escrow.
Assigned to isabel@coryhometeam.com
</t>
      </text>
    </comment>
    <comment authorId="545" xr:uid="{90da4224-2b02-44c7-80f3-889829b2a120}" ref="A1">
      <text>
        <t xml:space="preserve">[Threaded comment]
 Your version of Excel allows you to read this threaded comment; however, any edits to it will get removed if the file is opened in a newer version of Excel. Learn more: https://go.microsoft.com/fwlink/?linkid=870924
Comment:
	1920 Calle Buena Ventura
AM verified.
@isabel@coryhometeam.com 
@kenia@coryhometeam.com 
6.25 CI sent to Escrow.
Assigned to isabel@coryhometeam.com
</t>
      </text>
    </comment>
    <comment authorId="546" xr:uid="{91461510-975e-4b95-ba55-77a37ced3eb9}" ref="A1">
      <text>
        <t xml:space="preserve">[Threaded comment]
 Your version of Excel allows you to read this threaded comment; however, any edits to it will get removed if the file is opened in a newer version of Excel. Learn more: https://go.microsoft.com/fwlink/?linkid=870924
Comment:
	Reservation 2/21-2/22
</t>
      </text>
    </comment>
    <comment authorId="547" xr:uid="{91fe89fa-274d-48a3-ae89-a513f9764d2f}" ref="A1">
      <text>
        <t xml:space="preserve">[Threaded comment]
 Your version of Excel allows you to read this threaded comment; however, any edits to it will get removed if the file is opened in a newer version of Excel. Learn more: https://go.microsoft.com/fwlink/?linkid=870924
Comment:
	Buyer and Seller agent commission to be based on net purchase price of $600,000
</t>
      </text>
    </comment>
    <comment authorId="548" xr:uid="{926f2943-f44c-4581-8db1-31051bc7d29b}"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11.15 SUMMER DAY @isabel@coryhometeam.com VERIFIED
</t>
      </text>
    </comment>
    <comment authorId="549" xr:uid="{9301e918-5c53-4a14-a634-53361012bc73}" ref="A1">
      <text>
        <t xml:space="preserve">[Threaded comment]
 Your version of Excel allows you to read this threaded comment; however, any edits to it will get removed if the file is opened in a newer version of Excel. Learn more: https://go.microsoft.com/fwlink/?linkid=870924
Comment:
	4.7 LA commission to be confirmed by Kenia.
Reply:
	4.7 Per Kenia LA commission is $100 flat fee.
</t>
      </text>
    </comment>
    <comment authorId="550" xr:uid="{935291ba-b913-4908-83af-61c73ae45cc9}" ref="A1">
      <text>
        <t xml:space="preserve">[Threaded comment]
 Your version of Excel allows you to read this threaded comment; however, any edits to it will get removed if the file is opened in a newer version of Excel. Learn more: https://go.microsoft.com/fwlink/?linkid=870924
Comment:
	1.20 COE extended to 1.31 as per ETA2.
Reply:
	1.29 See ETA3 for new COE 2.6
</t>
      </text>
    </comment>
    <comment authorId="551" xr:uid="{93f14cbd-0185-41e3-8106-0c8e3114c2ea}" ref="A1">
      <text>
        <t xml:space="preserve">[Threaded comment]
 Your version of Excel allows you to read this threaded comment; however, any edits to it will get removed if the file is opened in a newer version of Excel. Learn more: https://go.microsoft.com/fwlink/?linkid=870924
Comment:
	W 4TH ST @isabel@coryhometeam.com VERIFIED
Assigned to isabel@coryhometeam.com
</t>
      </text>
    </comment>
    <comment authorId="552" xr:uid="{940925d6-b990-4d48-ae08-7fc4601fc2b3}" ref="A1">
      <text>
        <t xml:space="preserve">[Threaded comment]
 Your version of Excel allows you to read this threaded comment; however, any edits to it will get removed if the file is opened in a newer version of Excel. Learn more: https://go.microsoft.com/fwlink/?linkid=870924
Comment:
	Escrow #: RCO 7208684
Escrow company:
Monique Little
First American Title
951-256-5800
DR Horton Rep:
Tiffany Kate Shelton
951-707-9026
Tkshelton@drhorton.com
</t>
      </text>
    </comment>
    <comment authorId="553" xr:uid="{94132f0f-b1cc-4118-8b39-334aafe891a4}" ref="A1">
      <text>
        <t xml:space="preserve">[Threaded comment]
 Your version of Excel allows you to read this threaded comment; however, any edits to it will get removed if the file is opened in a newer version of Excel. Learn more: https://go.microsoft.com/fwlink/?linkid=870924
Comment:
	Need to Confirm w Mel if this will be a SHOWCASE ?
</t>
      </text>
    </comment>
    <comment authorId="554" xr:uid="{943ef051-5ba5-4944-badd-e6032fe08f0f}" ref="A1">
      <text>
        <t xml:space="preserve">[Threaded comment]
 Your version of Excel allows you to read this threaded comment; however, any edits to it will get removed if the file is opened in a newer version of Excel. Learn more: https://go.microsoft.com/fwlink/?linkid=870924
Comment:
	4.29 Moved from 4.22 to 4.28 per ETA1.
</t>
      </text>
    </comment>
    <comment authorId="555" xr:uid="{9461e97a-58a6-4c7c-84a7-129db2573103}" ref="A1">
      <text>
        <t xml:space="preserve">[Threaded comment]
 Your version of Excel allows you to read this threaded comment; however, any edits to it will get removed if the file is opened in a newer version of Excel. Learn more: https://go.microsoft.com/fwlink/?linkid=870924
Comment:
	7.16 New COE as per ETA.
Reply:
	7.21 New COE as per ETA2 to be 7.22
</t>
      </text>
    </comment>
    <comment authorId="556" xr:uid="{9463f9d9-b204-4315-9ecb-c45418777baf}" ref="A1">
      <text>
        <t xml:space="preserve">[Threaded comment]
 Your version of Excel allows you to read this threaded comment; however, any edits to it will get removed if the file is opened in a newer version of Excel. Learn more: https://go.microsoft.com/fwlink/?linkid=870924
Comment:
	27831 Covington Way
AM verified.
@isabel@coryhometeam.com
@kenia@coryhometeam.com
10.14 CI sent to Escrow.
Assigned to isabel@coryhometeam.com
</t>
      </text>
    </comment>
    <comment authorId="557" xr:uid="{94ef3144-a5dd-4fd5-a840-9abb4cb795ad}" ref="A1">
      <text>
        <t xml:space="preserve">[Threaded comment]
 Your version of Excel allows you to read this threaded comment; however, any edits to it will get removed if the file is opened in a newer version of Excel. Learn more: https://go.microsoft.com/fwlink/?linkid=870924
Comment:
	This listing was prior to 10/01, old splits should apply.
Reply:
	@isabel@coryhometeam.com
</t>
      </text>
    </comment>
    <comment authorId="558" xr:uid="{95748453-88eb-4c27-aae9-34f478cb61d5}" ref="A1">
      <text>
        <t xml:space="preserve">[Threaded comment]
 Your version of Excel allows you to read this threaded comment; however, any edits to it will get removed if the file is opened in a newer version of Excel. Learn more: https://go.microsoft.com/fwlink/?linkid=870924
Comment:
	$100.00
</t>
      </text>
    </comment>
    <comment authorId="559" xr:uid="{963b6f90-0a31-414f-a5a4-6f798e90f472}" ref="A1">
      <text>
        <t xml:space="preserve">[Threaded comment]
 Your version of Excel allows you to read this threaded comment; however, any edits to it will get removed if the file is opened in a newer version of Excel. Learn more: https://go.microsoft.com/fwlink/?linkid=870924
Comment:
	6/19
</t>
      </text>
    </comment>
    <comment authorId="560" xr:uid="{964f55a8-322f-4032-a34c-75b7240d3f72}" ref="A1">
      <text>
        <t xml:space="preserve">[Threaded comment]
 Your version of Excel allows you to read this threaded comment; however, any edits to it will get removed if the file is opened in a newer version of Excel. Learn more: https://go.microsoft.com/fwlink/?linkid=870924
Comment:
	Buyer lender on the sale property (Oakland #42) needs 2-3 days to review before funding. Docs were received 08/25.
Reply:
	Delays with the Buyers on the sale property (Oakland #42). Docs were incorrect and they need to redraw docs.
</t>
      </text>
    </comment>
    <comment authorId="561" xr:uid="{96a86ae1-b9e9-4e1e-856d-4853c217e50a}" ref="A1">
      <text>
        <t xml:space="preserve">[Threaded comment]
 Your version of Excel allows you to read this threaded comment; however, any edits to it will get removed if the file is opened in a newer version of Excel. Learn more: https://go.microsoft.com/fwlink/?linkid=870924
Comment:
	9.29 Price decreased from 120k to 119K per RR1 and AEA1.
</t>
      </text>
    </comment>
    <comment authorId="562" xr:uid="{96d44535-1402-4313-a7bc-774e5ead22bc}"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1.23 CI sent to Escrow.
Assigned to isabel@coryhometeam.com
</t>
      </text>
    </comment>
    <comment authorId="563" xr:uid="{971c3bd5-0d7b-402c-a3a5-f1ef8b6e9af1}" ref="A1">
      <text>
        <t xml:space="preserve">[Threaded comment]
 Your version of Excel allows you to read this threaded comment; however, any edits to it will get removed if the file is opened in a newer version of Excel. Learn more: https://go.microsoft.com/fwlink/?linkid=870924
Comment:
	725 Washington Blvd
6.26 ETA (COE 6.25) Received.
</t>
      </text>
    </comment>
    <comment authorId="564" xr:uid="{9787af80-b9d7-46f3-b898-6629a12d05b8}" ref="A1">
      <text>
        <t xml:space="preserve">[Threaded comment]
 Your version of Excel allows you to read this threaded comment; however, any edits to it will get removed if the file is opened in a newer version of Excel. Learn more: https://go.microsoft.com/fwlink/?linkid=870924
Comment:
	SUNSET DR @isabel@coryhometeam.com VERIFIED
Assigned to isabel@coryhometeam.com
</t>
      </text>
    </comment>
    <comment authorId="565" xr:uid="{97b8b87c-dbda-43d2-9494-8cb8df92d786}" ref="A1">
      <text>
        <t xml:space="preserve">[Threaded comment]
 Your version of Excel allows you to read this threaded comment; however, any edits to it will get removed if the file is opened in a newer version of Excel. Learn more: https://go.microsoft.com/fwlink/?linkid=870924
Comment:
	VIA VALDEZ @isabel@coryhometeam.com VERIFIED
Assigned to isabel@coryhometeam.com
</t>
      </text>
    </comment>
    <comment authorId="566" xr:uid="{97e62f1c-23ab-4470-a950-5cc4a1e1aa32}" ref="A1">
      <text>
        <t xml:space="preserve">[Threaded comment]
 Your version of Excel allows you to read this threaded comment; however, any edits to it will get removed if the file is opened in a newer version of Excel. Learn more: https://go.microsoft.com/fwlink/?linkid=870924
Comment:
	ARBORGLENN DR @isabel@coryhometeam.com VERIFIED
Assigned to isabel@coryhometeam.com
</t>
      </text>
    </comment>
    <comment authorId="567" xr:uid="{98a7bf2e-cf65-47ad-8493-795501e7d99a}" ref="A1">
      <text>
        <t xml:space="preserve">[Threaded comment]
 Your version of Excel allows you to read this threaded comment; however, any edits to it will get removed if the file is opened in a newer version of Excel. Learn more: https://go.microsoft.com/fwlink/?linkid=870924
Comment:
	Cabela- payoff demand sent to escrow 5/1/25
</t>
      </text>
    </comment>
    <comment authorId="568" xr:uid="{9914a8df-a51e-4f1a-a6aa-839ea2fbd5af}" ref="A1">
      <text>
        <t xml:space="preserve">[Threaded comment]
 Your version of Excel allows you to read this threaded comment; however, any edits to it will get removed if the file is opened in a newer version of Excel. Learn more: https://go.microsoft.com/fwlink/?linkid=870924
Comment:
	4/17-4/19
</t>
      </text>
    </comment>
    <comment authorId="569" xr:uid="{996d9d91-f7d9-4054-9802-790c10592184}" ref="A1">
      <text>
        <t xml:space="preserve">[Threaded comment]
 Your version of Excel allows you to read this threaded comment; however, any edits to it will get removed if the file is opened in a newer version of Excel. Learn more: https://go.microsoft.com/fwlink/?linkid=870924
Comment:
	Kendra agreed Escrow is instructed to hold back $1,000.00 from Listing Agent Commission. This is to ensure that the seller is able to repair the stove as agreed by November 2, 2025. If the seller is unable to complete the repairs, the buyer may submit the invoice to escrow for
replacement of the stove at the seller's expense from holdback
@dana@coryhometeam.com 
@isabel@coryhometeam.com
Assigned to dana@coryhometeam.com
</t>
      </text>
    </comment>
    <comment authorId="570" xr:uid="{9a2fd6dc-57dc-42eb-b3fb-49663919b69f}" ref="A1">
      <text>
        <t xml:space="preserve">[Threaded comment]
 Your version of Excel allows you to read this threaded comment; however, any edits to it will get removed if the file is opened in a newer version of Excel. Learn more: https://go.microsoft.com/fwlink/?linkid=870924
Comment:
	1639 Hendy Woods Cir
AM verified.
@isabel@coryhometeam.com 
@kenia@coryhometeam.com 
8.15 CI sent to Escrow.
Assigned to isabel@coryhometeam.com
Reply:
	Amended CI sent to Escrow.
@isabel@coryhometeam.com
</t>
      </text>
    </comment>
    <comment authorId="571" xr:uid="{9a34acb4-bc74-4195-ad5a-ac0848c4ed0b}" ref="A1">
      <text>
        <t xml:space="preserve">[Threaded comment]
 Your version of Excel allows you to read this threaded comment; however, any edits to it will get removed if the file is opened in a newer version of Excel. Learn more: https://go.microsoft.com/fwlink/?linkid=870924
Comment:
	PIERCE ST. #197 @isabel@coryhometeam.com VERIFIED
</t>
      </text>
    </comment>
    <comment authorId="572" xr:uid="{9b8c2b4a-121c-4a5f-8b94-1bbc69dc470a}" ref="A1">
      <text>
        <t xml:space="preserve">[Threaded comment]
 Your version of Excel allows you to read this threaded comment; however, any edits to it will get removed if the file is opened in a newer version of Excel. Learn more: https://go.microsoft.com/fwlink/?linkid=870924
Comment:
	LIDO BAY DRIVE @isabel@coryhometeam.com VERIFIED
Assigned to isabel@coryhometeam.com
</t>
      </text>
    </comment>
    <comment authorId="573" xr:uid="{9bcfb93e-d567-4a11-a6b7-66ba91bfa319}" ref="A1">
      <text>
        <t xml:space="preserve">[Threaded comment]
 Your version of Excel allows you to read this threaded comment; however, any edits to it will get removed if the file is opened in a newer version of Excel. Learn more: https://go.microsoft.com/fwlink/?linkid=870924
Comment:
	Reservation 4/18/25
</t>
      </text>
    </comment>
    <comment authorId="574" xr:uid="{9c4d7970-51a0-4bdd-ac8f-ed1ada337df3}"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9.30 Per agent closing is end of Feb 2025.
Assigned to rafael@coryhometeam.com
</t>
      </text>
    </comment>
    <comment authorId="575" xr:uid="{9c7c2713-fdfc-481c-871f-5b35605695b4}" ref="A1">
      <text>
        <t xml:space="preserve">[Threaded comment]
 Your version of Excel allows you to read this threaded comment; however, any edits to it will get removed if the file is opened in a newer version of Excel. Learn more: https://go.microsoft.com/fwlink/?linkid=870924
Comment:
	AUGUSTA DR. @isabel@coryhometeam.com VERIFIED
Assigned to isabel@coryhometeam.com
</t>
      </text>
    </comment>
    <comment authorId="576" xr:uid="{9e509f66-8f31-4d88-bf47-c9c62b2c5b97}" ref="A1">
      <text>
        <t xml:space="preserve">[Threaded comment]
 Your version of Excel allows you to read this threaded comment; however, any edits to it will get removed if the file is opened in a newer version of Excel. Learn more: https://go.microsoft.com/fwlink/?linkid=870924
Comment:
	CAMPUS WAY @isabel@coryhometeam.com VERIFIED
Assigned to isabel@coryhometeam.com
</t>
      </text>
    </comment>
    <comment authorId="577" xr:uid="{9e9ab2d2-d9d3-433f-ae65-7d42ad01c5fa}" ref="A1">
      <text>
        <t xml:space="preserve">[Threaded comment]
 Your version of Excel allows you to read this threaded comment; however, any edits to it will get removed if the file is opened in a newer version of Excel. Learn more: https://go.microsoft.com/fwlink/?linkid=870924
Comment:
	6.29 possession moved to 7.18 as per ADM2.
</t>
      </text>
    </comment>
    <comment authorId="578" xr:uid="{9ec840a7-7d81-4afb-a1d1-0457122432df}"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3.17 CI sent to Escrow.
Assigned to isabel@coryhometeam.com
</t>
      </text>
    </comment>
    <comment authorId="579" xr:uid="{9ef73855-fd5e-49c7-b299-6f4d37ee2ff1}" ref="A1">
      <text>
        <t xml:space="preserve">[Threaded comment]
 Your version of Excel allows you to read this threaded comment; however, any edits to it will get removed if the file is opened in a newer version of Excel. Learn more: https://go.microsoft.com/fwlink/?linkid=870924
Comment:
	34798 Lyn Ave
AM verified.
@isabel@coryhometeam.com
@kenia@coryhometeam.com
11.7 CI sent to Escrow.
Assigned to isabel@coryhometeam.com
</t>
      </text>
    </comment>
    <comment authorId="580" xr:uid="{9f0562a5-3cdd-4017-a053-f169781652c4}" ref="A1">
      <text>
        <t xml:space="preserve">[Threaded comment]
 Your version of Excel allows you to read this threaded comment; however, any edits to it will get removed if the file is opened in a newer version of Excel. Learn more: https://go.microsoft.com/fwlink/?linkid=870924
Comment:
	18294 Saltbush Ct
AM verified.
@isabel@coryhometeam.com
@kenia@coryhometeam.com
12.4 CI sent to Escrow.
Assigned to isabel@coryhometeam.com
</t>
      </text>
    </comment>
    <comment authorId="581" xr:uid="{9f3be519-1124-4660-8055-b2a68a17a437}"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2.3 CI sent to Escrow.
Assigned to isabel@coryhometeam.com
</t>
      </text>
    </comment>
    <comment authorId="582" xr:uid="{9f916eb0-16c2-4279-a9b9-7f13b05391ed}" ref="A1">
      <text>
        <t xml:space="preserve">[Threaded comment]
 Your version of Excel allows you to read this threaded comment; however, any edits to it will get removed if the file is opened in a newer version of Excel. Learn more: https://go.microsoft.com/fwlink/?linkid=870924
Comment:
	PIERCE ST @isabel@coryhometeam.com
VERIFIED
Assigned to isabel@coryhometeam.com
</t>
      </text>
    </comment>
    <comment authorId="583" xr:uid="{9ff62d17-aff1-4ff0-84ef-d05fde8600ad}" ref="A1">
      <text>
        <t xml:space="preserve">[Threaded comment]
 Your version of Excel allows you to read this threaded comment; however, any edits to it will get removed if the file is opened in a newer version of Excel. Learn more: https://go.microsoft.com/fwlink/?linkid=870924
Comment:
	31750 Machado St. #83
6.27 NEW COE 7.3 or sooner as per ETA.
</t>
      </text>
    </comment>
    <comment authorId="584" xr:uid="{a095c97d-d458-48db-95e5-b19c905051fe}"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4.25 CI sent to Escrow.
Assigned to isabel@coryhometeam.com
</t>
      </text>
    </comment>
    <comment authorId="585" xr:uid="{a0b07931-84df-4e45-bd26-08e19f34a746}" ref="A1">
      <text>
        <t xml:space="preserve">[Threaded comment]
 Your version of Excel allows you to read this threaded comment; however, any edits to it will get removed if the file is opened in a newer version of Excel. Learn more: https://go.microsoft.com/fwlink/?linkid=870924
Comment:
	16425 Trailblazer Ave
AM verified.
@isabel@coryhometeam.com 
@kenia@coryhometeam.com 
7.7 CI sent to Escrow.
Assigned to isabel@coryhometeam.com
</t>
      </text>
    </comment>
    <comment authorId="586" xr:uid="{a15015dd-b0b0-4425-8eed-6887817b27b7}" ref="A1">
      <text>
        <t xml:space="preserve">[Threaded comment]
 Your version of Excel allows you to read this threaded comment; however, any edits to it will get removed if the file is opened in a newer version of Excel. Learn more: https://go.microsoft.com/fwlink/?linkid=870924
Comment:
	COUR MEYNEY @isabel@coryhometeam.com VERIFIED
Assigned to isabel@coryhometeam.com
</t>
      </text>
    </comment>
    <comment authorId="587" xr:uid="{a1eac31b-e55b-407b-b714-b9532aac3c60}" ref="A1">
      <text>
        <t xml:space="preserve">[Threaded comment]
 Your version of Excel allows you to read this threaded comment; however, any edits to it will get removed if the file is opened in a newer version of Excel. Learn more: https://go.microsoft.com/fwlink/?linkid=870924
Comment:
	32249 Cour Meyney
AM verified.
@isabel@coryhometeam.com
@kenia@coryhometeam.com
11.14 CI sent to Escrow.
Assigned to isabel@coryhometeam.com
</t>
      </text>
    </comment>
    <comment authorId="588" xr:uid="{a259327b-eda5-4db8-89d6-056f0d1f1380}" ref="A1">
      <text>
        <t xml:space="preserve">[Threaded comment]
 Your version of Excel allows you to read this threaded comment; however, any edits to it will get removed if the file is opened in a newer version of Excel. Learn more: https://go.microsoft.com/fwlink/?linkid=870924
Comment:
	@kenia@coryhometeam.com The Seller singed this on 04/29/25 but it has not been executed by Blake. Is this still moving forward?
Assigned to kenia@coryhometeam.com
Reply:
	@kenia@coryhometeam.com Is this a duplicate on the TS?
Reply:
	Hi @alexis@coryhometeam.com hmmm looks like the address is a duplicate yes. But the correct price is $124,999 so something might have happened here. Like the address got copied over another one
</t>
      </text>
    </comment>
    <comment authorId="589" xr:uid="{a2c35adc-0528-44f9-bc69-4adeb2611e8b}" ref="A1">
      <text>
        <t xml:space="preserve">[Threaded comment]
 Your version of Excel allows you to read this threaded comment; however, any edits to it will get removed if the file is opened in a newer version of Excel. Learn more: https://go.microsoft.com/fwlink/?linkid=870924
Comment:
	5.6 Closing extended to 5.22 per ETA.
</t>
      </text>
    </comment>
    <comment authorId="590" xr:uid="{a2f19df2-b0b4-4cf3-b8e2-3bbcd24abce7}" ref="A1">
      <text>
        <t xml:space="preserve">[Threaded comment]
 Your version of Excel allows you to read this threaded comment; however, any edits to it will get removed if the file is opened in a newer version of Excel. Learn more: https://go.microsoft.com/fwlink/?linkid=870924
Comment:
	1796 Starlight Ave
AM verified.
@isabel@coryhometeam.com 
@kenia@coryhometeam.com 
8.4 CI sent to Escrow.
Assigned to isabel@coryhometeam.com
</t>
      </text>
    </comment>
    <comment authorId="591" xr:uid="{a304a7a2-8c86-4e0b-8f64-6c710379e4b0}"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 CI sent to Escrow.
Assigned to isabel@coryhometeam.com
</t>
      </text>
    </comment>
    <comment authorId="592" xr:uid="{a315f166-b771-488c-aeb5-ee5b921c2a2e}"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3.17 CI sent to Escrow.
Assigned to isabel@coryhometeam.com
</t>
      </text>
    </comment>
    <comment authorId="593" xr:uid="{a31d040e-053b-4e17-a54a-b7e9eb26bf3d}" ref="A1">
      <text>
        <t xml:space="preserve">[Threaded comment]
 Your version of Excel allows you to read this threaded comment; however, any edits to it will get removed if the file is opened in a newer version of Excel. Learn more: https://go.microsoft.com/fwlink/?linkid=870924
Comment:
	CARRARA CT @isabel@coryhometeam.com VERIFIED
Assigned to isabel@coryhometeam.com
</t>
      </text>
    </comment>
    <comment authorId="594" xr:uid="{a32171c0-044f-4f17-bec7-1c8bd96d9eec}" ref="A1">
      <text>
        <t xml:space="preserve">[Threaded comment]
 Your version of Excel allows you to read this threaded comment; however, any edits to it will get removed if the file is opened in a newer version of Excel. Learn more: https://go.microsoft.com/fwlink/?linkid=870924
Comment:
	7.11 Waiting on the removal of COP.
</t>
      </text>
    </comment>
    <comment authorId="595" xr:uid="{a3bc81a2-ac7b-4b84-a1be-1bbf2c0cfd0d}" ref="A1">
      <text>
        <t xml:space="preserve">[Threaded comment]
 Your version of Excel allows you to read this threaded comment; however, any edits to it will get removed if the file is opened in a newer version of Excel. Learn more: https://go.microsoft.com/fwlink/?linkid=870924
Comment:
	PIERCE ST @isabel@coryhometeam.com
VERIFIED
Assigned to isabel@coryhometeam.com
</t>
      </text>
    </comment>
    <comment authorId="596" xr:uid="{a3c9545b-9205-4e0a-9374-49832a222645}" ref="A1">
      <text>
        <t xml:space="preserve">[Threaded comment]
 Your version of Excel allows you to read this threaded comment; however, any edits to it will get removed if the file is opened in a newer version of Excel. Learn more: https://go.microsoft.com/fwlink/?linkid=870924
Comment:
	FAIRWAY RD @isabel@coryhometeam.com VERIFIED
Assigned to isabel@coryhometeam.com
</t>
      </text>
    </comment>
    <comment authorId="597" xr:uid="{a411f939-9945-41aa-882d-7a5e5e3a9d17}" ref="A1">
      <text>
        <t xml:space="preserve">[Threaded comment]
 Your version of Excel allows you to read this threaded comment; however, any edits to it will get removed if the file is opened in a newer version of Excel. Learn more: https://go.microsoft.com/fwlink/?linkid=870924
Comment:
	MILKY WAY DR @isabel@coryhometeam.com VERIFIED
Assigned to isabel@coryhometeam.com
</t>
      </text>
    </comment>
    <comment authorId="598" xr:uid="{a42142e9-014f-4900-b857-311bdb8356a4}" ref="A1">
      <text>
        <t xml:space="preserve">[Threaded comment]
 Your version of Excel allows you to read this threaded comment; however, any edits to it will get removed if the file is opened in a newer version of Excel. Learn more: https://go.microsoft.com/fwlink/?linkid=870924
Comment:
	684 El dorado Ln
AM verified.
@isabel@coryhometeam.com
@kenia@coryhometeam.com
8.18 CI sent to Escrow.
Assigned to isabel@coryhometeam.com
</t>
      </text>
    </comment>
    <comment authorId="599" xr:uid="{a45cf5f3-d3ec-450e-bab6-55be77749fc5}" ref="A1">
      <text>
        <t xml:space="preserve">[Threaded comment]
 Your version of Excel allows you to read this threaded comment; however, any edits to it will get removed if the file is opened in a newer version of Excel. Learn more: https://go.microsoft.com/fwlink/?linkid=870924
Comment:
	2.14 ETA COE 2.21 out for signature.
</t>
      </text>
    </comment>
    <comment authorId="600" xr:uid="{a4731c2e-97b2-48ef-9792-cc0d5df4df83}" ref="A1">
      <text>
        <t xml:space="preserve">[Threaded comment]
 Your version of Excel allows you to read this threaded comment; however, any edits to it will get removed if the file is opened in a newer version of Excel. Learn more: https://go.microsoft.com/fwlink/?linkid=870924
Comment:
	24450 Malaga Rd
AM verified.
@isabel@coryhometeam.com
@kenia@coryhometeam.com
9.5 CI sent to Escrow.
Assigned to isabel@coryhometeam.com
</t>
      </text>
    </comment>
    <comment authorId="601" xr:uid="{a53cd32c-dc97-4bb0-8a92-562e734f0306}" ref="A1">
      <text>
        <t xml:space="preserve">[Threaded comment]
 Your version of Excel allows you to read this threaded comment; however, any edits to it will get removed if the file is opened in a newer version of Excel. Learn more: https://go.microsoft.com/fwlink/?linkid=870924
Comment:
	6/26/25-6/28/25
</t>
      </text>
    </comment>
    <comment authorId="602" xr:uid="{a54ee93c-e867-4213-880a-d11a90257403}" ref="A1">
      <text>
        <t xml:space="preserve">[Threaded comment]
 Your version of Excel allows you to read this threaded comment; however, any edits to it will get removed if the file is opened in a newer version of Excel. Learn more: https://go.microsoft.com/fwlink/?linkid=870924
Comment:
	CAMINO DE LAS LOMAS @isabel@coryhometeam.com VERIFIED
Assigned to isabel@coryhometeam.com
</t>
      </text>
    </comment>
    <comment authorId="603" xr:uid="{a56274fb-24a2-44d6-83e4-772c57aafb7b}" ref="A1">
      <text>
        <t xml:space="preserve">[Threaded comment]
 Your version of Excel allows you to read this threaded comment; however, any edits to it will get removed if the file is opened in a newer version of Excel. Learn more: https://go.microsoft.com/fwlink/?linkid=870924
Comment:
	11.9 Hi Kenia, I found out on Monday that 21st mortgage will not be doing the loan for Radford. She was approved for the loan but underwriting wanted a letter on park letterhead stating that Derek is park approved. Derek is not park approved as he is 48 years old. He is however occupant approved. The worry of underwriting is that if Andria passes away, Derek is not approved to live in the park and would have to sell. So therefore, they would not write the loan. I spoke with the listing agent, Sherrie Goldby and she is ok with Andria switching lenders. However, Sherrie had to get approval from the power of attorney for the seller. Sherrie also said there is a cash backup offer on the property. I left a message for Sherrie on Tuesday to check the status and I didn't hear back from her. I'm hoping I will hear from her today. I'll keep you posted.
Reply:
	11.20 Clay Dickens is the new lender per agent. Waiting on the pre-approval letter to be provided to all.
</t>
      </text>
    </comment>
    <comment authorId="604" xr:uid="{a5ea441a-ad03-4088-b371-393fbfd5a6dc}" ref="A1">
      <text>
        <t xml:space="preserve">[Threaded comment]
 Your version of Excel allows you to read this threaded comment; however, any edits to it will get removed if the file is opened in a newer version of Excel. Learn more: https://go.microsoft.com/fwlink/?linkid=870924
Comment:
	This is pending direction from RIchard about Blake allowing the Seller to cancel this transaction.
</t>
      </text>
    </comment>
    <comment authorId="605" xr:uid="{a73c2ed1-361e-4f58-ab9a-1d8e9ae9dee3}" ref="A1">
      <text>
        <t xml:space="preserve">[Threaded comment]
 Your version of Excel allows you to read this threaded comment; however, any edits to it will get removed if the file is opened in a newer version of Excel. Learn more: https://go.microsoft.com/fwlink/?linkid=870924
Comment:
	CD was just sent to Buyer on 06/27/25, escrow is balancing but docs can't be ordered until after the 3rd business day following the CD.
</t>
      </text>
    </comment>
    <comment authorId="606" xr:uid="{a7595ff1-e2dc-483a-9506-67ed5fecd9e0}" ref="A1">
      <text>
        <t xml:space="preserve">[Threaded comment]
 Your version of Excel allows you to read this threaded comment; however, any edits to it will get removed if the file is opened in a newer version of Excel. Learn more: https://go.microsoft.com/fwlink/?linkid=870924
Comment:
	Issue on title is requiring us to transfer the entire file to a new title and escrow office.
</t>
      </text>
    </comment>
    <comment authorId="607" xr:uid="{a75dc635-2ae0-4c64-8d95-31bf6afd6000}"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12.18 NORMA LN @isabel@coryhometeam.com VERIFIED
</t>
      </text>
    </comment>
    <comment authorId="608" xr:uid="{a78a4888-0c96-4830-aeba-2102be425128}"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2.19 CI sent to Escrow.
Assigned to isabel@coryhometeam.com
</t>
      </text>
    </comment>
    <comment authorId="609" xr:uid="{a8041cf4-aa29-4b2b-96f7-08931cf8358e}" ref="A1">
      <text>
        <t xml:space="preserve">[Threaded comment]
 Your version of Excel allows you to read this threaded comment; however, any edits to it will get removed if the file is opened in a newer version of Excel. Learn more: https://go.microsoft.com/fwlink/?linkid=870924
Comment:
	29840 Avenida De Real
AM verified.
@isabel@coryhometeam.com
@kenia@coryhometeam.com
10.8 CI sent to Escrow.
Assigned to isabel@coryhometeam.com
</t>
      </text>
    </comment>
    <comment authorId="610" xr:uid="{a8701e8a-4088-4870-931e-84f89b4fc69e}" ref="A1">
      <text>
        <t xml:space="preserve">[Threaded comment]
 Your version of Excel allows you to read this threaded comment; however, any edits to it will get removed if the file is opened in a newer version of Excel. Learn more: https://go.microsoft.com/fwlink/?linkid=870924
Comment:
	CANNES AVE @isabel@coryhometeam.com VERIFIED
Assigned to isabel@coryhometeam.com
</t>
      </text>
    </comment>
    <comment authorId="611" xr:uid="{a940e6e3-80dc-436c-931b-2895fcf1df57}" ref="AT3">
      <text>
        <t xml:space="preserve">[Threaded comment]
 Your version of Excel allows you to read this threaded comment; however, any edits to it will get removed if the file is opened in a newer version of Excel. Learn more: https://go.microsoft.com/fwlink/?linkid=870924
Comment:
	32359 Peters Street
AM verified.
@isabel@coryhometeam.com
@kenia@coryhometeam.com
4.21 CI sent to Escrow.
Assigned to isabel@coryhometeam.com
</t>
      </text>
    </comment>
    <comment authorId="612" xr:uid="{a979def0-0746-43c3-bdaf-4a6ebb15535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1.22 CI sent to Escrow.
Assigned to isabel@coryhometeam.com
</t>
      </text>
    </comment>
    <comment authorId="613" xr:uid="{aa5f6c4c-58ad-4476-aa3a-caf2b76e9d25}" ref="A1">
      <text>
        <t xml:space="preserve">[Threaded comment]
 Your version of Excel allows you to read this threaded comment; however, any edits to it will get removed if the file is opened in a newer version of Excel. Learn more: https://go.microsoft.com/fwlink/?linkid=870924
Comment:
	43 Via Ermitas
AM verified.
@isabel@coryhometeam.com 
@kenia@coryhometeam.com 
6.10 CI sent to Escrow.
Assigned to isabel@coryhometeam.com
</t>
      </text>
    </comment>
    <comment authorId="614" xr:uid="{aa686980-40e6-48a0-b297-27ad7ed0eca6}" ref="A1">
      <text>
        <t xml:space="preserve">[Threaded comment]
 Your version of Excel allows you to read this threaded comment; however, any edits to it will get removed if the file is opened in a newer version of Excel. Learn more: https://go.microsoft.com/fwlink/?linkid=870924
Comment:
	5/31/2025
</t>
      </text>
    </comment>
    <comment authorId="615" xr:uid="{aab7e3af-33ef-4fd9-b8b6-3f93103bf2b6}"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3.3 CI sent to Escrow.
Assigned to isabel@coryhometeam.com
</t>
      </text>
    </comment>
    <comment authorId="616" xr:uid="{ab071c2f-2fbe-48d1-a129-be1f606e9a38}" ref="A1">
      <text>
        <t xml:space="preserve">[Threaded comment]
 Your version of Excel allows you to read this threaded comment; however, any edits to it will get removed if the file is opened in a newer version of Excel. Learn more: https://go.microsoft.com/fwlink/?linkid=870924
Comment:
	CYPRESS AVE @isabel@coryhometeam.com VERIFIED
</t>
      </text>
    </comment>
    <comment authorId="617" xr:uid="{ab6fb17f-1666-4b3e-8d2d-e5a7207dd6a9}" ref="A1">
      <text>
        <t xml:space="preserve">[Threaded comment]
 Your version of Excel allows you to read this threaded comment; however, any edits to it will get removed if the file is opened in a newer version of Excel. Learn more: https://go.microsoft.com/fwlink/?linkid=870924
Comment:
	2.3 As per lender: Appraisal inspection is setup for 2/3/2025. This means we will get the appraisal report back typically 5-7 business days after the inspection.
Reply:
	2.7 Per Lender: We received your appraisal. The value came in at $520000.00, which is at or above the purchase price.
The appraisal noted the following repairs: NONE
</t>
      </text>
    </comment>
    <comment authorId="618" xr:uid="{abd58092-6671-4e63-a9c6-7546a204203c}" ref="A1">
      <text>
        <t xml:space="preserve">[Threaded comment]
 Your version of Excel allows you to read this threaded comment; however, any edits to it will get removed if the file is opened in a newer version of Excel. Learn more: https://go.microsoft.com/fwlink/?linkid=870924
Comment:
	Rosie is 50/50 with Mario
Reply:
	@isabel@coryhometeam.com just want to make sure you saw this note to split the commission
</t>
      </text>
    </comment>
    <comment authorId="619" xr:uid="{ac01cc1d-f46a-4f80-b2ee-4402636c83b3}" ref="A1">
      <text>
        <t xml:space="preserve">[Threaded comment]
 Your version of Excel allows you to read this threaded comment; however, any edits to it will get removed if the file is opened in a newer version of Excel. Learn more: https://go.microsoft.com/fwlink/?linkid=870924
Comment:
	16568 San Juan Ct
AM verified.
@isabel@coryhometeam.com 
@kenia@coryhometeam.com 
7.15 CI sent to Escrow.
Assigned to isabel@coryhometeam.com
</t>
      </text>
    </comment>
    <comment authorId="620" xr:uid="{ad8e4394-ad4e-4927-a14e-7135b3b0e979}" ref="A1">
      <text>
        <t xml:space="preserve">[Threaded comment]
 Your version of Excel allows you to read this threaded comment; however, any edits to it will get removed if the file is opened in a newer version of Excel. Learn more: https://go.microsoft.com/fwlink/?linkid=870924
Comment:
	4.29 Purchase price increased from 340K to 345K per ADM1.
</t>
      </text>
    </comment>
    <comment authorId="621" xr:uid="{ad9f3e79-4302-421e-a18c-afb419e6c50b}" ref="A1">
      <text>
        <t xml:space="preserve">[Threaded comment]
 Your version of Excel allows you to read this threaded comment; however, any edits to it will get removed if the file is opened in a newer version of Excel. Learn more: https://go.microsoft.com/fwlink/?linkid=870924
Comment:
	PEIRCE ST 101 @isabel@coryhometeam.com VERIFIED
Assigned to isabel@coryhometeam.com
</t>
      </text>
    </comment>
    <comment authorId="622" xr:uid="{ada11b1f-17ab-4c55-af34-11e9162a2674}" ref="AT11">
      <text>
        <t xml:space="preserve">[Threaded comment]
 Your version of Excel allows you to read this threaded comment; however, any edits to it will get removed if the file is opened in a newer version of Excel. Learn more: https://go.microsoft.com/fwlink/?linkid=870924
Comment:
	32882 Pepper Dr
AM verified.
@isabel@coryhometeam.com
@kenia@coryhometeam.com
5.26 CI sent to Escrow.
Assigned to isabel@coryhometeam.com
</t>
      </text>
    </comment>
    <comment authorId="623" xr:uid="{adcea63b-7ed1-4688-8620-ba78beb92d23}" ref="A1">
      <text>
        <t xml:space="preserve">[Threaded comment]
 Your version of Excel allows you to read this threaded comment; however, any edits to it will get removed if the file is opened in a newer version of Excel. Learn more: https://go.microsoft.com/fwlink/?linkid=870924
Comment:
	Eddie paying for $595.00 buyer did not have funds
</t>
      </text>
    </comment>
    <comment authorId="624" xr:uid="{ae069849-153b-43ab-88c9-cb73e00abaa8}" ref="A1">
      <text>
        <t xml:space="preserve">[Threaded comment]
 Your version of Excel allows you to read this threaded comment; however, any edits to it will get removed if the file is opened in a newer version of Excel. Learn more: https://go.microsoft.com/fwlink/?linkid=870924
Comment:
	Reservation 2/27/2025
</t>
      </text>
    </comment>
    <comment authorId="625" xr:uid="{ae3c503f-a006-4bd7-abae-ae2ef3b4690c}" ref="A1">
      <text>
        <t xml:space="preserve">[Threaded comment]
 Your version of Excel allows you to read this threaded comment; however, any edits to it will get removed if the file is opened in a newer version of Excel. Learn more: https://go.microsoft.com/fwlink/?linkid=870924
Comment:
	This file was originally 2981 Orchard Glen, the sales office made a mistake and paid us for 2981 orchard which was a different client/agent. we refunded the commission, and was repaid on 10/16 for the correct file 2921 Orchard Glen. Same commission amounts. Informing Zillow of the changes, and verifying there is no overpayments to zillow due to the 2 closings.
</t>
      </text>
    </comment>
    <comment authorId="626" xr:uid="{ae462318-b430-4aa1-b6ed-92e9b71955c7}" ref="A1">
      <text>
        <t xml:space="preserve">[Threaded comment]
 Your version of Excel allows you to read this threaded comment; however, any edits to it will get removed if the file is opened in a newer version of Excel. Learn more: https://go.microsoft.com/fwlink/?linkid=870924
Comment:
	PONTO DR @isabel@coryhometeam.com VERIFIED
Assigned to isabel@coryhometeam.com
</t>
      </text>
    </comment>
    <comment authorId="627" xr:uid="{ae4b7c06-a72f-4619-85d0-b6c0611e9908}" ref="A1">
      <text>
        <t xml:space="preserve">[Threaded comment]
 Your version of Excel allows you to read this threaded comment; however, any edits to it will get removed if the file is opened in a newer version of Excel. Learn more: https://go.microsoft.com/fwlink/?linkid=870924
Comment:
	$2,000.00
</t>
      </text>
    </comment>
    <comment authorId="628" xr:uid="{aed36ce0-2d6f-4b3a-928c-90d3592adcf2}" ref="AB43">
      <text>
        <t xml:space="preserve">[Threaded comment]
 Your version of Excel allows you to read this threaded comment; however, any edits to it will get removed if the file is opened in a newer version of Excel. Learn more: https://go.microsoft.com/fwlink/?linkid=870924
Comment:
	@isabel@coryhometeam.com I don't believe this stage is correct
Assigned to isabel@coryhometeam.com
Reply:
	per FUB/Zillow PA, this lead was created/ came in Zillow 7/16/2025 as Zillow preferred, before listing take sheet date of 12/262025 (SOI) and RLA 1/8/2026. Will further check this with @dana@coryhometeam.com @remy@coryhometeam.com
Reply:
	@blake@coryhometeam.com @isabel@coryhometeam.com This is Flex-Connection Buyer/Seller(source per Zillow PA). In Showing Homes stage (Agent have not updated the stage in FUB or Zillow) so I took the initiative to move it to Undercontract
Reassigned to blake@coryhometeam.com
</t>
      </text>
    </comment>
    <comment authorId="629" xr:uid="{aef12b25-8f45-45e7-8316-eb15ea77fb8a}" ref="A1">
      <text>
        <t xml:space="preserve">[Threaded comment]
 Your version of Excel allows you to read this threaded comment; however, any edits to it will get removed if the file is opened in a newer version of Excel. Learn more: https://go.microsoft.com/fwlink/?linkid=870924
Comment:
	@kenia@coryhometeam.com Not foun on the Transaction Sheet-Pending tab
Assigned to kenia@coryhometeam.com
Reply:
	it's there now
</t>
      </text>
    </comment>
    <comment authorId="630" xr:uid="{af376b1d-ba63-4c70-8700-1f28668a140a}" ref="A1">
      <text>
        <t xml:space="preserve">[Threaded comment]
 Your version of Excel allows you to read this threaded comment; however, any edits to it will get removed if the file is opened in a newer version of Excel. Learn more: https://go.microsoft.com/fwlink/?linkid=870924
Comment:
	Commission is $5,000.00
</t>
      </text>
    </comment>
    <comment authorId="631" xr:uid="{af7013f5-859e-46f1-a3ae-b447f92ff3cb}" ref="A1">
      <text>
        <t xml:space="preserve">[Threaded comment]
 Your version of Excel allows you to read this threaded comment; however, any edits to it will get removed if the file is opened in a newer version of Excel. Learn more: https://go.microsoft.com/fwlink/?linkid=870924
Comment:
	SYCAMORE CT @isabel@coryhometeam.com VERIFIED
Assigned to isabel@coryhometeam.com
</t>
      </text>
    </comment>
    <comment authorId="632" xr:uid="{b07ad30c-2873-4b48-98cb-1e02fb6ad698}" ref="A1">
      <text>
        <t xml:space="preserve">[Threaded comment]
 Your version of Excel allows you to read this threaded comment; however, any edits to it will get removed if the file is opened in a newer version of Excel. Learn more: https://go.microsoft.com/fwlink/?linkid=870924
Comment:
	This is to be deducted from Richard's commission for a credit to the buyer.
</t>
      </text>
    </comment>
    <comment authorId="633" xr:uid="{b08dd57f-a5fe-4683-9f3c-cc5cd9f10b95}" ref="A1">
      <text>
        <t xml:space="preserve">[Threaded comment]
 Your version of Excel allows you to read this threaded comment; however, any edits to it will get removed if the file is opened in a newer version of Excel. Learn more: https://go.microsoft.com/fwlink/?linkid=870924
Comment:
	HERVEY AVE @isabel@coryhometeam.com VERIFIED
Assigned to isabel@coryhometeam.com
</t>
      </text>
    </comment>
    <comment authorId="634" xr:uid="{b0a9a4c1-0fd1-4c99-a165-5a91105c51d0}"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4.23 CI sent to Escrow.
Assigned to isabel@coryhometeam.com
</t>
      </text>
    </comment>
    <comment authorId="635" xr:uid="{b17af604-fa7e-4a6a-b32e-54fe31ba99ec}" ref="A1">
      <text>
        <t xml:space="preserve">[Threaded comment]
 Your version of Excel allows you to read this threaded comment; however, any edits to it will get removed if the file is opened in a newer version of Excel. Learn more: https://go.microsoft.com/fwlink/?linkid=870924
Comment:
	Kiona approved off the top for pool coverage on the Home Warranty
Reply:
	$200 -disregarded, final check do not reflect this commission reduction
</t>
      </text>
    </comment>
    <comment authorId="636" xr:uid="{b1c1e9f3-a836-4cdb-a525-e9e7cb19b2c6}" ref="A1">
      <text>
        <t xml:space="preserve">[Threaded comment]
 Your version of Excel allows you to read this threaded comment; however, any edits to it will get removed if the file is opened in a newer version of Excel. Learn more: https://go.microsoft.com/fwlink/?linkid=870924
Comment:
	original seller lead is Samanta Samaniego, Open Door Lead. @isabel@coryhometeam.com verify if there is an open door referral fee due.
Assigned to isabel@coryhometeam.com
Reply:
	The record of the Opendoor Seller is already tagged as DNC-Competitor (Rejected) in Opendoor dashboard. Please advise if we will revive it and also what to do with the FUB Seller record?
Reply:
	I inquired on the referral fee for this personal transaction (buyer is Blake). I'll confirm with Opendoor if the rejection in dashboard means we no longer need to pay the referral fee. Please dont revive it yet until we got advise from Opendoor. Thank you!
Reply:
	NOTE: Stratton Lux is a buyer (Personal/Company of Blake), Samantha Samaniego-Opendoor record is the Listing record. Will close the Opendoor Seller FUB &amp; Dashboard record even if there's no separate transaction for Seller created. Per Isabel (confirmed by Opendoor) that a Referral Fee is still required (see email)
</t>
      </text>
    </comment>
    <comment authorId="637" xr:uid="{b1c2d6a1-8037-4b1d-90f0-c74dc0113431}"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1.21 CI sent to Escrow.
Assigned to isabel@coryhometeam.com
</t>
      </text>
    </comment>
    <comment authorId="638" xr:uid="{b26e19bc-54ce-4f0b-8267-5fd778341f2d}" ref="A1">
      <text>
        <t xml:space="preserve">[Threaded comment]
 Your version of Excel allows you to read this threaded comment; however, any edits to it will get removed if the file is opened in a newer version of Excel. Learn more: https://go.microsoft.com/fwlink/?linkid=870924
Comment:
	1562 Willow Leaf Dr
AM verified.
@isabel@coryhometeam.com 
@kenia@coryhometeam.com 
5.23 CI sent to Escrow.
Assigned to isabel@coryhometeam.com
</t>
      </text>
    </comment>
    <comment authorId="639" xr:uid="{b2897a6b-c147-4d33-9483-72a064f0e016}" ref="A1">
      <text>
        <t xml:space="preserve">[Threaded comment]
 Your version of Excel allows you to read this threaded comment; however, any edits to it will get removed if the file is opened in a newer version of Excel. Learn more: https://go.microsoft.com/fwlink/?linkid=870924
Comment:
	Nothing to input at this time. This is contingent to SPRP.
</t>
      </text>
    </comment>
    <comment authorId="640" xr:uid="{b2ba71a1-1807-439c-aa04-2d9451078ffc}" ref="A1">
      <text>
        <t xml:space="preserve">[Threaded comment]
 Your version of Excel allows you to read this threaded comment; however, any edits to it will get removed if the file is opened in a newer version of Excel. Learn more: https://go.microsoft.com/fwlink/?linkid=870924
Comment:
	This listing was prior to 10/01, old splits should apply.
Reply:
	@isabel@coryhometeam.com
</t>
      </text>
    </comment>
    <comment authorId="641" xr:uid="{b2c6b757-de1a-4e33-80d4-57e655e84f51}" ref="A1">
      <text>
        <t xml:space="preserve">[Threaded comment]
 Your version of Excel allows you to read this threaded comment; however, any edits to it will get removed if the file is opened in a newer version of Excel. Learn more: https://go.microsoft.com/fwlink/?linkid=870924
Comment:
	12.18 CR2 except Solar and HOA.
</t>
      </text>
    </comment>
    <comment authorId="642" xr:uid="{b33595bc-aa73-490b-b2fd-8ec23765c276}" ref="A1">
      <text>
        <t xml:space="preserve">[Threaded comment]
 Your version of Excel allows you to read this threaded comment; however, any edits to it will get removed if the file is opened in a newer version of Excel. Learn more: https://go.microsoft.com/fwlink/?linkid=870924
Comment:
	6.24 As per Blake the agents commission is waived.
</t>
      </text>
    </comment>
    <comment authorId="643" xr:uid="{b37447b5-631d-400e-9de2-d8ed97ba8d62}" ref="A1">
      <text>
        <t xml:space="preserve">[Threaded comment]
 Your version of Excel allows you to read this threaded comment; however, any edits to it will get removed if the file is opened in a newer version of Excel. Learn more: https://go.microsoft.com/fwlink/?linkid=870924
Comment:
	JARVIS ST @isabel@coryhometeam.com VERIFIED
Assigned to isabel@coryhometeam.com
</t>
      </text>
    </comment>
    <comment authorId="644" xr:uid="{b39bc35a-6aeb-46f7-a8e3-d720cbcb5134}" ref="A1">
      <text>
        <t xml:space="preserve">[Threaded comment]
 Your version of Excel allows you to read this threaded comment; however, any edits to it will get removed if the file is opened in a newer version of Excel. Learn more: https://go.microsoft.com/fwlink/?linkid=870924
Comment:
	12.10 ETA1 Loan 12.9
</t>
      </text>
    </comment>
    <comment authorId="645" xr:uid="{b3bb13ed-1023-4b2f-bc81-db0a9068022a}" ref="A1">
      <text>
        <t xml:space="preserve">[Threaded comment]
 Your version of Excel allows you to read this threaded comment; however, any edits to it will get removed if the file is opened in a newer version of Excel. Learn more: https://go.microsoft.com/fwlink/?linkid=870924
Comment:
	1796 Starlight Ave
AM verified.
@isabel@coryhometeam.com 
@kenia@coryhometeam.com 
7.18 CI sent to Escrow.
Assigned to isabel@coryhometeam.com
</t>
      </text>
    </comment>
    <comment authorId="646" xr:uid="{b52e9a44-a992-4ce1-90ed-afad3caab2a7}" ref="A1">
      <text>
        <t xml:space="preserve">[Threaded comment]
 Your version of Excel allows you to read this threaded comment; however, any edits to it will get removed if the file is opened in a newer version of Excel. Learn more: https://go.microsoft.com/fwlink/?linkid=870924
Comment:
	0 Morton
AM verified.
@isabel@coryhometeam.com
@kenia@coryhometeam.com
10.20 CI sent to Escrow.
Assigned to isabel@coryhometeam.com
</t>
      </text>
    </comment>
    <comment authorId="647" xr:uid="{b5380456-2873-4940-a22a-fecf0aa9316a}" ref="A1">
      <text>
        <t xml:space="preserve">[Threaded comment]
 Your version of Excel allows you to read this threaded comment; however, any edits to it will get removed if the file is opened in a newer version of Excel. Learn more: https://go.microsoft.com/fwlink/?linkid=870924
Comment:
	5.30 I'm not sure why it went missing from the TS. I was notified by Isabel and have re-entered the information as of 5/30.
@isabel@coryhometeam.com
</t>
      </text>
    </comment>
    <comment authorId="648" xr:uid="{b53ac7f2-14a0-427e-a619-397df2dff574}" ref="A1">
      <text>
        <t xml:space="preserve">[Threaded comment]
 Your version of Excel allows you to read this threaded comment; however, any edits to it will get removed if the file is opened in a newer version of Excel. Learn more: https://go.microsoft.com/fwlink/?linkid=870924
Comment:
	6/6-6/8
</t>
      </text>
    </comment>
    <comment authorId="649" xr:uid="{b5d2a961-d9f4-4287-88a6-baeef9dead4f}" ref="A1">
      <text>
        <t xml:space="preserve">[Threaded comment]
 Your version of Excel allows you to read this threaded comment; however, any edits to it will get removed if the file is opened in a newer version of Excel. Learn more: https://go.microsoft.com/fwlink/?linkid=870924
Comment:
	not collected; agent pay
</t>
      </text>
    </comment>
    <comment authorId="650" xr:uid="{b69817d6-2f8e-42b2-8eaa-4753d5f03696}" ref="A1">
      <text>
        <t xml:space="preserve">[Threaded comment]
 Your version of Excel allows you to read this threaded comment; however, any edits to it will get removed if the file is opened in a newer version of Excel. Learn more: https://go.microsoft.com/fwlink/?linkid=870924
Comment:
	GOLDEN FIELD COURT @isabel@coryhometeam.com VERIFIED
Assigned to isabel@coryhometeam.com
</t>
      </text>
    </comment>
    <comment authorId="651" xr:uid="{b6a58a80-0cdb-488f-9017-f2f8703bc35b}" ref="A1">
      <text>
        <t xml:space="preserve">[Threaded comment]
 Your version of Excel allows you to read this threaded comment; however, any edits to it will get removed if the file is opened in a newer version of Excel. Learn more: https://go.microsoft.com/fwlink/?linkid=870924
Comment:
	CAPALINA RD @isabel@coryhometeam.com VERIFIED
Assigned to isabel@coryhometeam.com
</t>
      </text>
    </comment>
    <comment authorId="652" xr:uid="{b6d78996-86aa-470f-a722-73c6aa20b297}" ref="A1">
      <text>
        <t xml:space="preserve">[Threaded comment]
 Your version of Excel allows you to read this threaded comment; however, any edits to it will get removed if the file is opened in a newer version of Excel. Learn more: https://go.microsoft.com/fwlink/?linkid=870924
Comment:
	@kenia@coryhometeam.com Do we know how much commission we are getting on this one?
Assigned to kenia@coryhometeam.com
</t>
      </text>
    </comment>
    <comment authorId="653" xr:uid="{b6d89d69-8dad-4058-9173-e6d525a0d1c4}" ref="A1">
      <text>
        <t xml:space="preserve">[Threaded comment]
 Your version of Excel allows you to read this threaded comment; however, any edits to it will get removed if the file is opened in a newer version of Excel. Learn more: https://go.microsoft.com/fwlink/?linkid=870924
Comment:
	$1,127 Credit to Buyer for cost or Per Diem for Seller to rent back at COE
Reply:
	Seller advised she will be out on time, Per Diem not needed.
Breakdown of this deduction is:
$2,000 credit to the Buyer for carpet from commission and $2,029 credit to vendor who completed work paid via check direct to vendor.
Reply:
	Additional credit of $800 approved by Mel via text 02/26 for stove repairs not completed by Seller and Cleaning.
</t>
      </text>
    </comment>
    <comment authorId="654" xr:uid="{b6ed67b9-2ed1-4d7a-a7c4-c6ac7e481266}" ref="A1">
      <text>
        <t xml:space="preserve">[Threaded comment]
 Your version of Excel allows you to read this threaded comment; however, any edits to it will get removed if the file is opened in a newer version of Excel. Learn more: https://go.microsoft.com/fwlink/?linkid=870924
Comment:
	Seller appears to be FRAUD escrow and title have been advised.
</t>
      </text>
    </comment>
    <comment authorId="655" xr:uid="{b72ef4bb-ac2d-4979-8dab-3819cf301b12}" ref="A1">
      <text>
        <t xml:space="preserve">[Threaded comment]
 Your version of Excel allows you to read this threaded comment; however, any edits to it will get removed if the file is opened in a newer version of Excel. Learn more: https://go.microsoft.com/fwlink/?linkid=870924
Comment:
	@alexis@coryhometeam.com We received the $595 per final check. Please confirm if this needs to be corrected, or if $595 needs to be returned to escrow/buyer. Thanks
Reply:
	@isabel@coryhometeam.com This is a VA Loan. It was collected in error.
</t>
      </text>
    </comment>
    <comment authorId="656" xr:uid="{b75932bc-9504-4a12-9403-035283d32387}" ref="A1">
      <text>
        <t xml:space="preserve">[Threaded comment]
 Your version of Excel allows you to read this threaded comment; however, any edits to it will get removed if the file is opened in a newer version of Excel. Learn more: https://go.microsoft.com/fwlink/?linkid=870924
Comment:
	LIVORNO CT @isabel@coryhometeam.com VERIFIED
Assigned to isabel@coryhometeam.com
</t>
      </text>
    </comment>
    <comment authorId="657" xr:uid="{b7595b0d-6dce-4b56-88d8-aa598ff50eae}" ref="A1">
      <text>
        <t xml:space="preserve">[Threaded comment]
 Your version of Excel allows you to read this threaded comment; however, any edits to it will get removed if the file is opened in a newer version of Excel. Learn more: https://go.microsoft.com/fwlink/?linkid=870924
Comment:
	12431 Highgate Ave
8.22 Price decrease to 353K as per AEA1.
</t>
      </text>
    </comment>
    <comment authorId="658" xr:uid="{b7ce7c3d-c0af-4ad9-a1b1-fbb7b5989e18}" ref="A1">
      <text>
        <t xml:space="preserve">[Threaded comment]
 Your version of Excel allows you to read this threaded comment; however, any edits to it will get removed if the file is opened in a newer version of Excel. Learn more: https://go.microsoft.com/fwlink/?linkid=870924
Comment:
	BASALT WAY @isabel@coryhometeam.com VERIFIED
Assigned to isabel@coryhometeam.com
</t>
      </text>
    </comment>
    <comment authorId="659" xr:uid="{b7d12af6-fa53-47a0-b4da-e941e45866d6}" ref="A1">
      <text>
        <t xml:space="preserve">[Threaded comment]
 Your version of Excel allows you to read this threaded comment; however, any edits to it will get removed if the file is opened in a newer version of Excel. Learn more: https://go.microsoft.com/fwlink/?linkid=870924
Comment:
	CAPRICHO WAY @isabel@coryhometeam.com VERIFIED
Assigned to isabel@coryhometeam.com
</t>
      </text>
    </comment>
    <comment authorId="660" xr:uid="{b8159950-13e4-4afb-9062-b26e431e813a}" ref="A1">
      <text>
        <t xml:space="preserve">[Threaded comment]
 Your version of Excel allows you to read this threaded comment; however, any edits to it will get removed if the file is opened in a newer version of Excel. Learn more: https://go.microsoft.com/fwlink/?linkid=870924
Comment:
	PONTO DR @isabel@coryhometeam.com VERIFIED
Assigned to isabel@coryhometeam.com
</t>
      </text>
    </comment>
    <comment authorId="661" xr:uid="{b83deab6-fbde-4c66-a213-ebe036024b9b}"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4.10 CI sent to Escrow.
Assigned to isabel@coryhometeam.com
</t>
      </text>
    </comment>
    <comment authorId="662" xr:uid="{b85a2017-7179-42c5-89b1-ee4cf08a04f7}" ref="A1">
      <text>
        <t xml:space="preserve">[Threaded comment]
 Your version of Excel allows you to read this threaded comment; however, any edits to it will get removed if the file is opened in a newer version of Excel. Learn more: https://go.microsoft.com/fwlink/?linkid=870924
Comment:
	YOSEMITE DR @isabel@coryhometeam.com VERIFIED
Assigned to isabel@coryhometeam.com
</t>
      </text>
    </comment>
    <comment authorId="663" xr:uid="{b8913123-d4aa-45b1-a11e-19f90cda8511}" ref="X16">
      <text>
        <t xml:space="preserve">[Threaded comment]
 Your version of Excel allows you to read this threaded comment; however, any edits to it will get removed if the file is opened in a newer version of Excel. Learn more: https://go.microsoft.com/fwlink/?linkid=870924
Comment:
	6.2 COE extended to 6.17 as per ETA1.
</t>
      </text>
    </comment>
    <comment authorId="664" xr:uid="{b9089482-283f-4db9-ac4b-ff28fc23a1fe}" ref="A1">
      <text>
        <t xml:space="preserve">[Threaded comment]
 Your version of Excel allows you to read this threaded comment; however, any edits to it will get removed if the file is opened in a newer version of Excel. Learn more: https://go.microsoft.com/fwlink/?linkid=870924
Comment:
	INDUS WAY @isabel@coryhometeam.com VERIFIED
Assigned to isabel@coryhometeam.com
</t>
      </text>
    </comment>
    <comment authorId="665" xr:uid="{b96baa58-5f2d-4cfb-bb4a-3f4abe1f97cd}" ref="A1">
      <text>
        <t xml:space="preserve">[Threaded comment]
 Your version of Excel allows you to read this threaded comment; however, any edits to it will get removed if the file is opened in a newer version of Excel. Learn more: https://go.microsoft.com/fwlink/?linkid=870924
Comment:
	28239 Spring Creek Way
AM verified.
@isabel@coryhometeam.com
@kenia@coryhometeam.com
8.19 CI sent to Escrow.
Assigned to isabel@coryhometeam.com
</t>
      </text>
    </comment>
    <comment authorId="666" xr:uid="{b988e857-8d5c-4399-8cc5-44087ae2cefb}" ref="AT19">
      <text>
        <t xml:space="preserve">[Threaded comment]
 Your version of Excel allows you to read this threaded comment; however, any edits to it will get removed if the file is opened in a newer version of Excel. Learn more: https://go.microsoft.com/fwlink/?linkid=870924
Comment:
	15128 Versailles St
AM verified.
@isabel@coryhometeam.com
@kenia@coryhometeam.com
6.3 CI sent to Escrow.
Assigned to isabel@coryhometeam.com
</t>
      </text>
    </comment>
    <comment authorId="667" xr:uid="{b98d85e2-697d-4f8b-aa31-5da85f69d33c}" ref="A1">
      <text>
        <t xml:space="preserve">[Threaded comment]
 Your version of Excel allows you to read this threaded comment; however, any edits to it will get removed if the file is opened in a newer version of Excel. Learn more: https://go.microsoft.com/fwlink/?linkid=870924
Comment:
	The seller credit to cover the .5%
</t>
      </text>
    </comment>
    <comment authorId="668" xr:uid="{b99fd052-b79c-4cb4-b652-153a013c7882}" ref="A1">
      <text>
        <t xml:space="preserve">[Threaded comment]
 Your version of Excel allows you to read this threaded comment; however, any edits to it will get removed if the file is opened in a newer version of Excel. Learn more: https://go.microsoft.com/fwlink/?linkid=870924
Comment:
	7.16 As per ADM3 the closing date is 7.20.
</t>
      </text>
    </comment>
    <comment authorId="669" xr:uid="{b9e8688b-0947-4c88-95c8-b07a1346e25b}" ref="A1">
      <text>
        <t xml:space="preserve">[Threaded comment]
 Your version of Excel allows you to read this threaded comment; however, any edits to it will get removed if the file is opened in a newer version of Excel. Learn more: https://go.microsoft.com/fwlink/?linkid=870924
Comment:
	322 G Street @alexis@coryhometeam.com @jamesa@coryhometeam.com I changed deduction from $90 to $75 based on the final check received. eXp is requesting for a commission reduction form to revise the CDA
Assigned to alexis@coryhometeam.com
</t>
      </text>
    </comment>
    <comment authorId="670" xr:uid="{ba5ddea4-77e6-4d35-943e-e6420ecb507d}" ref="A1">
      <text>
        <t xml:space="preserve">[Threaded comment]
 Your version of Excel allows you to read this threaded comment; however, any edits to it will get removed if the file is opened in a newer version of Excel. Learn more: https://go.microsoft.com/fwlink/?linkid=870924
Comment:
	PEIRCE ST 101 @isabel@coryhometeam.com VERIFIED
Assigned to isabel@coryhometeam.com
</t>
      </text>
    </comment>
    <comment authorId="671" xr:uid="{bb54d279-ba1e-4f7e-a133-fcde217ec71d}" ref="A1">
      <text>
        <t xml:space="preserve">[Threaded comment]
 Your version of Excel allows you to read this threaded comment; however, any edits to it will get removed if the file is opened in a newer version of Excel. Learn more: https://go.microsoft.com/fwlink/?linkid=870924
Comment:
	10.3 All contingencies are removed except HOA.
</t>
      </text>
    </comment>
    <comment authorId="672" xr:uid="{bbb75b10-902f-449a-a578-8089ba474c40}"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2.25 CI sent to Escrow.
Assigned to isabel@coryhometeam.com
</t>
      </text>
    </comment>
    <comment authorId="673" xr:uid="{bc143d72-976a-4ce5-b168-ee5c2ff44446}" ref="A1">
      <text>
        <t xml:space="preserve">[Threaded comment]
 Your version of Excel allows you to read this threaded comment; however, any edits to it will get removed if the file is opened in a newer version of Excel. Learn more: https://go.microsoft.com/fwlink/?linkid=870924
Comment:
	LUNA ST @isabel@coryhometeam.com VERIFIED
Assigned to isabel@coryhometeam.com
</t>
      </text>
    </comment>
    <comment authorId="674" xr:uid="{bc9b45dd-2a75-4b96-b8a6-bd669318da87}" ref="A1">
      <text>
        <t xml:space="preserve">[Threaded comment]
 Your version of Excel allows you to read this threaded comment; however, any edits to it will get removed if the file is opened in a newer version of Excel. Learn more: https://go.microsoft.com/fwlink/?linkid=870924
Comment:
	Possession moved due to ADM1 COE 3.12.
</t>
      </text>
    </comment>
    <comment authorId="675" xr:uid="{bd20da46-6102-45ad-b3fc-da32d2afefcf}" ref="A1">
      <text>
        <t xml:space="preserve">[Threaded comment]
 Your version of Excel allows you to read this threaded comment; however, any edits to it will get removed if the file is opened in a newer version of Excel. Learn more: https://go.microsoft.com/fwlink/?linkid=870924
Comment:
	SHEILA LN @isabel@coryhometeam.com VERIFIED
Assigned to isabel@coryhometeam.com
</t>
      </text>
    </comment>
    <comment authorId="676" xr:uid="{bd68f8eb-3e28-448f-b24f-292ffbe8e587}"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1.6 CI sent to Escrow.
Assigned to isabel@coryhometeam.com
</t>
      </text>
    </comment>
    <comment authorId="677" xr:uid="{bda1549b-d08a-44fd-83d1-f6bec4b81b6d}" ref="A1">
      <text>
        <t xml:space="preserve">[Threaded comment]
 Your version of Excel allows you to read this threaded comment; however, any edits to it will get removed if the file is opened in a newer version of Excel. Learn more: https://go.microsoft.com/fwlink/?linkid=870924
Comment:
	LA side to enter in Glide.
</t>
      </text>
    </comment>
    <comment authorId="678" xr:uid="{bdec0def-5be2-414a-921c-58e52a00ff01}" ref="A1">
      <text>
        <t xml:space="preserve">[Threaded comment]
 Your version of Excel allows you to read this threaded comment; however, any edits to it will get removed if the file is opened in a newer version of Excel. Learn more: https://go.microsoft.com/fwlink/?linkid=870924
Comment:
	Close of Seller's Replacement Property, SPRP
</t>
      </text>
    </comment>
    <comment authorId="679" xr:uid="{be23459f-69e4-4b1a-b339-955aa02d7c4f}" ref="A1">
      <text>
        <t xml:space="preserve">[Threaded comment]
 Your version of Excel allows you to read this threaded comment; however, any edits to it will get removed if the file is opened in a newer version of Excel. Learn more: https://go.microsoft.com/fwlink/?linkid=870924
Comment:
	This transaction is contingent on seller property. COE and time periods to be determined after SPRP removal.
</t>
      </text>
    </comment>
    <comment authorId="680" xr:uid="{be8ad9c8-dcea-4e0f-befd-46adcb736d13}"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please note that when this transaction goes pending/closes it will be split 50/50 Dana Garcia/Myrna
Assigned to isabel@coryhometeam.com
Reply:
	@isabel@coryhometeam.com change to the above note; Myrna just text me; this listing will not be split; Dana Garcia Only
</t>
      </text>
    </comment>
    <comment authorId="681" xr:uid="{bf9ea35c-1cf8-41aa-bf1b-46732c7b7903}" ref="A1">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the day after buyer’s delivery of Escrow Evidence for Buyer's Property (COP 11.A(i)
</t>
      </text>
    </comment>
    <comment authorId="682" xr:uid="{bfaa4ad9-94f7-4814-8fba-5905ed865f20}"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12.18 Price reduced per AEA2.
Assigned to rafael@coryhometeam.com
</t>
      </text>
    </comment>
    <comment authorId="683" xr:uid="{bff0f204-4dad-4aeb-a051-670b6f13ca50}"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4.25 CI sent to Escrow.
Assigned to isabel@coryhometeam.com
Reply:
	5.5 Amended CI sent to escrow.
@isabel@coryhometeam.com
</t>
      </text>
    </comment>
    <comment authorId="684" xr:uid="{c006c171-0910-4c9b-9f03-45140e3b50e9}"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12.18 
AM verified.
@isabel@coryhometeam.com @kenia@coryhometeam.com 
12.18 CI sent to Escrow.
</t>
      </text>
    </comment>
    <comment authorId="685" xr:uid="{c0125f6c-2e4e-491a-8464-fb56f8485d0d}" ref="A1">
      <text>
        <t xml:space="preserve">[Threaded comment]
 Your version of Excel allows you to read this threaded comment; however, any edits to it will get removed if the file is opened in a newer version of Excel. Learn more: https://go.microsoft.com/fwlink/?linkid=870924
Comment:
	$4000.00
</t>
      </text>
    </comment>
    <comment authorId="686" xr:uid="{c028baa9-2685-46eb-a60b-03826970b51e}" ref="A1">
      <text>
        <t xml:space="preserve">[Threaded comment]
 Your version of Excel allows you to read this threaded comment; however, any edits to it will get removed if the file is opened in a newer version of Excel. Learn more: https://go.microsoft.com/fwlink/?linkid=870924
Comment:
	Kiona approved this to be taken as a "Love it or leave it"
</t>
      </text>
    </comment>
    <comment authorId="687" xr:uid="{c02b782c-c988-4333-b899-3629f2ec85a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1.20 CI sent to Escrow.
Assigned to isabel@coryhometeam.com
</t>
      </text>
    </comment>
    <comment authorId="688" xr:uid="{c044c5b1-6642-4889-b17f-d8d5f62b583b}" ref="A1">
      <text>
        <t xml:space="preserve">[Threaded comment]
 Your version of Excel allows you to read this threaded comment; however, any edits to it will get removed if the file is opened in a newer version of Excel. Learn more: https://go.microsoft.com/fwlink/?linkid=870924
Comment:
	TBD due to SPRP.
</t>
      </text>
    </comment>
    <comment authorId="689" xr:uid="{c048d19a-6b12-4604-8ec9-ad80de1fb93d}" ref="A1">
      <text>
        <t xml:space="preserve">[Threaded comment]
 Your version of Excel allows you to read this threaded comment; however, any edits to it will get removed if the file is opened in a newer version of Excel. Learn more: https://go.microsoft.com/fwlink/?linkid=870924
Comment:
	5.13 The buyer opted out to a new lender from Zillow to Navy Federal Credit.
</t>
      </text>
    </comment>
    <comment authorId="690" xr:uid="{c056c2de-167e-43cb-9bf1-a9d8c616b688}" ref="A1">
      <text>
        <t xml:space="preserve">[Threaded comment]
 Your version of Excel allows you to read this threaded comment; however, any edits to it will get removed if the file is opened in a newer version of Excel. Learn more: https://go.microsoft.com/fwlink/?linkid=870924
Comment:
	HEATHER LN @isabel@coryhometeam.com VERIFIED
Assigned to isabel@coryhometeam.com
</t>
      </text>
    </comment>
    <comment authorId="691" xr:uid="{c0583b63-8f7b-4518-804a-3206a297a27a}" ref="A1">
      <text>
        <t xml:space="preserve">[Threaded comment]
 Your version of Excel allows you to read this threaded comment; however, any edits to it will get removed if the file is opened in a newer version of Excel. Learn more: https://go.microsoft.com/fwlink/?linkid=870924
Comment:
	1st reservation 2/16/2025
2nd reservation 2/22/2025
</t>
      </text>
    </comment>
    <comment authorId="692" xr:uid="{c078ff98-3ae8-4686-bc62-7e2c26e08667}" ref="A1">
      <text>
        <t xml:space="preserve">[Threaded comment]
 Your version of Excel allows you to read this threaded comment; however, any edits to it will get removed if the file is opened in a newer version of Excel. Learn more: https://go.microsoft.com/fwlink/?linkid=870924
Comment:
	$10,695.00
</t>
      </text>
    </comment>
    <comment authorId="693" xr:uid="{c09db860-ac1e-4cdc-a09c-a8a2cbe5a06f}" ref="A1">
      <text>
        <t xml:space="preserve">[Threaded comment]
 Your version of Excel allows you to read this threaded comment; however, any edits to it will get removed if the file is opened in a newer version of Excel. Learn more: https://go.microsoft.com/fwlink/?linkid=870924
Comment:
	Perr Julio sign and Combo #1025 already up
</t>
      </text>
    </comment>
    <comment authorId="694" xr:uid="{c0bbe656-d824-4327-b18f-01b9f9731cc4}" ref="A1">
      <text>
        <t xml:space="preserve">[Threaded comment]
 Your version of Excel allows you to read this threaded comment; however, any edits to it will get removed if the file is opened in a newer version of Excel. Learn more: https://go.microsoft.com/fwlink/?linkid=870924
Comment:
	$8,000.00
</t>
      </text>
    </comment>
    <comment authorId="695" xr:uid="{c0dbc571-9fb6-4956-a7d1-35a8469e8fa0}" ref="A1">
      <text>
        <t xml:space="preserve">[Threaded comment]
 Your version of Excel allows you to read this threaded comment; however, any edits to it will get removed if the file is opened in a newer version of Excel. Learn more: https://go.microsoft.com/fwlink/?linkid=870924
Comment:
	payoff demand sent to escrow 2/11
Reply:
	updated final payoff demand sent to escrow 7/2
</t>
      </text>
    </comment>
    <comment authorId="696" xr:uid="{c130c8cd-be08-4386-9719-09f53b9dd71e}" ref="A1">
      <text>
        <t xml:space="preserve">[Threaded comment]
 Your version of Excel allows you to read this threaded comment; however, any edits to it will get removed if the file is opened in a newer version of Excel. Learn more: https://go.microsoft.com/fwlink/?linkid=870924
Comment:
	901 S Pacific St #101
AM verified.
@isabel@coryhometeam.com
@kenia@coryhometeam.com
9.11 CI sent to Escrow.
Assigned to isabel@coryhometeam.com
</t>
      </text>
    </comment>
    <comment authorId="697" xr:uid="{c13b1606-107e-48b7-8d41-152013a8e042}" ref="A1">
      <text>
        <t xml:space="preserve">[Threaded comment]
 Your version of Excel allows you to read this threaded comment; however, any edits to it will get removed if the file is opened in a newer version of Excel. Learn more: https://go.microsoft.com/fwlink/?linkid=870924
Comment:
	OAK VIEW LN @isabel@coryhometeam.com
VERIFIED
Assigned to isabel@coryhometeam.com
</t>
      </text>
    </comment>
    <comment authorId="698" xr:uid="{c156b7ae-1942-47db-9837-796753646a00}"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1.3 CI sent to Escrow.
Assigned to isabel@coryhometeam.com
</t>
      </text>
    </comment>
    <comment authorId="699" xr:uid="{c15ee938-925f-4061-a91f-658830a90e2b}" ref="A1">
      <text>
        <t xml:space="preserve">[Threaded comment]
 Your version of Excel allows you to read this threaded comment; however, any edits to it will get removed if the file is opened in a newer version of Excel. Learn more: https://go.microsoft.com/fwlink/?linkid=870924
Comment:
	12650 Kingfisher Rd
8.20 New COE per ETA 8.29.
Reply:
	9.23 Per ETA2 new COE is 9.26
</t>
      </text>
    </comment>
    <comment authorId="700" xr:uid="{c17d746e-3140-4448-87d9-163a4f016fc7}" ref="A1">
      <text>
        <t xml:space="preserve">[Threaded comment]
 Your version of Excel allows you to read this threaded comment; however, any edits to it will get removed if the file is opened in a newer version of Excel. Learn more: https://go.microsoft.com/fwlink/?linkid=870924
Comment:
	CHAFFEE ST @isabel@coryhometeam.com VERIFIED
Assigned to isabel@coryhometeam.com
</t>
      </text>
    </comment>
    <comment authorId="701" xr:uid="{c1805751-ea9b-4f20-8385-671899fbee0e}" ref="A1">
      <text>
        <t xml:space="preserve">[Threaded comment]
 Your version of Excel allows you to read this threaded comment; however, any edits to it will get removed if the file is opened in a newer version of Excel. Learn more: https://go.microsoft.com/fwlink/?linkid=870924
Comment:
	Removal completed by Premier, Sunset is MIA.
</t>
      </text>
    </comment>
    <comment authorId="702" xr:uid="{c190cdae-f4a3-45c8-9c54-28612cce08d2}" ref="A1">
      <text>
        <t xml:space="preserve">[Threaded comment]
 Your version of Excel allows you to read this threaded comment; however, any edits to it will get removed if the file is opened in a newer version of Excel. Learn more: https://go.microsoft.com/fwlink/?linkid=870924
Comment:
	3.7 Per Quan: I want to introduce Mitzi as the new lender for Jennifer. Mitzi will be taking over the file from Brian as of this morning. Jennifer decided to work with Mitzi due to misunderstanding between Brian and his company. Mitzi will be reaching out to you this morning.
</t>
      </text>
    </comment>
    <comment authorId="703" xr:uid="{c1bc3ffe-f564-40e4-8ac4-3dbe33ab8c57}" ref="A1">
      <text>
        <t xml:space="preserve">[Threaded comment]
 Your version of Excel allows you to read this threaded comment; however, any edits to it will get removed if the file is opened in a newer version of Excel. Learn more: https://go.microsoft.com/fwlink/?linkid=870924
Comment:
	4.14 Price increased from 25k to $28,500 as per ADM2.
Reply:
	4.20 New purchase price at 35K per ADM3.
</t>
      </text>
    </comment>
    <comment authorId="704" xr:uid="{c1d18c19-5e3b-4fab-88d7-745920e9a29d}" ref="A1">
      <text>
        <t xml:space="preserve">[Threaded comment]
 Your version of Excel allows you to read this threaded comment; however, any edits to it will get removed if the file is opened in a newer version of Excel. Learn more: https://go.microsoft.com/fwlink/?linkid=870924
Comment:
	6.2 Time periods to start once park approval has been delivered.
</t>
      </text>
    </comment>
    <comment authorId="705" xr:uid="{c1e93a73-8d41-4a6f-9d11-1d0be61c4b8c}" ref="A1">
      <text>
        <t xml:space="preserve">[Threaded comment]
 Your version of Excel allows you to read this threaded comment; however, any edits to it will get removed if the file is opened in a newer version of Excel. Learn more: https://go.microsoft.com/fwlink/?linkid=870924
Comment:
	17 Days after the Seller delivers written notice removing the SPRP
</t>
      </text>
    </comment>
    <comment authorId="706" xr:uid="{c26302cb-55e8-487c-a76f-39f4b78e4d85}" ref="A1">
      <text>
        <t xml:space="preserve">[Threaded comment]
 Your version of Excel allows you to read this threaded comment; however, any edits to it will get removed if the file is opened in a newer version of Excel. Learn more: https://go.microsoft.com/fwlink/?linkid=870924
Comment:
	CORTE CABRERA @isabel@coryhometeam.com VERIFIED
Assigned to isabel@coryhometeam.com
</t>
      </text>
    </comment>
    <comment authorId="707" xr:uid="{c28d0bba-369d-4df7-91d4-341e585d5b5f}" ref="A1">
      <text>
        <t xml:space="preserve">[Threaded comment]
 Your version of Excel allows you to read this threaded comment; however, any edits to it will get removed if the file is opened in a newer version of Excel. Learn more: https://go.microsoft.com/fwlink/?linkid=870924
Comment:
	PEIRSON BOULEVARD @isabel@coryhometeam.com VERIFIED
Assigned to isabel@coryhometeam.com
</t>
      </text>
    </comment>
    <comment authorId="708" xr:uid="{c296ccf1-4ab6-48cf-9768-4d3146bf799a}" ref="A1">
      <text>
        <t xml:space="preserve">[Threaded comment]
 Your version of Excel allows you to read this threaded comment; however, any edits to it will get removed if the file is opened in a newer version of Excel. Learn more: https://go.microsoft.com/fwlink/?linkid=870924
Comment:
	Credit is off the top approved by Mel in email 04/07/25.
This is for recurring and non-recurring charges in lieu of reduced commission on the sale of their property.
</t>
      </text>
    </comment>
    <comment authorId="709" xr:uid="{c3b74751-fa3e-4091-8bab-726999af5860}" ref="A1">
      <text>
        <t xml:space="preserve">[Threaded comment]
 Your version of Excel allows you to read this threaded comment; however, any edits to it will get removed if the file is opened in a newer version of Excel. Learn more: https://go.microsoft.com/fwlink/?linkid=870924
Comment:
	CLOVIS ST @isabel@coryhometeam.com VERIFIED
Assigned to isabel@coryhometeam.com
</t>
      </text>
    </comment>
    <comment authorId="710" xr:uid="{c3bb991e-0747-4dda-89f5-73c92be9abc3}" ref="A1">
      <text>
        <t xml:space="preserve">[Threaded comment]
 Your version of Excel allows you to read this threaded comment; however, any edits to it will get removed if the file is opened in a newer version of Excel. Learn more: https://go.microsoft.com/fwlink/?linkid=870924
Comment:
	Flat Rate per new build referral.
</t>
      </text>
    </comment>
    <comment authorId="711" xr:uid="{c489f165-93f5-46c8-865a-8538afd405ee}" ref="A1">
      <text>
        <t xml:space="preserve">[Threaded comment]
 Your version of Excel allows you to read this threaded comment; however, any edits to it will get removed if the file is opened in a newer version of Excel. Learn more: https://go.microsoft.com/fwlink/?linkid=870924
Comment:
	LILY RD @isabel@coryhometeam.com VERIFIED
Assigned to isabel@coryhometeam.com
</t>
      </text>
    </comment>
    <comment authorId="712" xr:uid="{c48f6d48-9e0f-4d5f-a651-a0e7484e3d5e}" ref="A1">
      <text>
        <t xml:space="preserve">[Threaded comment]
 Your version of Excel allows you to read this threaded comment; however, any edits to it will get removed if the file is opened in a newer version of Excel. Learn more: https://go.microsoft.com/fwlink/?linkid=870924
Comment:
	$595 to be paid by Myrna out of her commission
Reply:
	Myrna spoke with Mel and received approval for this to be waived @isabel@coryhometeam.com
</t>
      </text>
    </comment>
    <comment authorId="713" xr:uid="{c4c46961-ea8a-4767-b478-d13bb2ea9807}" ref="A1">
      <text>
        <t xml:space="preserve">[Threaded comment]
 Your version of Excel allows you to read this threaded comment; however, any edits to it will get removed if the file is opened in a newer version of Excel. Learn more: https://go.microsoft.com/fwlink/?linkid=870924
Comment:
	2.24 Possession moved upon removal of the SPRP.
</t>
      </text>
    </comment>
    <comment authorId="714" xr:uid="{c4c552ff-bba9-436a-8887-56c254374438}" ref="A1">
      <text>
        <t xml:space="preserve">[Threaded comment]
 Your version of Excel allows you to read this threaded comment; however, any edits to it will get removed if the file is opened in a newer version of Excel. Learn more: https://go.microsoft.com/fwlink/?linkid=870924
Comment:
	5/16-5/18
</t>
      </text>
    </comment>
    <comment authorId="715" xr:uid="{c5264ea7-177e-4e40-b44e-00fb8d046aac}" ref="A1">
      <text>
        <t xml:space="preserve">[Threaded comment]
 Your version of Excel allows you to read this threaded comment; however, any edits to it will get removed if the file is opened in a newer version of Excel. Learn more: https://go.microsoft.com/fwlink/?linkid=870924
Comment:
	Seller was not able to close between certain dates once COE was missed.
</t>
      </text>
    </comment>
    <comment authorId="716" xr:uid="{c5315187-c986-414d-9b16-6244aa8f6037}" ref="A1">
      <text>
        <t xml:space="preserve">[Threaded comment]
 Your version of Excel allows you to read this threaded comment; however, any edits to it will get removed if the file is opened in a newer version of Excel. Learn more: https://go.microsoft.com/fwlink/?linkid=870924
Comment:
	SPRP
</t>
      </text>
    </comment>
    <comment authorId="717" xr:uid="{c5741103-8811-4cb5-8129-3d47de6ad259}" ref="A1">
      <text>
        <t xml:space="preserve">[Threaded comment]
 Your version of Excel allows you to read this threaded comment; however, any edits to it will get removed if the file is opened in a newer version of Excel. Learn more: https://go.microsoft.com/fwlink/?linkid=870924
Comment:
	updated to SOI
</t>
      </text>
    </comment>
    <comment authorId="718" xr:uid="{c5d72b65-4554-47e6-818e-dbdd50409fe4}" ref="A1">
      <text>
        <t xml:space="preserve">[Threaded comment]
 Your version of Excel allows you to read this threaded comment; however, any edits to it will get removed if the file is opened in a newer version of Excel. Learn more: https://go.microsoft.com/fwlink/?linkid=870924
Comment:
	12431 Highgate Ave
AM verified.
@isabel@coryhometeam.com 
@kenia@coryhometeam.com 
8.7 CI sent to Escrow.
Assigned to isabel@coryhometeam.com
Reply:
	@isabel@coryhometeam.com 
@kenia@coryhometeam.com 
8.28 AMENDED CI sent to Escrow.
</t>
      </text>
    </comment>
    <comment authorId="719" xr:uid="{c608d5f6-7b10-4a20-ab12-bdf8fed526ef}" ref="A1">
      <text>
        <t xml:space="preserve">[Threaded comment]
 Your version of Excel allows you to read this threaded comment; however, any edits to it will get removed if the file is opened in a newer version of Excel. Learn more: https://go.microsoft.com/fwlink/?linkid=870924
Comment:
	Kiona approved via text - $320 off the top credit to Buyer to cover per diem for the Seller to remain in the home until 01/31/25.
</t>
      </text>
    </comment>
    <comment authorId="720" xr:uid="{c609e3eb-7b25-4af8-9875-b1459d7640c5}"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12.26 CORTE ZAMORA @isabel@coryhometeam.com VERIFIED
</t>
      </text>
    </comment>
    <comment authorId="721" xr:uid="{c65c1cc0-75f0-4ab7-b405-cccfe502524e}" ref="A1">
      <text>
        <t xml:space="preserve">[Threaded comment]
 Your version of Excel allows you to read this threaded comment; however, any edits to it will get removed if the file is opened in a newer version of Excel. Learn more: https://go.microsoft.com/fwlink/?linkid=870924
Comment:
	Kendra Harlan
Attachments
Wed, Jul 23, 7:00 PM
to me
Hey! 
Can you send a response for this? We are saying no and offering buyer a $1k credit - $500 from my commission and $500 from buyer agent commission. 
Thank you!
</t>
      </text>
    </comment>
    <comment authorId="722" xr:uid="{c6bf49d3-3985-4277-acd1-652dbd010993}" ref="A1">
      <text>
        <t xml:space="preserve">[Threaded comment]
 Your version of Excel allows you to read this threaded comment; however, any edits to it will get removed if the file is opened in a newer version of Excel. Learn more: https://go.microsoft.com/fwlink/?linkid=870924
Comment:
	4000 Shepherd Rd
8.4 ETA extending inspection &amp; loan to 8.8 for signature.
</t>
      </text>
    </comment>
    <comment authorId="723" xr:uid="{c7fc1147-1460-4142-9774-f18c4ad52539}" ref="A1">
      <text>
        <t xml:space="preserve">[Threaded comment]
 Your version of Excel allows you to read this threaded comment; however, any edits to it will get removed if the file is opened in a newer version of Excel. Learn more: https://go.microsoft.com/fwlink/?linkid=870924
Comment:
	SILVER SADDLE CT @isabel@coryhometeam.com VERIFIED
Assigned to isabel@coryhometeam.com
</t>
      </text>
    </comment>
    <comment authorId="724" xr:uid="{c8b4c131-4871-4b5b-8506-c11c3da8afa1}" ref="A1">
      <text>
        <t xml:space="preserve">[Threaded comment]
 Your version of Excel allows you to read this threaded comment; however, any edits to it will get removed if the file is opened in a newer version of Excel. Learn more: https://go.microsoft.com/fwlink/?linkid=870924
Comment:
	HELOC
</t>
      </text>
    </comment>
    <comment authorId="725" xr:uid="{c959d6ba-af93-4bda-b66f-673d908007c3}" ref="A1">
      <text>
        <t xml:space="preserve">[Threaded comment]
 Your version of Excel allows you to read this threaded comment; however, any edits to it will get removed if the file is opened in a newer version of Excel. Learn more: https://go.microsoft.com/fwlink/?linkid=870924
Comment:
	BENEDETTO PT. @isabel@coryhometeam.com VERIFIED
Assigned to isabel@coryhometeam.com
</t>
      </text>
    </comment>
    <comment authorId="726" xr:uid="{c974aad7-9995-4051-8e1f-df838b6b2559}" ref="A1">
      <text>
        <t xml:space="preserve">[Threaded comment]
 Your version of Excel allows you to read this threaded comment; however, any edits to it will get removed if the file is opened in a newer version of Excel. Learn more: https://go.microsoft.com/fwlink/?linkid=870924
Comment:
	41979 Rondo Street #1106
AM verified.
@isabel@coryhometeam.com
@kenia@coryhometeam.com
12.3 CI sent to Escrow.
Assigned to isabel@coryhometeam.com
</t>
      </text>
    </comment>
    <comment authorId="727" xr:uid="{cac05cc5-5990-411f-86be-9f669673b436}" ref="A1">
      <text>
        <t xml:space="preserve">[Threaded comment]
 Your version of Excel allows you to read this threaded comment; however, any edits to it will get removed if the file is opened in a newer version of Excel. Learn more: https://go.microsoft.com/fwlink/?linkid=870924
Comment:
	Flat rate of $1,500
</t>
      </text>
    </comment>
    <comment authorId="728" xr:uid="{caed0d81-0f11-4c23-aeaa-533dc1aeafb9}" ref="A1">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the day after buyer’s delivery of Escrow Evidence for Buyer's Property (COP 11.A(i)
</t>
      </text>
    </comment>
    <comment authorId="729" xr:uid="{cb07e0b0-87bf-4883-af9f-b6bd563f2a93}" ref="A1">
      <text>
        <t xml:space="preserve">[Threaded comment]
 Your version of Excel allows you to read this threaded comment; however, any edits to it will get removed if the file is opened in a newer version of Excel. Learn more: https://go.microsoft.com/fwlink/?linkid=870924
Comment:
	VENETIA WAY @isabel@coryhometeam.com VERIFIED
Assigned to isabel@coryhometeam.com
</t>
      </text>
    </comment>
    <comment authorId="730" xr:uid="{cb34f724-c08c-4509-b357-2bd7a021ade8}" ref="A1">
      <text>
        <t xml:space="preserve">[Threaded comment]
 Your version of Excel allows you to read this threaded comment; however, any edits to it will get removed if the file is opened in a newer version of Excel. Learn more: https://go.microsoft.com/fwlink/?linkid=870924
Comment:
	Timeframes begin the day after seller removes SPRP CR #1
</t>
      </text>
    </comment>
    <comment authorId="731" xr:uid="{cb649939-9054-4ff8-9ee9-c6b270ebb91a}" ref="A1">
      <text>
        <t xml:space="preserve">[Threaded comment]
 Your version of Excel allows you to read this threaded comment; however, any edits to it will get removed if the file is opened in a newer version of Excel. Learn more: https://go.microsoft.com/fwlink/?linkid=870924
Comment:
	See SIP form
</t>
      </text>
    </comment>
    <comment authorId="732" xr:uid="{cb972610-d972-4ca6-97aa-02b8babfea35}" ref="A1">
      <text>
        <t xml:space="preserve">[Threaded comment]
 Your version of Excel allows you to read this threaded comment; however, any edits to it will get removed if the file is opened in a newer version of Excel. Learn more: https://go.microsoft.com/fwlink/?linkid=870924
Comment:
	3.1 Waiting on the agents take sheet. We need the info of the lender and the complete buyers information (Email Address)
</t>
      </text>
    </comment>
    <comment authorId="733" xr:uid="{cc86fe17-f154-46bb-b22f-33c83182ef1c}" ref="A1">
      <text>
        <t xml:space="preserve">[Threaded comment]
 Your version of Excel allows you to read this threaded comment; however, any edits to it will get removed if the file is opened in a newer version of Excel. Learn more: https://go.microsoft.com/fwlink/?linkid=870924
Comment:
	The COE is an estimated date only. This sale is contingent on the seller's property.
</t>
      </text>
    </comment>
    <comment authorId="734" xr:uid="{cc9a1982-89ca-4b46-a160-16d62d0db563}" ref="A1">
      <text>
        <t xml:space="preserve">[Threaded comment]
 Your version of Excel allows you to read this threaded comment; however, any edits to it will get removed if the file is opened in a newer version of Excel. Learn more: https://go.microsoft.com/fwlink/?linkid=870924
Comment:
	RIDGECREST ST. @isabel@coryhometeam.com VERIFIED
Assigned to isabel@coryhometeam.com
</t>
      </text>
    </comment>
    <comment authorId="735" xr:uid="{ccdc1cae-a2c0-4faa-8d17-b96c45e81fbe}"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When we got to market, this is a mobile home in Rialto so we will use CRMLS
Assigned to aileen@coryhometeam.com
</t>
      </text>
    </comment>
    <comment authorId="736" xr:uid="{cd4cfe6b-9c17-41e7-98a8-38488a6a216c}" ref="A1">
      <text>
        <t xml:space="preserve">[Threaded comment]
 Your version of Excel allows you to read this threaded comment; however, any edits to it will get removed if the file is opened in a newer version of Excel. Learn more: https://go.microsoft.com/fwlink/?linkid=870924
Comment:
	From CASH to Conventional Loan
</t>
      </text>
    </comment>
    <comment authorId="737" xr:uid="{cd787d70-a019-4108-8e8f-04463110e0b2}" ref="A1">
      <text>
        <t xml:space="preserve">[Threaded comment]
 Your version of Excel allows you to read this threaded comment; however, any edits to it will get removed if the file is opened in a newer version of Excel. Learn more: https://go.microsoft.com/fwlink/?linkid=870924
Comment:
	3/31 low appraisal ADM to purchase price reduction to $635,000 
original pp $655,000
</t>
      </text>
    </comment>
    <comment authorId="738" xr:uid="{cd99ca28-1ce7-4787-94a1-445db10c1c38}"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12.12 DIEGO SPRINGS @isabel@coryhometeam.com VERIFIED
</t>
      </text>
    </comment>
    <comment authorId="739" xr:uid="{ceab70d5-5b5a-4c92-8863-9596416591c2}" ref="A1">
      <text>
        <t xml:space="preserve">[Threaded comment]
 Your version of Excel allows you to read this threaded comment; however, any edits to it will get removed if the file is opened in a newer version of Excel. Learn more: https://go.microsoft.com/fwlink/?linkid=870924
Comment:
	1st reservation 3/10-3/12
</t>
      </text>
    </comment>
    <comment authorId="740" xr:uid="{ceb80ee5-37da-4935-bbb1-cdcec76fa65b}" ref="A1">
      <text>
        <t xml:space="preserve">[Threaded comment]
 Your version of Excel allows you to read this threaded comment; however, any edits to it will get removed if the file is opened in a newer version of Excel. Learn more: https://go.microsoft.com/fwlink/?linkid=870924
Comment:
	1812 Olive Green St # 1
AM verified.
@isabel@coryhometeam.com 
@kenia@coryhometeam.com 
7.21 CI sent to Escrow.
Assigned to isabel@coryhometeam.com
</t>
      </text>
    </comment>
    <comment authorId="741" xr:uid="{cedbe9d8-1c0e-4591-9176-74bfb480adad}" ref="A1">
      <text>
        <t xml:space="preserve">[Threaded comment]
 Your version of Excel allows you to read this threaded comment; however, any edits to it will get removed if the file is opened in a newer version of Excel. Learn more: https://go.microsoft.com/fwlink/?linkid=870924
Comment:
	updated payoff demand sent to escrow 2/11
</t>
      </text>
    </comment>
    <comment authorId="742" xr:uid="{cf77342e-4438-4da2-8254-c3e7bbc83e45}" ref="A1">
      <text>
        <t xml:space="preserve">[Threaded comment]
 Your version of Excel allows you to read this threaded comment; however, any edits to it will get removed if the file is opened in a newer version of Excel. Learn more: https://go.microsoft.com/fwlink/?linkid=870924
Comment:
	PALMER DRIVE @isabel@coryhometeam.com VERIFIED
Assigned to isabel@coryhometeam.com
</t>
      </text>
    </comment>
    <comment authorId="743" xr:uid="{cfa1e6d0-1564-4f8d-9189-e4ae5c192ff0}" ref="A1">
      <text>
        <t xml:space="preserve">[Threaded comment]
 Your version of Excel allows you to read this threaded comment; however, any edits to it will get removed if the file is opened in a newer version of Excel. Learn more: https://go.microsoft.com/fwlink/?linkid=870924
Comment:
	7.9 ETA COE from 7.3 to 7.10
</t>
      </text>
    </comment>
    <comment authorId="744" xr:uid="{cfbd493f-f2e7-4e67-95e4-00a054147532}" ref="A1">
      <text>
        <t xml:space="preserve">[Threaded comment]
 Your version of Excel allows you to read this threaded comment; however, any edits to it will get removed if the file is opened in a newer version of Excel. Learn more: https://go.microsoft.com/fwlink/?linkid=870924
Comment:
	2.00% paid by Seller 
.5% paid by Buyer
</t>
      </text>
    </comment>
    <comment authorId="745" xr:uid="{cfbfed1e-e36f-436a-b70f-c1fb0e0b10cc}" ref="A1">
      <text>
        <t xml:space="preserve">[Threaded comment]
 Your version of Excel allows you to read this threaded comment; however, any edits to it will get removed if the file is opened in a newer version of Excel. Learn more: https://go.microsoft.com/fwlink/?linkid=870924
Comment:
	Home Warranty Difference $75.00
</t>
      </text>
    </comment>
    <comment authorId="746" xr:uid="{d030e89e-e74b-4979-9b82-5ccc1668a72b}" ref="A1">
      <text>
        <t xml:space="preserve">[Threaded comment]
 Your version of Excel allows you to read this threaded comment; however, any edits to it will get removed if the file is opened in a newer version of Excel. Learn more: https://go.microsoft.com/fwlink/?linkid=870924
Comment:
	@alexis@coryhometeam.com 
12.20 Tax Clearance is still pending.
Assigned to alexis@coryhometeam.com
</t>
      </text>
    </comment>
    <comment authorId="747" xr:uid="{d098b398-e8e4-4c1c-b5fe-6d081eed2e28}"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12.30 PALM SPRINGS @isabel@coryhometeam.com VERIFIED
</t>
      </text>
    </comment>
    <comment authorId="748" xr:uid="{d09dc8be-bb32-4670-a5a2-8791b273aa53}"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5.16 CI sent to Escrow.
Assigned to isabel@coryhometeam.com
</t>
      </text>
    </comment>
    <comment authorId="749" xr:uid="{d0c007ec-0d7c-4bd4-b814-28706b53562d}" ref="A1">
      <text>
        <t xml:space="preserve">[Threaded comment]
 Your version of Excel allows you to read this threaded comment; however, any edits to it will get removed if the file is opened in a newer version of Excel. Learn more: https://go.microsoft.com/fwlink/?linkid=870924
Comment:
	4/23-4/25/2025
</t>
      </text>
    </comment>
    <comment authorId="750" xr:uid="{d0c730eb-b8ce-44f2-8089-9a6c433250d0}" ref="A1">
      <text>
        <t xml:space="preserve">[Threaded comment]
 Your version of Excel allows you to read this threaded comment; however, any edits to it will get removed if the file is opened in a newer version of Excel. Learn more: https://go.microsoft.com/fwlink/?linkid=870924
Comment:
	4.24 As per ADM1 the COE is moved to 4.30.
</t>
      </text>
    </comment>
    <comment authorId="751" xr:uid="{d0d0d8c7-1061-46fc-8c5d-ed92c1f99dfa}" ref="A1">
      <text>
        <t xml:space="preserve">[Threaded comment]
 Your version of Excel allows you to read this threaded comment; however, any edits to it will get removed if the file is opened in a newer version of Excel. Learn more: https://go.microsoft.com/fwlink/?linkid=870924
Comment:
	2858 S Peach Tree Place
AM verified.
@isabel@coryhometeam.com
@kenia@coryhometeam.com
9.10 CI sent to Escrow.
Assigned to isabel@coryhometeam.com
</t>
      </text>
    </comment>
    <comment authorId="752" xr:uid="{d0e7b6dd-b63b-484f-8975-e51a7cde7ea3}" ref="A1">
      <text>
        <t xml:space="preserve">[Threaded comment]
 Your version of Excel allows you to read this threaded comment; however, any edits to it will get removed if the file is opened in a newer version of Excel. Learn more: https://go.microsoft.com/fwlink/?linkid=870924
Comment:
	4.23 Price decreased from $585,000 to $568,500 as per ADM1.
</t>
      </text>
    </comment>
    <comment authorId="753" xr:uid="{d13b8f04-85d8-4a53-b915-d9bbd8862098}" ref="A1">
      <text>
        <t xml:space="preserve">[Threaded comment]
 Your version of Excel allows you to read this threaded comment; however, any edits to it will get removed if the file is opened in a newer version of Excel. Learn more: https://go.microsoft.com/fwlink/?linkid=870924
Comment:
	5/30-6/1
</t>
      </text>
    </comment>
    <comment authorId="754" xr:uid="{d1b8c516-f1c3-437f-b02b-668033512040}" ref="A1">
      <text>
        <t xml:space="preserve">[Threaded comment]
 Your version of Excel allows you to read this threaded comment; however, any edits to it will get removed if the file is opened in a newer version of Excel. Learn more: https://go.microsoft.com/fwlink/?linkid=870924
Comment:
	Nate credited $2000 to seller. -Kiona approved
</t>
      </text>
    </comment>
    <comment authorId="755" xr:uid="{d1d37114-9a49-4336-af6c-bee432f598b9}" ref="A1">
      <text>
        <t xml:space="preserve">[Threaded comment]
 Your version of Excel allows you to read this threaded comment; however, any edits to it will get removed if the file is opened in a newer version of Excel. Learn more: https://go.microsoft.com/fwlink/?linkid=870924
Comment:
	4.3 24 days after removal of the COP Contingency.
</t>
      </text>
    </comment>
    <comment authorId="756" xr:uid="{d24ef50c-00b3-4a66-a291-1133ac720873}" ref="A1">
      <text>
        <t xml:space="preserve">[Threaded comment]
 Your version of Excel allows you to read this threaded comment; however, any edits to it will get removed if the file is opened in a newer version of Excel. Learn more: https://go.microsoft.com/fwlink/?linkid=870924
Comment:
	CURTIS AVE @isabel@coryhometeam.com VERIFIED
Assigned to isabel@coryhometeam.com
</t>
      </text>
    </comment>
    <comment authorId="757" xr:uid="{d2826a3d-29ba-4d14-8708-4f0ae305a1b5}" ref="A1">
      <text>
        <t xml:space="preserve">[Threaded comment]
 Your version of Excel allows you to read this threaded comment; however, any edits to it will get removed if the file is opened in a newer version of Excel. Learn more: https://go.microsoft.com/fwlink/?linkid=870924
Comment:
	Credit is off the top approved by Kiona via text 12/03/25. Credit is to assist in septic work needed to get certification.
</t>
      </text>
    </comment>
    <comment authorId="758" xr:uid="{d288d736-842c-480c-a006-6e15230cd969}" ref="A1">
      <text>
        <t xml:space="preserve">[Threaded comment]
 Your version of Excel allows you to read this threaded comment; however, any edits to it will get removed if the file is opened in a newer version of Excel. Learn more: https://go.microsoft.com/fwlink/?linkid=870924
Comment:
	CD went out 08/25, docs are expected on 08/28 for signing to fund and close 08/29.
Reply:
	Per escrow email 08/28/25
Just heard back from the lender on this one –
The file was randomly selected fo QC review byt the lender. Once that is completed I will have an idea on the docs.
</t>
      </text>
    </comment>
    <comment authorId="759" xr:uid="{d2a867de-8b98-4226-9ed7-5169879da3cb}" ref="A1">
      <text>
        <t xml:space="preserve">[Threaded comment]
 Your version of Excel allows you to read this threaded comment; however, any edits to it will get removed if the file is opened in a newer version of Excel. Learn more: https://go.microsoft.com/fwlink/?linkid=870924
Comment:
	DELFINA WAY @isabel@coryhometeam.com VERIFIED
Assigned to isabel@coryhometeam.com
</t>
      </text>
    </comment>
    <comment authorId="760" xr:uid="{d30e9311-9ed0-4daa-8854-64109ca11e19}" ref="A1">
      <text>
        <t xml:space="preserve">[Threaded comment]
 Your version of Excel allows you to read this threaded comment; however, any edits to it will get removed if the file is opened in a newer version of Excel. Learn more: https://go.microsoft.com/fwlink/?linkid=870924
Comment:
	4.2 This transaction is contingent to SPRP.
Reply:
	5.16 COE extended from 5.15 to 5.19 per ETA.
</t>
      </text>
    </comment>
    <comment authorId="761" xr:uid="{d31f1d16-47a7-4dac-882b-f04f3a9984c2}" ref="A1">
      <text>
        <t xml:space="preserve">[Threaded comment]
 Your version of Excel allows you to read this threaded comment; however, any edits to it will get removed if the file is opened in a newer version of Excel. Learn more: https://go.microsoft.com/fwlink/?linkid=870924
Comment:
	Confirm source from Petra by VA-Remy
</t>
      </text>
    </comment>
    <comment authorId="762" xr:uid="{d3302d53-ba1b-40c5-8396-2ee61c728bf7}" ref="A1">
      <text>
        <t xml:space="preserve">[Threaded comment]
 Your version of Excel allows you to read this threaded comment; however, any edits to it will get removed if the file is opened in a newer version of Excel. Learn more: https://go.microsoft.com/fwlink/?linkid=870924
Comment:
	TAMARIND LN @isabel@coryhometeam.com VERIFIED
Assigned to isabel@coryhometeam.com
</t>
      </text>
    </comment>
    <comment authorId="763" xr:uid="{d3715ff6-0f6f-4a05-8baf-16490df007e5}" ref="A1">
      <text>
        <t xml:space="preserve">[Threaded comment]
 Your version of Excel allows you to read this threaded comment; however, any edits to it will get removed if the file is opened in a newer version of Excel. Learn more: https://go.microsoft.com/fwlink/?linkid=870924
Comment:
	4.28 Per Eddie: I'll let you know once the buyers have had an opportunity to see the report.
</t>
      </text>
    </comment>
    <comment authorId="764" xr:uid="{d3b7b323-49d4-4958-a6dc-149213efbec2}" ref="A1">
      <text>
        <t xml:space="preserve">[Threaded comment]
 Your version of Excel allows you to read this threaded comment; however, any edits to it will get removed if the file is opened in a newer version of Excel. Learn more: https://go.microsoft.com/fwlink/?linkid=870924
Comment:
	VIA FANAL @isabel@coryhometeam.com VERIFIED
Assigned to isabel@coryhometeam.com
</t>
      </text>
    </comment>
    <comment authorId="765" xr:uid="{d3ee9593-34b8-4de0-b79d-e878e7566bc2}" ref="A1">
      <text>
        <t xml:space="preserve">[Threaded comment]
 Your version of Excel allows you to read this threaded comment; however, any edits to it will get removed if the file is opened in a newer version of Excel. Learn more: https://go.microsoft.com/fwlink/?linkid=870924
Comment:
	IVY SPRINGS COURT @isabel@coryhometeam.com VERIFIED
Assigned to isabel@coryhometeam.com
</t>
      </text>
    </comment>
    <comment authorId="766" xr:uid="{d41afee4-f299-4174-89ca-5adb889009a1}" ref="A1">
      <text>
        <t xml:space="preserve">[Threaded comment]
 Your version of Excel allows you to read this threaded comment; however, any edits to it will get removed if the file is opened in a newer version of Excel. Learn more: https://go.microsoft.com/fwlink/?linkid=870924
Comment:
	Commission is $5,000.00
</t>
      </text>
    </comment>
    <comment authorId="767" xr:uid="{d48e62e2-f399-49a4-9b62-1d3f462abea0}" ref="A1">
      <text>
        <t xml:space="preserve">[Threaded comment]
 Your version of Excel allows you to read this threaded comment; however, any edits to it will get removed if the file is opened in a newer version of Excel. Learn more: https://go.microsoft.com/fwlink/?linkid=870924
Comment:
	3.26 Per Petra: Kenia, on this transaction mel approved thew 595 to be waived can we make sure escrow makes the adjustment please.
</t>
      </text>
    </comment>
    <comment authorId="768" xr:uid="{d4a5236c-becb-4532-8264-34d3ff554e66}"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12.19 WAALEW RD @isabel@coryhometeam.com VERIFIED
</t>
      </text>
    </comment>
    <comment authorId="769" xr:uid="{d5dac387-6b19-40ad-a976-9a207ad837ed}" ref="A1">
      <text>
        <t xml:space="preserve">[Threaded comment]
 Your version of Excel allows you to read this threaded comment; however, any edits to it will get removed if the file is opened in a newer version of Excel. Learn more: https://go.microsoft.com/fwlink/?linkid=870924
Comment:
	NORTHPOINTE ST @isabel@coryhometeam.com VERIFIED
Assigned to isabel@coryhometeam.com
</t>
      </text>
    </comment>
    <comment authorId="770" xr:uid="{d5fa9324-ab43-4d0b-b971-c8a8a89abec6}" ref="A1">
      <text>
        <t xml:space="preserve">[Threaded comment]
 Your version of Excel allows you to read this threaded comment; however, any edits to it will get removed if the file is opened in a newer version of Excel. Learn more: https://go.microsoft.com/fwlink/?linkid=870924
Comment:
	Commission is 20,000
</t>
      </text>
    </comment>
    <comment authorId="771" xr:uid="{d6128a09-0983-44c4-bcca-2217490d8077}"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Please process on both boards, this has been ACTIVE since 04/11/25. RLA signed on 04/08/25
Assigned to aileen@coryhometeam.com
</t>
      </text>
    </comment>
    <comment authorId="772" xr:uid="{d6ae509d-b88f-4d8b-8690-040af4038d8e}" ref="A1">
      <text>
        <t xml:space="preserve">[Threaded comment]
 Your version of Excel allows you to read this threaded comment; however, any edits to it will get removed if the file is opened in a newer version of Excel. Learn more: https://go.microsoft.com/fwlink/?linkid=870924
Comment:
	SHIPWRIGHT DR @isabel@coryhometeam.com VERIFIED
Assigned to isabel@coryhometeam.com
</t>
      </text>
    </comment>
    <comment authorId="773" xr:uid="{d757ebe3-8722-4a62-b63a-f762cc8ab717}" ref="A1">
      <text>
        <t xml:space="preserve">[Threaded comment]
 Your version of Excel allows you to read this threaded comment; however, any edits to it will get removed if the file is opened in a newer version of Excel. Learn more: https://go.microsoft.com/fwlink/?linkid=870924
Comment:
	@alexis@coryhometeam.com Is this waived? Final check and FSS has no $695 credit/collection
Reply:
	This is waived with approval from Kiona.
Marked as resolved
</t>
      </text>
    </comment>
    <comment authorId="774" xr:uid="{d770f360-90f2-44b1-87f0-e3341d3f29ab}" ref="A1">
      <text>
        <t xml:space="preserve">[Threaded comment]
 Your version of Excel allows you to read this threaded comment; however, any edits to it will get removed if the file is opened in a newer version of Excel. Learn more: https://go.microsoft.com/fwlink/?linkid=870924
Comment:
	source per agent; needs to be verified
</t>
      </text>
    </comment>
    <comment authorId="775" xr:uid="{d77cbaa3-e938-40ab-bf63-c498abbe8925}" ref="A1">
      <text>
        <t xml:space="preserve">[Threaded comment]
 Your version of Excel allows you to read this threaded comment; however, any edits to it will get removed if the file is opened in a newer version of Excel. Learn more: https://go.microsoft.com/fwlink/?linkid=870924
Comment:
	1.2 The 595 fee is missing in the BRBC form. A correction is needed and waiting for further instructions.
@kenia@coryhometeam.com
Assigned to kenia@coryhometeam.com
</t>
      </text>
    </comment>
    <comment authorId="776" xr:uid="{d7fc4787-7781-469d-8937-300fe081ed3c}"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this was not entered to Agent board
Reply:
	@aileen@coryhometeam.com This listing agreement was signed on 06/30/25 - please process immediately.
</t>
      </text>
    </comment>
    <comment authorId="777" xr:uid="{d8017d1c-679d-4052-8331-1019b41a8d7e}" ref="A1">
      <text>
        <t xml:space="preserve">[Threaded comment]
 Your version of Excel allows you to read this threaded comment; however, any edits to it will get removed if the file is opened in a newer version of Excel. Learn more: https://go.microsoft.com/fwlink/?linkid=870924
Comment:
	already with eXp, call scheduled for Tomorrow
Reply:
	Planning to onboard Monday, exp emailed, license instructions sent to him
Reply:
	not able to get ahold of, didnt finish exp transfer, Mel also hasnt gotten ahold of
</t>
      </text>
    </comment>
    <comment authorId="778" xr:uid="{d8608206-b67e-4170-b02c-fe2b3ee60eff}"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1.7 CI sent to Escrow.
Assigned to isabel@coryhometeam.com
Reply:
	3.4 AM verified.
@isabel@coryhometeam.com 
@kenia@coryhometeam.com 
3.4 AMEDNED CI signed sent to Escrow.
</t>
      </text>
    </comment>
    <comment authorId="779" xr:uid="{d884d30a-49cb-4533-84f6-c95cafcbe1b9}"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12.23 WITT AVE @isabel@coryhometeam.com VERIFIED
</t>
      </text>
    </comment>
    <comment authorId="780" xr:uid="{d8e0077f-335d-4ee3-8995-9f5385dd1dc3}" ref="A1">
      <text>
        <t xml:space="preserve">[Threaded comment]
 Your version of Excel allows you to read this threaded comment; however, any edits to it will get removed if the file is opened in a newer version of Excel. Learn more: https://go.microsoft.com/fwlink/?linkid=870924
Comment:
	KNOLLWOOD ST @isabel@coryhometeam.com VERIFIED
Assigned to isabel@coryhometeam.com
</t>
      </text>
    </comment>
    <comment authorId="781" xr:uid="{d8f4a0e2-5c35-4b05-a13e-04671e75442a}" ref="A1">
      <text>
        <t xml:space="preserve">[Threaded comment]
 Your version of Excel allows you to read this threaded comment; however, any edits to it will get removed if the file is opened in a newer version of Excel. Learn more: https://go.microsoft.com/fwlink/?linkid=870924
Comment:
	22813 Mirileste Dr
AM verified.
@isabel@coryhometeam.com
@kenia@coryhometeam.com
11.6 CI sent to Escrow.
Assigned to isabel@coryhometeam.com
</t>
      </text>
    </comment>
    <comment authorId="782" xr:uid="{d9a57e78-4703-4417-a38e-3626aee2e4b2}" ref="A1">
      <text>
        <t xml:space="preserve">[Threaded comment]
 Your version of Excel allows you to read this threaded comment; however, any edits to it will get removed if the file is opened in a newer version of Excel. Learn more: https://go.microsoft.com/fwlink/?linkid=870924
Comment:
	Dana notifies me this was early COE 12/19
</t>
      </text>
    </comment>
    <comment authorId="783" xr:uid="{da5ba4d8-b267-43d4-a6c2-65d85e723619}" ref="A1">
      <text>
        <t xml:space="preserve">[Threaded comment]
 Your version of Excel allows you to read this threaded comment; however, any edits to it will get removed if the file is opened in a newer version of Excel. Learn more: https://go.microsoft.com/fwlink/?linkid=870924
Comment:
	AVOCADO VISTA LN @isabel@coryhometeam.com VERIFIED
Assigned to isabel@coryhometeam.com
</t>
      </text>
    </comment>
    <comment authorId="784" xr:uid="{da8fd149-39fd-4e0c-ab31-037ad0d5b44f}" ref="A1">
      <text>
        <t xml:space="preserve">[Threaded comment]
 Your version of Excel allows you to read this threaded comment; however, any edits to it will get removed if the file is opened in a newer version of Excel. Learn more: https://go.microsoft.com/fwlink/?linkid=870924
Comment:
	CHT to cover Sellers Coverage.
</t>
      </text>
    </comment>
    <comment authorId="785" xr:uid="{daada13d-b9b6-4885-9849-f26328c22c4d}"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3.28 CI sent to Escrow.
Assigned to isabel@coryhometeam.com
</t>
      </text>
    </comment>
    <comment authorId="786" xr:uid="{daef87cb-d655-4e6f-a7e5-e68dcc736b4b}" ref="A1">
      <text>
        <t xml:space="preserve">[Threaded comment]
 Your version of Excel allows you to read this threaded comment; however, any edits to it will get removed if the file is opened in a newer version of Excel. Learn more: https://go.microsoft.com/fwlink/?linkid=870924
Comment:
	CALLE ALTA @isabel@coryhometeam.com VERIFIED
Assigned to isabel@coryhometeam.com
</t>
      </text>
    </comment>
    <comment authorId="787" xr:uid="{daf585ab-8c67-4b19-8b95-b2aaa3949efc}" ref="A1">
      <text>
        <t xml:space="preserve">[Threaded comment]
 Your version of Excel allows you to read this threaded comment; however, any edits to it will get removed if the file is opened in a newer version of Excel. Learn more: https://go.microsoft.com/fwlink/?linkid=870924
Comment:
	CHEROKEE ROSE ST @isabel@coryhometeam.com VERIFIED
Assigned to isabel@coryhometeam.com
</t>
      </text>
    </comment>
    <comment authorId="788" xr:uid="{db097d03-9427-457d-a394-004f924a5022}" ref="A1">
      <text>
        <t xml:space="preserve">[Threaded comment]
 Your version of Excel allows you to read this threaded comment; however, any edits to it will get removed if the file is opened in a newer version of Excel. Learn more: https://go.microsoft.com/fwlink/?linkid=870924
Comment:
	16667 Snowdrop Ln #2
AM verified.
@isabel@coryhometeam.com
@kenia@coryhometeam.com
4.20 CI sent to Escrow.
Assigned to isabel@coryhometeam.com
</t>
      </text>
    </comment>
    <comment authorId="789" xr:uid="{db3aed57-d8a1-468f-bb3f-7e18d0108d4f}" ref="A1">
      <text>
        <t xml:space="preserve">[Threaded comment]
 Your version of Excel allows you to read this threaded comment; however, any edits to it will get removed if the file is opened in a newer version of Excel. Learn more: https://go.microsoft.com/fwlink/?linkid=870924
Comment:
	Kendra agreed to credit seller $131.00 towards AB38 inspection/repairs
@dana@coryhometeam.com 
@isabel@coryhometeam.com
Reply:
	$1,000 Comm holdback, based on CDA and final check
</t>
      </text>
    </comment>
    <comment authorId="790" xr:uid="{db79839b-7876-41e4-be33-d8f8eb5c1cbc}" ref="A1">
      <text>
        <t xml:space="preserve">[Threaded comment]
 Your version of Excel allows you to read this threaded comment; however, any edits to it will get removed if the file is opened in a newer version of Excel. Learn more: https://go.microsoft.com/fwlink/?linkid=870924
Comment:
	No Show Trip Charge + Travel Fee
Fee $8
</t>
      </text>
    </comment>
    <comment authorId="791" xr:uid="{dc63d9c3-2666-49ab-a7d1-db307658ac36}" ref="A1">
      <text>
        <t xml:space="preserve">[Threaded comment]
 Your version of Excel allows you to read this threaded comment; however, any edits to it will get removed if the file is opened in a newer version of Excel. Learn more: https://go.microsoft.com/fwlink/?linkid=870924
Comment:
	DERBY DR. @isabel@coryhometeam.com VERIFIED
Assigned to isabel@coryhometeam.com
</t>
      </text>
    </comment>
    <comment authorId="792" xr:uid="{dc6f119c-4cc7-4dd4-aa87-2a05061acf07}" ref="A1">
      <text>
        <t xml:space="preserve">[Threaded comment]
 Your version of Excel allows you to read this threaded comment; however, any edits to it will get removed if the file is opened in a newer version of Excel. Learn more: https://go.microsoft.com/fwlink/?linkid=870924
Comment:
	3.4 Requested to Petra to provide the second buyers email address.
</t>
      </text>
    </comment>
    <comment authorId="793" xr:uid="{dc70d6c5-a1bd-4066-a3bd-8a47f8b80072}"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RLA signed 8/4 Please complete the initial tasks asap. Thank you
Assigned to aileen@coryhometeam.com
</t>
      </text>
    </comment>
    <comment authorId="794" xr:uid="{dc89e572-93c3-467c-95db-7d28e4868fae}" ref="A1">
      <text>
        <t xml:space="preserve">[Threaded comment]
 Your version of Excel allows you to read this threaded comment; however, any edits to it will get removed if the file is opened in a newer version of Excel. Learn more: https://go.microsoft.com/fwlink/?linkid=870924
Comment:
	Blake talking to tomorrow
</t>
      </text>
    </comment>
    <comment authorId="795" xr:uid="{dcb7efb4-f076-432c-a60a-84b688a78e68}" ref="A1">
      <text>
        <t xml:space="preserve">[Threaded comment]
 Your version of Excel allows you to read this threaded comment; however, any edits to it will get removed if the file is opened in a newer version of Excel. Learn more: https://go.microsoft.com/fwlink/?linkid=870924
Comment:
	4/26-4/28/2025
</t>
      </text>
    </comment>
    <comment authorId="796" xr:uid="{dcfb952c-696e-47e9-9f1b-13a16b545545}" ref="A1">
      <text>
        <t xml:space="preserve">[Threaded comment]
 Your version of Excel allows you to read this threaded comment; however, any edits to it will get removed if the file is opened in a newer version of Excel. Learn more: https://go.microsoft.com/fwlink/?linkid=870924
Comment:
	ACACIA AVE UNIT 198 @isabel@coryhometeam.com VERIFIED
Assigned to isabel@coryhometeam.com
</t>
      </text>
    </comment>
    <comment authorId="797" xr:uid="{dd339b9c-3b27-4e1e-b9e3-8d24ae7558bb}" ref="A1">
      <text>
        <t xml:space="preserve">[Threaded comment]
 Your version of Excel allows you to read this threaded comment; however, any edits to it will get removed if the file is opened in a newer version of Excel. Learn more: https://go.microsoft.com/fwlink/?linkid=870924
Comment:
	@alexis@coryhometeam.com 
12.19 Off the top cost to cover GOLD HW for Buyer.
</t>
      </text>
    </comment>
    <comment authorId="798" xr:uid="{dd5bf87f-e455-4438-a4e8-b2cff10bb181}" ref="A1">
      <text>
        <t xml:space="preserve">[Threaded comment]
 Your version of Excel allows you to read this threaded comment; however, any edits to it will get removed if the file is opened in a newer version of Excel. Learn more: https://go.microsoft.com/fwlink/?linkid=870924
Comment:
	Sign was ordered. Sunset Setters went out, but Seller refused to allow a sign up. They threatened w a weapon.
</t>
      </text>
    </comment>
    <comment authorId="799" xr:uid="{dd67602c-4352-4f89-8717-c1b901d8eea5}" ref="A1">
      <text>
        <t xml:space="preserve">[Threaded comment]
 Your version of Excel allows you to read this threaded comment; however, any edits to it will get removed if the file is opened in a newer version of Excel. Learn more: https://go.microsoft.com/fwlink/?linkid=870924
Comment:
	EDITH WAY @isabel@coryhometeam.com VERIFIED
Assigned to isabel@coryhometeam.com
</t>
      </text>
    </comment>
    <comment authorId="800" xr:uid="{de08e637-dcf3-426b-9adb-b9c1edcc8aa6}" ref="A1">
      <text>
        <t xml:space="preserve">[Threaded comment]
 Your version of Excel allows you to read this threaded comment; however, any edits to it will get removed if the file is opened in a newer version of Excel. Learn more: https://go.microsoft.com/fwlink/?linkid=870924
Comment:
	17 Days after the Seller delivers written notice removing the SPRP
</t>
      </text>
    </comment>
    <comment authorId="801" xr:uid="{de154c5b-e196-4096-b9c7-1b6f87ebfce3}" ref="A1">
      <text>
        <t xml:space="preserve">[Threaded comment]
 Your version of Excel allows you to read this threaded comment; however, any edits to it will get removed if the file is opened in a newer version of Excel. Learn more: https://go.microsoft.com/fwlink/?linkid=870924
Comment:
	There is a dispute over the results of the appraisal. It is in review for resolution.
</t>
      </text>
    </comment>
    <comment authorId="802" xr:uid="{de2fad11-879e-48c1-8041-494552c0e618}" ref="A1">
      <text>
        <t xml:space="preserve">[Threaded comment]
 Your version of Excel allows you to read this threaded comment; however, any edits to it will get removed if the file is opened in a newer version of Excel. Learn more: https://go.microsoft.com/fwlink/?linkid=870924
Comment:
	12.22 COE moved to 12.23 as per ETA2.
</t>
      </text>
    </comment>
    <comment authorId="803" xr:uid="{dedf866b-aaeb-4fc8-9127-1fd871f34af9}" ref="A1">
      <text>
        <t xml:space="preserve">[Threaded comment]
 Your version of Excel allows you to read this threaded comment; however, any edits to it will get removed if the file is opened in a newer version of Excel. Learn more: https://go.microsoft.com/fwlink/?linkid=870924
Comment:
	Working with park preferred lender to keep deal together
</t>
      </text>
    </comment>
    <comment authorId="804" xr:uid="{dee1d7bd-74fd-4d43-8543-403b9598a309}"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This listing agreement was signed on 07/01/25 - please process immediately.
Assigned to aileen@coryhometeam.com
</t>
      </text>
    </comment>
    <comment authorId="805" xr:uid="{df3ffc57-2166-4b4d-bf19-24729aec56bf}" ref="A1">
      <text>
        <t xml:space="preserve">[Threaded comment]
 Your version of Excel allows you to read this threaded comment; however, any edits to it will get removed if the file is opened in a newer version of Excel. Learn more: https://go.microsoft.com/fwlink/?linkid=870924
Comment:
	11.5 Late notice. Agent failed to provide documents on time. We are trying to complete the file.
</t>
      </text>
    </comment>
    <comment authorId="806" xr:uid="{df636135-c8f8-49a9-a750-b25f7d94a65c}" ref="A1">
      <text>
        <t xml:space="preserve">[Threaded comment]
 Your version of Excel allows you to read this threaded comment; however, any edits to it will get removed if the file is opened in a newer version of Excel. Learn more: https://go.microsoft.com/fwlink/?linkid=870924
Comment:
	3911 Bryce Ct 
8.1 Per BA: We waiting for seller to provide termite Report then send RR.
</t>
      </text>
    </comment>
    <comment authorId="807" xr:uid="{dff79816-8cec-4d59-8974-cff721112252}" ref="A1">
      <text>
        <t xml:space="preserve">[Threaded comment]
 Your version of Excel allows you to read this threaded comment; however, any edits to it will get removed if the file is opened in a newer version of Excel. Learn more: https://go.microsoft.com/fwlink/?linkid=870924
Comment:
	MIRA LOMA @isabel@coryhometeam.com VERIFIED
Assigned to isabel@coryhometeam.com
</t>
      </text>
    </comment>
    <comment authorId="808" xr:uid="{e03310ec-553b-4caf-a0e5-42769807a7f6}" ref="A1">
      <text>
        <t xml:space="preserve">[Threaded comment]
 Your version of Excel allows you to read this threaded comment; however, any edits to it will get removed if the file is opened in a newer version of Excel. Learn more: https://go.microsoft.com/fwlink/?linkid=870924
Comment:
	This is a divorce situation, Alicia needs to speak to each seller before we send a MT to clarify commission.
</t>
      </text>
    </comment>
    <comment authorId="809" xr:uid="{e07ca856-a650-4039-89e5-f0c31154780f}" ref="A1">
      <text>
        <t xml:space="preserve">[Threaded comment]
 Your version of Excel allows you to read this threaded comment; however, any edits to it will get removed if the file is opened in a newer version of Excel. Learn more: https://go.microsoft.com/fwlink/?linkid=870924
Comment:
	$100.00
</t>
      </text>
    </comment>
    <comment authorId="810" xr:uid="{e0cba235-cb10-46c9-9099-c009a24dcf9c}"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2.13 CI sent to Escrow.
Assigned to isabel@coryhometeam.com
</t>
      </text>
    </comment>
    <comment authorId="811" xr:uid="{e0ecd005-03d8-4aa4-a108-f15d783b7eab}" ref="A1">
      <text>
        <t xml:space="preserve">[Threaded comment]
 Your version of Excel allows you to read this threaded comment; however, any edits to it will get removed if the file is opened in a newer version of Excel. Learn more: https://go.microsoft.com/fwlink/?linkid=870924
Comment:
	1525 W Oakland Avenue #50
AM verified.
@isabel@coryhometeam.com
@kenia@coryhometeam.com
10.14 CI sent to Escrow.
Assigned to isabel@coryhometeam.com
</t>
      </text>
    </comment>
    <comment authorId="812" xr:uid="{e0f0579c-06e2-4ae4-a35a-eaec9fa75326}" ref="A1">
      <text>
        <t xml:space="preserve">[Threaded comment]
 Your version of Excel allows you to read this threaded comment; however, any edits to it will get removed if the file is opened in a newer version of Excel. Learn more: https://go.microsoft.com/fwlink/?linkid=870924
Comment:
	WASHINGTON DR. @isabel@coryhometeam.com VERIFIED
Assigned to isabel@coryhometeam.com
</t>
      </text>
    </comment>
    <comment authorId="813" xr:uid="{e1c3e6f4-adb4-4af5-9ab6-3df0bb32d788}" ref="A1">
      <text>
        <t xml:space="preserve">[Threaded comment]
 Your version of Excel allows you to read this threaded comment; however, any edits to it will get removed if the file is opened in a newer version of Excel. Learn more: https://go.microsoft.com/fwlink/?linkid=870924
Comment:
	10.9 New COE date is 10.14 as per ETA.
</t>
      </text>
    </comment>
    <comment authorId="814" xr:uid="{e20d605a-1b14-4870-ac9b-7a9f99bbb5de}" ref="A1">
      <text>
        <t xml:space="preserve">[Threaded comment]
 Your version of Excel allows you to read this threaded comment; however, any edits to it will get removed if the file is opened in a newer version of Excel. Learn more: https://go.microsoft.com/fwlink/?linkid=870924
Comment:
	payoff demand (x2) sent to escrow 2/20
</t>
      </text>
    </comment>
    <comment authorId="815" xr:uid="{e333db3d-0a40-4bf4-ace7-13d3af8dbfab}"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5.13 CI sent to Escrow.
Assigned to isabel@coryhometeam.com
</t>
      </text>
    </comment>
    <comment authorId="816" xr:uid="{e350dcd9-5721-457a-983a-daad4f7e097b}" ref="A1">
      <text>
        <t xml:space="preserve">[Threaded comment]
 Your version of Excel allows you to read this threaded comment; however, any edits to it will get removed if the file is opened in a newer version of Excel. Learn more: https://go.microsoft.com/fwlink/?linkid=870924
Comment:
	4.15 Reopened escrow with Pure logic from EBS.
</t>
      </text>
    </comment>
    <comment authorId="817" xr:uid="{e3851954-bef0-4697-b2b2-b020906eb833}" ref="A1">
      <text>
        <t xml:space="preserve">[Threaded comment]
 Your version of Excel allows you to read this threaded comment; however, any edits to it will get removed if the file is opened in a newer version of Excel. Learn more: https://go.microsoft.com/fwlink/?linkid=870924
Comment:
	By @rafael@coryhometeam.com 12.30 ADM to follow to correct acceptance date to 12.26.
Assigned to rafael@coryhometeam.com
</t>
      </text>
    </comment>
    <comment authorId="818" xr:uid="{e3dacdc8-5261-4ab4-a21e-7e1381bcafae}"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11.20 Price reduction from 109K to 97K per ADM2.
Assigned to rafael@coryhometeam.com
Reply:
	1.16 Price changed to $550,500 per ADM2.
</t>
      </text>
    </comment>
    <comment authorId="819" xr:uid="{e4305af2-9270-4ca5-9f9b-937e023df818}" ref="A1">
      <text>
        <t xml:space="preserve">[Threaded comment]
 Your version of Excel allows you to read this threaded comment; however, any edits to it will get removed if the file is opened in a newer version of Excel. Learn more: https://go.microsoft.com/fwlink/?linkid=870924
Comment:
	ROSSMONT DR @isabel@coryhometeam.com VERIFIED
Assigned to isabel@coryhometeam.com
</t>
      </text>
    </comment>
    <comment authorId="820" xr:uid="{e449afb4-840b-406f-a696-6ec6521a8dad}" ref="A1">
      <text>
        <t xml:space="preserve">[Threaded comment]
 Your version of Excel allows you to read this threaded comment; however, any edits to it will get removed if the file is opened in a newer version of Excel. Learn more: https://go.microsoft.com/fwlink/?linkid=870924
Comment:
	TULLEY RANCH RD @isabel@coryhometeam.com VERIFIED
Assigned to isabel@coryhometeam.com
</t>
      </text>
    </comment>
    <comment authorId="821" xr:uid="{e495e64b-e703-4d87-8b0a-45c03bfab8c8}" ref="A1">
      <text>
        <t xml:space="preserve">[Threaded comment]
 Your version of Excel allows you to read this threaded comment; however, any edits to it will get removed if the file is opened in a newer version of Excel. Learn more: https://go.microsoft.com/fwlink/?linkid=870924
Comment:
	PEBBLE BROOK @isabel@coryhometeam.com VERIFIED
Assigned to isabel@coryhometeam.com
</t>
      </text>
    </comment>
    <comment authorId="822" xr:uid="{e4de6881-fcb9-410b-9652-844f8ddc7491}" ref="A1">
      <text>
        <t xml:space="preserve">[Threaded comment]
 Your version of Excel allows you to read this threaded comment; however, any edits to it will get removed if the file is opened in a newer version of Excel. Learn more: https://go.microsoft.com/fwlink/?linkid=870924
Comment:
	Seller is in another country and is waiting on the US Embassy to schedule his signing with a notary.
</t>
      </text>
    </comment>
    <comment authorId="823" xr:uid="{e54200cb-93b1-4ac5-9cd5-366a971c61e7}" ref="A1">
      <text>
        <t xml:space="preserve">[Threaded comment]
 Your version of Excel allows you to read this threaded comment; however, any edits to it will get removed if the file is opened in a newer version of Excel. Learn more: https://go.microsoft.com/fwlink/?linkid=870924
Comment:
	Approved by Mel off the top via text 07/01/25
</t>
      </text>
    </comment>
    <comment authorId="824" xr:uid="{e56051e7-9fea-4d01-8291-6bbd4e4c0d80}" ref="A1">
      <text>
        <t xml:space="preserve">[Threaded comment]
 Your version of Excel allows you to read this threaded comment; however, any edits to it will get removed if the file is opened in a newer version of Excel. Learn more: https://go.microsoft.com/fwlink/?linkid=870924
Comment:
	VIA CAMPECHE @isabel@coryhometeam.com VERIFIED
Assigned to isabel@coryhometeam.com
</t>
      </text>
    </comment>
    <comment authorId="825" xr:uid="{e5ca3d4f-91c7-46fd-b940-88e30a3e61f5}" ref="A1">
      <text>
        <t xml:space="preserve">[Threaded comment]
 Your version of Excel allows you to read this threaded comment; however, any edits to it will get removed if the file is opened in a newer version of Excel. Learn more: https://go.microsoft.com/fwlink/?linkid=870924
Comment:
	9056 Brownstone Cir # 54
AM verified.
@isabel@coryhometeam.com 
@kenia@coryhometeam.com 
7.2 CI sent to Escrow.
Assigned to isabel@coryhometeam.com
</t>
      </text>
    </comment>
    <comment authorId="826" xr:uid="{e5d60f2a-62a8-4312-a243-e2d6569709e3}"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4.10 CI sent to Escrow.
Assigned to isabel@coryhometeam.com
</t>
      </text>
    </comment>
    <comment authorId="827" xr:uid="{e5f2648a-0059-478c-93a2-89f02a2fcc8c}" ref="A1">
      <text>
        <t xml:space="preserve">[Threaded comment]
 Your version of Excel allows you to read this threaded comment; however, any edits to it will get removed if the file is opened in a newer version of Excel. Learn more: https://go.microsoft.com/fwlink/?linkid=870924
Comment:
	Alicia to be billed at COE $500 for Showcase photos and sign install $139
</t>
      </text>
    </comment>
    <comment authorId="828" xr:uid="{e5f8e561-3909-44ff-971a-ac600b0d52b2}" ref="A1">
      <text>
        <t xml:space="preserve">[Threaded comment]
 Your version of Excel allows you to read this threaded comment; however, any edits to it will get removed if the file is opened in a newer version of Excel. Learn more: https://go.microsoft.com/fwlink/?linkid=870924
Comment:
	10.2 Commission is flat rate 1K.
</t>
      </text>
    </comment>
    <comment authorId="829" xr:uid="{e612c0b6-295e-4b79-820d-9c34d7e5c9f7}" ref="A1">
      <text>
        <t xml:space="preserve">[Threaded comment]
 Your version of Excel allows you to read this threaded comment; however, any edits to it will get removed if the file is opened in a newer version of Excel. Learn more: https://go.microsoft.com/fwlink/?linkid=870924
Comment:
	HIDATSA ST. @isabel@coryhometeam.com VERIFIED
Assigned to isabel@coryhometeam.com
</t>
      </text>
    </comment>
    <comment authorId="830" xr:uid="{e62563bd-4ea2-4f1d-831b-4041974741c9}" ref="A1">
      <text>
        <t xml:space="preserve">[Threaded comment]
 Your version of Excel allows you to read this threaded comment; however, any edits to it will get removed if the file is opened in a newer version of Excel. Learn more: https://go.microsoft.com/fwlink/?linkid=870924
Comment:
	5.16 COE extended to 6.20. ETA form out for signature.
</t>
      </text>
    </comment>
    <comment authorId="831" xr:uid="{e66d87d7-1465-4074-a2e4-2c73c8ed1a3f}" ref="A1">
      <text>
        <t xml:space="preserve">[Threaded comment]
 Your version of Excel allows you to read this threaded comment; however, any edits to it will get removed if the file is opened in a newer version of Excel. Learn more: https://go.microsoft.com/fwlink/?linkid=870924
Comment:
	SECO DR @isabel@coryhometeam.com VERIFIED
Assigned to isabel@coryhometeam.com
</t>
      </text>
    </comment>
    <comment authorId="832" xr:uid="{e6dbba0c-bb08-4900-8ca4-0d6140992285}" ref="A1">
      <text>
        <t xml:space="preserve">[Threaded comment]
 Your version of Excel allows you to read this threaded comment; however, any edits to it will get removed if the file is opened in a newer version of Excel. Learn more: https://go.microsoft.com/fwlink/?linkid=870924
Comment:
	CHT guaranteed home warranty to Buyer.
</t>
      </text>
    </comment>
    <comment authorId="833" xr:uid="{e74e1d5a-7da4-4d42-a065-d8b99dd201d5}" ref="A1">
      <text>
        <t xml:space="preserve">[Threaded comment]
 Your version of Excel allows you to read this threaded comment; however, any edits to it will get removed if the file is opened in a newer version of Excel. Learn more: https://go.microsoft.com/fwlink/?linkid=870924
Comment:
	Seller needed to close concurrently with the replacement home on 09/08.
</t>
      </text>
    </comment>
    <comment authorId="834" xr:uid="{e790496a-8cf5-4c30-8a41-b80d4391d7e2}" ref="A1">
      <text>
        <t xml:space="preserve">[Threaded comment]
 Your version of Excel allows you to read this threaded comment; however, any edits to it will get removed if the file is opened in a newer version of Excel. Learn more: https://go.microsoft.com/fwlink/?linkid=870924
Comment:
	16425 Trailblazer Ave
AM verified.
@isabel@coryhometeam.com 
@kenia@coryhometeam.com 
7.7 CI sent to Escrow.
Assigned to isabel@coryhometeam.com
</t>
      </text>
    </comment>
    <comment authorId="835" xr:uid="{e7ee8fc1-c639-4db2-8b9a-6105990efe0f}" ref="A1">
      <text>
        <t xml:space="preserve">[Threaded comment]
 Your version of Excel allows you to read this threaded comment; however, any edits to it will get removed if the file is opened in a newer version of Excel. Learn more: https://go.microsoft.com/fwlink/?linkid=870924
Comment:
	@nichole@coryhometeam.com Please advise ISA to submit appt form. Not found in our 2025 Spreadsheet
Assigned to nichole@coryhometeam.com
</t>
      </text>
    </comment>
    <comment authorId="836" xr:uid="{e80532e8-50d4-4e0e-a56c-1b1c3e52ad9b}"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is this Opendoor of Flex Sellers. Im not sure what to do with the FUB Record
Assigned to isabel@coryhometeam.com
</t>
      </text>
    </comment>
    <comment authorId="837" xr:uid="{e838a445-f14d-46eb-9c3b-f22198c7d177}" ref="A1">
      <text>
        <t xml:space="preserve">[Threaded comment]
 Your version of Excel allows you to read this threaded comment; however, any edits to it will get removed if the file is opened in a newer version of Excel. Learn more: https://go.microsoft.com/fwlink/?linkid=870924
Comment:
	Per EM from Myrna 11/17/25 - she is crediting from her commission $500 to the Buyer toward closing cost.
</t>
      </text>
    </comment>
    <comment authorId="838" xr:uid="{e8f761e6-edb4-4868-a694-ee243b6c0e92}" ref="A1">
      <text>
        <t xml:space="preserve">[Threaded comment]
 Your version of Excel allows you to read this threaded comment; however, any edits to it will get removed if the file is opened in a newer version of Excel. Learn more: https://go.microsoft.com/fwlink/?linkid=870924
Comment:
	ETA provided.
</t>
      </text>
    </comment>
    <comment authorId="839" xr:uid="{e92158b5-1d8c-4816-b123-e96183b8cbf8}" ref="A1">
      <text>
        <t xml:space="preserve">[Threaded comment]
 Your version of Excel allows you to read this threaded comment; however, any edits to it will get removed if the file is opened in a newer version of Excel. Learn more: https://go.microsoft.com/fwlink/?linkid=870924
Comment:
	@kenia@coryhometeam.com 
@aileen@coryhometeam.com 
This will need a MT to change the commission, there is no longer a CO-OP with our Listings. This is negotiated during the offer negotiations. 
Let me know if you need a template for how this needs to be worde and check with LA on what they want for their commission.
Assigned to kenia@coryhometeam.com
Reply:
	Hi Alexis, 3% is LA commission amount.
Reply:
	@Alexis @Aileen
</t>
      </text>
    </comment>
    <comment authorId="840" xr:uid="{e977eb3d-57f9-4503-8943-8fc53eab788d}" ref="A1">
      <text>
        <t xml:space="preserve">[Threaded comment]
 Your version of Excel allows you to read this threaded comment; however, any edits to it will get removed if the file is opened in a newer version of Excel. Learn more: https://go.microsoft.com/fwlink/?linkid=870924
Comment:
	2.26 60 days after the removal of COP.
</t>
      </text>
    </comment>
    <comment authorId="841" xr:uid="{e9e4b9e5-eb93-49d2-b937-dcf4e356e5ac}" ref="A1">
      <text>
        <t xml:space="preserve">[Threaded comment]
 Your version of Excel allows you to read this threaded comment; however, any edits to it will get removed if the file is opened in a newer version of Excel. Learn more: https://go.microsoft.com/fwlink/?linkid=870924
Comment:
	12.4 As per ETA1 all contingencies to be extended to 12.17.
</t>
      </text>
    </comment>
    <comment authorId="842" xr:uid="{e9fea6b8-87cf-47c3-9db3-7e9cd24b9780}" ref="A1">
      <text>
        <t xml:space="preserve">[Threaded comment]
 Your version of Excel allows you to read this threaded comment; however, any edits to it will get removed if the file is opened in a newer version of Excel. Learn more: https://go.microsoft.com/fwlink/?linkid=870924
Comment:
	4.21 CR FULL moved to 4.23 per ETA1.
</t>
      </text>
    </comment>
    <comment authorId="843" xr:uid="{ea6fdec6-5058-40d7-96d4-06e14c02d1d5}" ref="A1">
      <text>
        <t xml:space="preserve">[Threaded comment]
 Your version of Excel allows you to read this threaded comment; however, any edits to it will get removed if the file is opened in a newer version of Excel. Learn more: https://go.microsoft.com/fwlink/?linkid=870924
Comment:
	PARKLAND AVE @isabel@coryhometeam.com VERIFIED
Assigned to isabel@coryhometeam.com
</t>
      </text>
    </comment>
    <comment authorId="844" xr:uid="{ea9cee1e-1080-4df1-9eb7-db4f2b968129}"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3.13 CI sent to Escrow.
Assigned to isabel@coryhometeam.com
</t>
      </text>
    </comment>
    <comment authorId="845" xr:uid="{eae2ebe9-d09a-411b-858b-4325d2a1fbc2}" ref="A1">
      <text>
        <t xml:space="preserve">[Threaded comment]
 Your version of Excel allows you to read this threaded comment; however, any edits to it will get removed if the file is opened in a newer version of Excel. Learn more: https://go.microsoft.com/fwlink/?linkid=870924
Comment:
	3911 Bryce Ct 
AM verified.
@isabel@coryhometeam.com 
@kenia@coryhometeam.com 
7.25 CI sent to Escrow.
Assigned to isabel@coryhometeam.com
</t>
      </text>
    </comment>
    <comment authorId="846" xr:uid="{eb2a33b2-1f71-4be8-87d2-7f89478b7090}" ref="A1">
      <text>
        <t xml:space="preserve">[Threaded comment]
 Your version of Excel allows you to read this threaded comment; however, any edits to it will get removed if the file is opened in a newer version of Excel. Learn more: https://go.microsoft.com/fwlink/?linkid=870924
Comment:
	Approved by Mel as per agent.
</t>
      </text>
    </comment>
    <comment authorId="847" xr:uid="{eb4e3355-36b1-4880-be6b-2665263376a3}" ref="A1">
      <text>
        <t xml:space="preserve">[Threaded comment]
 Your version of Excel allows you to read this threaded comment; however, any edits to it will get removed if the file is opened in a newer version of Excel. Learn more: https://go.microsoft.com/fwlink/?linkid=870924
Comment:
	All parties agree purchase price to be $800K as per ADM #1
</t>
      </text>
    </comment>
    <comment authorId="848" xr:uid="{eb952a2b-8a94-4a10-a047-92c9d85e1d90}" ref="A1">
      <text>
        <t xml:space="preserve">[Threaded comment]
 Your version of Excel allows you to read this threaded comment; however, any edits to it will get removed if the file is opened in a newer version of Excel. Learn more: https://go.microsoft.com/fwlink/?linkid=870924
Comment:
	31250 Comotilo Ct
AM verified.
@isabel@coryhometeam.com
@kenia@coryhometeam.com
11.14 CI sent to Escrow.
Assigned to isabel@coryhometeam.com
</t>
      </text>
    </comment>
    <comment authorId="849" xr:uid="{ebae0f62-7f46-425d-b607-7a8f426b56c2}" ref="A1">
      <text>
        <t xml:space="preserve">[Threaded comment]
 Your version of Excel allows you to read this threaded comment; however, any edits to it will get removed if the file is opened in a newer version of Excel. Learn more: https://go.microsoft.com/fwlink/?linkid=870924
Comment:
	Close of Seller's Replacement Property, SPRP
</t>
      </text>
    </comment>
    <comment authorId="850" xr:uid="{ec656f8b-eead-41a8-9419-828e312cd262}" ref="A1">
      <text>
        <t xml:space="preserve">[Threaded comment]
 Your version of Excel allows you to read this threaded comment; however, any edits to it will get removed if the file is opened in a newer version of Excel. Learn more: https://go.microsoft.com/fwlink/?linkid=870924
Comment:
	In process of completing eXp contract
</t>
      </text>
    </comment>
    <comment authorId="851" xr:uid="{ec868d9d-cb68-4ec2-b5b7-4be631e4f7c1}"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12.17 Waiting on the confirmation. The 595 fee is missing in the BRBC form.
Reply:
	@rafael@coryhometeam.com 
12.18 Per Kenia: I confirmed with the buyer's agent. $595.00 will be paid by the buyer out of the remainder percentage *No additional commission paid buyer.
</t>
      </text>
    </comment>
    <comment authorId="852" xr:uid="{ec97e5a5-6d50-417a-903c-4f7f0943728c}" ref="A1">
      <text>
        <t xml:space="preserve">[Threaded comment]
 Your version of Excel allows you to read this threaded comment; however, any edits to it will get removed if the file is opened in a newer version of Excel. Learn more: https://go.microsoft.com/fwlink/?linkid=870924
Comment:
	OSO LN @isabel@coryhometeam.com VERIFIED
</t>
      </text>
    </comment>
    <comment authorId="853" xr:uid="{ecfd07cf-3a5a-4f63-9097-fe229dd75406}" ref="A1">
      <text>
        <t xml:space="preserve">[Threaded comment]
 Your version of Excel allows you to read this threaded comment; however, any edits to it will get removed if the file is opened in a newer version of Excel. Learn more: https://go.microsoft.com/fwlink/?linkid=870924
Comment:
	This the cost for the Sellers Home Warranty Coverage $353.40 during the Listing Period is off the top.
Reply:
	Alicia to pay $3K out of her commission to Seller as credit.
</t>
      </text>
    </comment>
    <comment authorId="854" xr:uid="{ed02bcf7-c26f-434a-85bf-794f3c3fb25b}" ref="A1">
      <text>
        <t xml:space="preserve">[Threaded comment]
 Your version of Excel allows you to read this threaded comment; however, any edits to it will get removed if the file is opened in a newer version of Excel. Learn more: https://go.microsoft.com/fwlink/?linkid=870924
Comment:
	3.3 Per Kenia: Hi Monica, I have a request for a Revised CDA for commission from 2.5% to 2% from Rachele's Commission.
</t>
      </text>
    </comment>
    <comment authorId="855" xr:uid="{ed503f76-0496-420b-9e75-d95d8fc16c30}" ref="AD37">
      <text>
        <t xml:space="preserve">[Threaded comment]
 Your version of Excel allows you to read this threaded comment; however, any edits to it will get removed if the file is opened in a newer version of Excel. Learn more: https://go.microsoft.com/fwlink/?linkid=870924
Comment:
	$589.00
</t>
      </text>
    </comment>
    <comment authorId="856" xr:uid="{ed71d9d1-53fb-467b-9055-79ad31d9b3e0}"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2.13 CI sent to Escrow.
Assigned to isabel@coryhometeam.com
</t>
      </text>
    </comment>
    <comment authorId="857" xr:uid="{ed991098-8b3b-4491-a83c-05bb265142ea}" ref="A1">
      <text>
        <t xml:space="preserve">[Threaded comment]
 Your version of Excel allows you to read this threaded comment; however, any edits to it will get removed if the file is opened in a newer version of Excel. Learn more: https://go.microsoft.com/fwlink/?linkid=870924
Comment:
	Document issues with the lender and the mobile home park. Working on a resolution or possibly need to change banks.
</t>
      </text>
    </comment>
    <comment authorId="858" xr:uid="{edb50359-1661-4c72-9425-7eecd9032071}" ref="A1">
      <text>
        <t xml:space="preserve">[Threaded comment]
 Your version of Excel allows you to read this threaded comment; however, any edits to it will get removed if the file is opened in a newer version of Excel. Learn more: https://go.microsoft.com/fwlink/?linkid=870924
Comment:
	ALDERWOOD AVE @isabel@coryhometeam.com VERIFIED
Assigned to isabel@coryhometeam.com
</t>
      </text>
    </comment>
    <comment authorId="859" xr:uid="{edc4ad47-dba9-4aa6-be51-737a2026b9d8}" ref="A1">
      <text>
        <t xml:space="preserve">[Threaded comment]
 Your version of Excel allows you to read this threaded comment; however, any edits to it will get removed if the file is opened in a newer version of Excel. Learn more: https://go.microsoft.com/fwlink/?linkid=870924
Comment:
	Per Blake convo with Alexis/Bridget the admin fee is being waived
</t>
      </text>
    </comment>
    <comment authorId="860" xr:uid="{eddf27b4-e6cf-460b-9008-655dc52c9349}" ref="A1">
      <text>
        <t xml:space="preserve">[Threaded comment]
 Your version of Excel allows you to read this threaded comment; however, any edits to it will get removed if the file is opened in a newer version of Excel. Learn more: https://go.microsoft.com/fwlink/?linkid=870924
Comment:
	HARVARD DR @isabel@coryhometeam.com VERIFIED
Assigned to isabel@coryhometeam.com
</t>
      </text>
    </comment>
    <comment authorId="861" xr:uid="{edf42921-d1cd-41b1-b710-90c88aa26bff}" ref="A1">
      <text>
        <t xml:space="preserve">[Threaded comment]
 Your version of Excel allows you to read this threaded comment; however, any edits to it will get removed if the file is opened in a newer version of Excel. Learn more: https://go.microsoft.com/fwlink/?linkid=870924
Comment:
	1.10 New COE date is 1.10 per ETA.
</t>
      </text>
    </comment>
    <comment authorId="862" xr:uid="{ee3a95bb-c33a-43c7-a571-ab4f15fdd1a8}" ref="A1">
      <text>
        <t xml:space="preserve">[Threaded comment]
 Your version of Excel allows you to read this threaded comment; however, any edits to it will get removed if the file is opened in a newer version of Excel. Learn more: https://go.microsoft.com/fwlink/?linkid=870924
Comment:
	CHAFFEE ST. @isabel@coryhometeam.com VERIFIED
Assigned to isabel@coryhometeam.com
</t>
      </text>
    </comment>
    <comment authorId="863" xr:uid="{ee7d7674-4a7b-4d8a-90d2-9bfc22209959}"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@dana@coryhometeam.com Please note the deduction has been added.
Assigned to isabel@coryhometeam.com
</t>
      </text>
    </comment>
    <comment authorId="864" xr:uid="{eec6999c-37c5-48e6-bbf4-2f38de6625aa}" ref="A1">
      <text>
        <t xml:space="preserve">[Threaded comment]
 Your version of Excel allows you to read this threaded comment; however, any edits to it will get removed if the file is opened in a newer version of Excel. Learn more: https://go.microsoft.com/fwlink/?linkid=870924
Comment:
	13864 Grant Way
AM verified.
@isabel@coryhometeam.com
@kenia@coryhometeam.com
11.6 CI sent to Escrow.
Assigned to isabel@coryhometeam.com
</t>
      </text>
    </comment>
    <comment authorId="865" xr:uid="{ef54a70e-adb7-4abc-b0e6-ca8ac1cf36f8}"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RLA signed 8/11 Please complete the initial tasks asap. Thank you
Assigned to aileen@coryhometeam.com
</t>
      </text>
    </comment>
    <comment authorId="866" xr:uid="{efdea76e-332e-4b6c-8bae-3dd97be0ef51}" ref="A1">
      <text>
        <t xml:space="preserve">[Threaded comment]
 Your version of Excel allows you to read this threaded comment; however, any edits to it will get removed if the file is opened in a newer version of Excel. Learn more: https://go.microsoft.com/fwlink/?linkid=870924
Comment:
	The Trails Circle @isabel@coryhometeam.com VERIFIED
Assigned to isabel@coryhometeam.com
</t>
      </text>
    </comment>
    <comment authorId="867" xr:uid="{eff3997f-c9d6-439d-8e14-508c1700e831}" ref="A1">
      <text>
        <t xml:space="preserve">[Threaded comment]
 Your version of Excel allows you to read this threaded comment; however, any edits to it will get removed if the file is opened in a newer version of Excel. Learn more: https://go.microsoft.com/fwlink/?linkid=870924
Comment:
	3.26 New COE date from 3.28 to 4.11 per ETA.
</t>
      </text>
    </comment>
    <comment authorId="868" xr:uid="{f0409f86-2b69-4b28-b8ca-95f9217a1fda}" ref="A1">
      <text>
        <t xml:space="preserve">[Threaded comment]
 Your version of Excel allows you to read this threaded comment; however, any edits to it will get removed if the file is opened in a newer version of Excel. Learn more: https://go.microsoft.com/fwlink/?linkid=870924
Comment:
	23894 Sierra Dr
AM Verified.
@isabel@coryhometeam.com 
@kenia@coryhometeam.com 
6.3 CI sent to Escrow.
Assigned to isabel@coryhometeam.com
</t>
      </text>
    </comment>
    <comment authorId="869" xr:uid="{f06ea3b5-9fc8-4193-a906-f03a4518bab5}" ref="A1">
      <text>
        <t xml:space="preserve">[Threaded comment]
 Your version of Excel allows you to read this threaded comment; however, any edits to it will get removed if the file is opened in a newer version of Excel. Learn more: https://go.microsoft.com/fwlink/?linkid=870924
Comment:
	EVERGREEN CREST @isabel@coryhometeam.com VERIFIED
Assigned to isabel@coryhometeam.com
</t>
      </text>
    </comment>
    <comment authorId="870" xr:uid="{f08ce365-5f2c-44cb-8a96-6a91eaa9a509}" ref="A1">
      <text>
        <t xml:space="preserve">[Threaded comment]
 Your version of Excel allows you to read this threaded comment; however, any edits to it will get removed if the file is opened in a newer version of Excel. Learn more: https://go.microsoft.com/fwlink/?linkid=870924
Comment:
	8.11 COE moved to 8.12 per ETA.
Reply:
	8.14 COE moved to 8.14 per ETA.
</t>
      </text>
    </comment>
    <comment authorId="871" xr:uid="{f0e6eefd-8c0f-452c-8533-fbe5983d35dd}" ref="A1">
      <text>
        <t xml:space="preserve">[Threaded comment]
 Your version of Excel allows you to read this threaded comment; however, any edits to it will get removed if the file is opened in a newer version of Excel. Learn more: https://go.microsoft.com/fwlink/?linkid=870924
Comment:
	RUMOR LN @isabel@coryhometeam.com VERIFIED
Assigned to isabel@coryhometeam.com
</t>
      </text>
    </comment>
    <comment authorId="872" xr:uid="{f1b8f9b0-110f-4afe-9326-88ff65fdd5b5}" ref="A1">
      <text>
        <t xml:space="preserve">[Threaded comment]
 Your version of Excel allows you to read this threaded comment; however, any edits to it will get removed if the file is opened in a newer version of Excel. Learn more: https://go.microsoft.com/fwlink/?linkid=870924
Comment:
	@isabel@coryhometeam.com Listing RLA dated 10/2- new splits
Assigned to isabel@coryhometeam.com
</t>
      </text>
    </comment>
    <comment authorId="873" xr:uid="{f1e51367-6def-47aa-937d-472288f055bc}" ref="A1">
      <text>
        <t xml:space="preserve">[Threaded comment]
 Your version of Excel allows you to read this threaded comment; however, any edits to it will get removed if the file is opened in a newer version of Excel. Learn more: https://go.microsoft.com/fwlink/?linkid=870924
Comment:
	This listing was prior to 10/01, old splits should apply.
Reply:
	@isabel@coryhometeam.com
</t>
      </text>
    </comment>
    <comment authorId="874" xr:uid="{f22b4531-a0ac-490a-94d5-3a9c4d1768ca}"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4.4 CI sent to Escrow.
Assigned to isabel@coryhometeam.com
</t>
      </text>
    </comment>
    <comment authorId="875" xr:uid="{f249335c-3325-403c-8073-6e84ddb219f6}" ref="A1">
      <text>
        <t xml:space="preserve">[Threaded comment]
 Your version of Excel allows you to read this threaded comment; however, any edits to it will get removed if the file is opened in a newer version of Excel. Learn more: https://go.microsoft.com/fwlink/?linkid=870924
Comment:
	4400 W Florida Avenue #254
AM verified.
@isabel@coryhometeam.com
@kenia@coryhometeam.com
9.16 CI sent to Escrow.
Assigned to isabel@coryhometeam.com
</t>
      </text>
    </comment>
    <comment authorId="876" xr:uid="{f2499d80-800d-4b18-a53d-2924a3b2cf96}" ref="A1">
      <text>
        <t xml:space="preserve">[Threaded comment]
 Your version of Excel allows you to read this threaded comment; however, any edits to it will get removed if the file is opened in a newer version of Excel. Learn more: https://go.microsoft.com/fwlink/?linkid=870924
Comment:
	11.20 As per ETA3 new COE is 11.26
Reply:
	12.1 New ETA4 to close Dec 1.
</t>
      </text>
    </comment>
    <comment authorId="877" xr:uid="{f2674401-d052-43da-adfc-0a39234a27b9}" ref="A1">
      <text>
        <t xml:space="preserve">[Threaded comment]
 Your version of Excel allows you to read this threaded comment; however, any edits to it will get removed if the file is opened in a newer version of Excel. Learn more: https://go.microsoft.com/fwlink/?linkid=870924
Comment:
	4.29 @kenia@coryhometeam.com 
I am not sure why info for this transaction are missing. I have put back the info I have from TcDocs. Also the TS info in the closing part is disorganized.
Assigned to kenia@coryhometeam.com
</t>
      </text>
    </comment>
    <comment authorId="878" xr:uid="{f2d18444-dd17-4b36-8772-f55f686e07cd}" ref="A1">
      <text>
        <t xml:space="preserve">[Threaded comment]
 Your version of Excel allows you to read this threaded comment; however, any edits to it will get removed if the file is opened in a newer version of Excel. Learn more: https://go.microsoft.com/fwlink/?linkid=870924
Comment:
	4000 Shepherd Rd
8.4 ETA extending inspection &amp; loan to 8.8 for signature.
Reply:
	8.25 Loan extended to 8/28. ETA form out for signature.
</t>
      </text>
    </comment>
    <comment authorId="879" xr:uid="{f3099d6b-251d-4ca8-b894-02cbdd1e72eb}" ref="A1">
      <text>
        <t xml:space="preserve">[Threaded comment]
 Your version of Excel allows you to read this threaded comment; however, any edits to it will get removed if the file is opened in a newer version of Excel. Learn more: https://go.microsoft.com/fwlink/?linkid=870924
Comment:
	SAN JACINTO AVE @isabel@coryhometeam.com VERIFIED
Assigned to isabel@coryhometeam.com
</t>
      </text>
    </comment>
    <comment authorId="880" xr:uid="{f3177327-456a-4bc4-b645-0d36ee8b8479}" ref="A1">
      <text>
        <t xml:space="preserve">[Threaded comment]
 Your version of Excel allows you to read this threaded comment; however, any edits to it will get removed if the file is opened in a newer version of Excel. Learn more: https://go.microsoft.com/fwlink/?linkid=870924
Comment:
	REF 1045 E Vista Way #2 - splits now in SS, Stephanie Carson's EA 60/40 split
</t>
      </text>
    </comment>
    <comment authorId="881" xr:uid="{f346cab8-338d-4925-bfbe-938697e8367a}"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2.6 CI sent to Escrow.
Assigned to isabel@coryhometeam.com
</t>
      </text>
    </comment>
    <comment authorId="882" xr:uid="{f37bf4ec-5100-4875-8945-3052937fbdfc}" ref="A1">
      <text>
        <t xml:space="preserve">[Threaded comment]
 Your version of Excel allows you to read this threaded comment; however, any edits to it will get removed if the file is opened in a newer version of Excel. Learn more: https://go.microsoft.com/fwlink/?linkid=870924
Comment:
	45389 Via Jaca
AM verified.
@isabel@coryhometeam.com
@kenia@coryhometeam.com
10.21 CI sent to Escrow.
Assigned to isabel@coryhometeam.com
</t>
      </text>
    </comment>
    <comment authorId="883" xr:uid="{f3b13ca8-f53f-4e10-9330-cb68d747b9ec}" ref="A1">
      <text>
        <t xml:space="preserve">[Threaded comment]
 Your version of Excel allows you to read this threaded comment; however, any edits to it will get removed if the file is opened in a newer version of Excel. Learn more: https://go.microsoft.com/fwlink/?linkid=870924
Comment:
	750 E Rialto Ave # 77
AM verified.
@isabel@coryhometeam.com 
@kenia@coryhometeam.com 
7.10 CI sent to Escrow.
Assigned to isabel@coryhometeam.com
Reply:
	7.21 AMENDED CI form sent to escrow.
@isabel@coryhometeam.com
</t>
      </text>
    </comment>
    <comment authorId="884" xr:uid="{f443f343-dbb3-484e-86e6-d23d43e67444}" ref="A1">
      <text>
        <t xml:space="preserve">[Threaded comment]
 Your version of Excel allows you to read this threaded comment; however, any edits to it will get removed if the file is opened in a newer version of Excel. Learn more: https://go.microsoft.com/fwlink/?linkid=870924
Comment:
	1499 Old Mountain Ave #145
6.24 Per ADM1, the COE is set for 7/8 or sooner; however, a new ETA is pending signature, with a projected closing date of 7/16.
Reply:
	6.24 ETA COE 7.16 received.
Reply:
	pulled final statement, COE was 7/25, updated from 7/2 to 7/25
Reply:
	Thank you for the update.
</t>
      </text>
    </comment>
    <comment authorId="885" xr:uid="{f47399ff-9ceb-4856-852c-b4a38722b0f4}"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Please process on both boards. RLA was signed on 04/08/25
Assigned to aileen@coryhometeam.com
</t>
      </text>
    </comment>
    <comment authorId="886" xr:uid="{f4927b37-df55-49d9-a89a-dd473d862562}" ref="A1">
      <text>
        <t xml:space="preserve">[Threaded comment]
 Your version of Excel allows you to read this threaded comment; however, any edits to it will get removed if the file is opened in a newer version of Excel. Learn more: https://go.microsoft.com/fwlink/?linkid=870924
Comment:
	Per Builder:
Hello Alexis:
We are aiming for 7/30. But we are awaiting meter installation. Which has been delayed until later in July.
</t>
      </text>
    </comment>
    <comment authorId="887" xr:uid="{f49f25ea-a8e2-4df0-9018-917d340ef6ab}" ref="A1">
      <text>
        <t xml:space="preserve">[Threaded comment]
 Your version of Excel allows you to read this threaded comment; however, any edits to it will get removed if the file is opened in a newer version of Excel. Learn more: https://go.microsoft.com/fwlink/?linkid=870924
Comment:
	Had to remove one buyer and this required new HCD title to be ordered which is 4-6 weeks out.
</t>
      </text>
    </comment>
    <comment authorId="888" xr:uid="{f6888f47-1e87-46f8-810e-cac76038ec66}" ref="A1">
      <text>
        <t xml:space="preserve">[Threaded comment]
 Your version of Excel allows you to read this threaded comment; however, any edits to it will get removed if the file is opened in a newer version of Excel. Learn more: https://go.microsoft.com/fwlink/?linkid=870924
Comment:
	S STATE ST 282 @isabel@coryhometeam.com VERIFIED
Assigned to isabel@coryhometeam.com
</t>
      </text>
    </comment>
    <comment authorId="889" xr:uid="{f6a5b305-2b5b-48bc-8117-06ec4deca4b3}" ref="A1">
      <text>
        <t xml:space="preserve">[Threaded comment]
 Your version of Excel allows you to read this threaded comment; however, any edits to it will get removed if the file is opened in a newer version of Excel. Learn more: https://go.microsoft.com/fwlink/?linkid=870924
Comment:
	1220 Auburn Street
AM verified.
@isabel@coryhometeam.com 
@kenia@coryhometeam.com 
5.29 CI sent to Escrow.
Assigned to isabel@coryhometeam.com
</t>
      </text>
    </comment>
    <comment authorId="890" xr:uid="{f6a6c779-fe72-4c9b-a0bf-b45c624d56c2}" ref="A1">
      <text>
        <t xml:space="preserve">[Threaded comment]
 Your version of Excel allows you to read this threaded comment; however, any edits to it will get removed if the file is opened in a newer version of Excel. Learn more: https://go.microsoft.com/fwlink/?linkid=870924
Comment:
	COUR MEYNEY @isabel@coryhometeam.com VERIFIED
Assigned to isabel@coryhometeam.com
</t>
      </text>
    </comment>
    <comment authorId="891" xr:uid="{f6a7a185-b0d1-447a-b2fd-e960f5987da2}" ref="A1">
      <text>
        <t xml:space="preserve">[Threaded comment]
 Your version of Excel allows you to read this threaded comment; however, any edits to it will get removed if the file is opened in a newer version of Excel. Learn more: https://go.microsoft.com/fwlink/?linkid=870924
Comment:
	566 Ebbtide Cir
8.4 COE extended to to 8.6.
</t>
      </text>
    </comment>
    <comment authorId="892" xr:uid="{f6d9cf9d-510f-4933-9942-bc1f17d27d34}" ref="A1">
      <text>
        <t xml:space="preserve">[Threaded comment]
 Your version of Excel allows you to read this threaded comment; however, any edits to it will get removed if the file is opened in a newer version of Excel. Learn more: https://go.microsoft.com/fwlink/?linkid=870924
Comment:
	$589.00
</t>
      </text>
    </comment>
    <comment authorId="893" xr:uid="{f6e22ea7-10a4-43d4-8d34-2b8ee4754289}"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2.28 CI sent to Escrow.
Assigned to isabel@coryhometeam.com
</t>
      </text>
    </comment>
    <comment authorId="894" xr:uid="{f73834ff-56fd-46d1-b15c-831f79db59cd}" ref="A1">
      <text>
        <t xml:space="preserve">[Threaded comment]
 Your version of Excel allows you to read this threaded comment; however, any edits to it will get removed if the file is opened in a newer version of Excel. Learn more: https://go.microsoft.com/fwlink/?linkid=870924
Comment:
	432 Edgehill Ln #134
AM verified.
@isabel@coryhometeam.com
@kenia@coryhometeam.com
11.10 CI sent to Escrow.
Assigned to isabel@coryhometeam.com
</t>
      </text>
    </comment>
    <comment authorId="895" xr:uid="{f75fd022-a621-4bf2-b2e0-4ac7fc863ead}" ref="A1">
      <text>
        <t xml:space="preserve">[Threaded comment]
 Your version of Excel allows you to read this threaded comment; however, any edits to it will get removed if the file is opened in a newer version of Excel. Learn more: https://go.microsoft.com/fwlink/?linkid=870924
Comment:
	This listing was prior to 10/01, old splits should apply.
Reply:
	@isabel@coryhometeam.com
</t>
      </text>
    </comment>
    <comment authorId="896" xr:uid="{f780481f-f9d9-463d-9c85-306603f7fbdf}" ref="A1">
      <text>
        <t xml:space="preserve">[Threaded comment]
 Your version of Excel allows you to read this threaded comment; however, any edits to it will get removed if the file is opened in a newer version of Excel. Learn more: https://go.microsoft.com/fwlink/?linkid=870924
Comment:
	This is a divorce, all communication needs to be the same in separate emails.
</t>
      </text>
    </comment>
    <comment authorId="897" xr:uid="{f7814ac3-d398-43a2-8be8-8946378a3c17}" ref="A1">
      <text>
        <t xml:space="preserve">[Threaded comment]
 Your version of Excel allows you to read this threaded comment; however, any edits to it will get removed if the file is opened in a newer version of Excel. Learn more: https://go.microsoft.com/fwlink/?linkid=870924
Comment:
	1383 Haven Tree Ln
AM verified.
@isabel@coryhometeam.com
@kenia@coryhometeam.com
9.25 CI sent to Escrow.
Assigned to isabel@coryhometeam.com
</t>
      </text>
    </comment>
    <comment authorId="898" xr:uid="{f7c29625-c8a3-486f-8ad3-f03661165415}" ref="A1">
      <text>
        <t xml:space="preserve">[Threaded comment]
 Your version of Excel allows you to read this threaded comment; however, any edits to it will get removed if the file is opened in a newer version of Excel. Learn more: https://go.microsoft.com/fwlink/?linkid=870924
Comment:
	Solar could not transfer. All parties needed to work on agreement to keep the deal in place.
</t>
      </text>
    </comment>
    <comment authorId="899" xr:uid="{f85b6854-8c65-4d1d-8902-d4b36887399f}" ref="A1">
      <text>
        <t xml:space="preserve">[Threaded comment]
 Your version of Excel allows you to read this threaded comment; however, any edits to it will get removed if the file is opened in a newer version of Excel. Learn more: https://go.microsoft.com/fwlink/?linkid=870924
Comment:
	S SMITH AVE #5 @isabel@coryhometeam.com VERIFIED
Assigned to isabel@coryhometeam.com
</t>
      </text>
    </comment>
    <comment authorId="900" xr:uid="{f90e7227-2f46-4015-b7cc-cd9c9fd78258}" ref="A1">
      <text>
        <t xml:space="preserve">[Threaded comment]
 Your version of Excel allows you to read this threaded comment; however, any edits to it will get removed if the file is opened in a newer version of Excel. Learn more: https://go.microsoft.com/fwlink/?linkid=870924
Comment:
	Please see comment on tab 67 A.
</t>
      </text>
    </comment>
    <comment authorId="901" xr:uid="{f96d5431-0be7-4e0d-abfa-972161c750ff}" ref="X32">
      <text>
        <t xml:space="preserve">[Threaded comment]
 Your version of Excel allows you to read this threaded comment; however, any edits to it will get removed if the file is opened in a newer version of Excel. Learn more: https://go.microsoft.com/fwlink/?linkid=870924
Comment:
	All timelines under this agreement shall commence the day after the Seller delivers written notice to the Buyer removing the Finding Replacement Property Contingency specified in Paragraph 1A.
</t>
      </text>
    </comment>
    <comment authorId="902" xr:uid="{f9e77ea2-c396-4b93-9954-66c86771aabf}" ref="A1">
      <text>
        <t xml:space="preserve">[Threaded comment]
 Your version of Excel allows you to read this threaded comment; however, any edits to it will get removed if the file is opened in a newer version of Excel. Learn more: https://go.microsoft.com/fwlink/?linkid=870924
Comment:
	DEVONSHIRE LN @isabel@coryhometeam.com VERIFIED
Assigned to isabel@coryhometeam.com
</t>
      </text>
    </comment>
    <comment authorId="903" xr:uid="{fa2152a3-0965-42fb-84ff-534bab17a4e4}" ref="A1">
      <text>
        <t xml:space="preserve">[Threaded comment]
 Your version of Excel allows you to read this threaded comment; however, any edits to it will get removed if the file is opened in a newer version of Excel. Learn more: https://go.microsoft.com/fwlink/?linkid=870924
Comment:
	@aileen@coryhometeam.com Can you get the information on this one completed? Home details are on the MLS sheet.
Assigned to aileen@coryhometeam.com
</t>
      </text>
    </comment>
    <comment authorId="904" xr:uid="{fa239c5b-35f7-4aee-9484-3d51ed451cc0}" ref="A1">
      <text>
        <t xml:space="preserve">[Threaded comment]
 Your version of Excel allows you to read this threaded comment; however, any edits to it will get removed if the file is opened in a newer version of Excel. Learn more: https://go.microsoft.com/fwlink/?linkid=870924
Comment:
	@kenia@coryhometeam.com @rafael@coryhometeam.com Please confirm correct property address. Zillow PA shows transaction address is 44521 state HWY 74, #68, Hemet, CA 92545
Assigned to kenia@coryhometeam.com
Reply:
	Hi Remy! As per MLS sheet the correct address is 45521 State Highway 74 #68 Hemet, CA 92544. The HWY is an abbreviation for Highway. Please let know if this helps. Thank you!
</t>
      </text>
    </comment>
    <comment authorId="905" xr:uid="{fa399b80-99e8-48b7-b5d6-4275fa252cb2}" ref="A1">
      <text>
        <t xml:space="preserve">[Threaded comment]
 Your version of Excel allows you to read this threaded comment; however, any edits to it will get removed if the file is opened in a newer version of Excel. Learn more: https://go.microsoft.com/fwlink/?linkid=870924
Comment:
	CHT to cover GOD plan 
$725.00 for Home Warranty Plan w ORHP
</t>
      </text>
    </comment>
    <comment authorId="906" xr:uid="{fa8ca91b-4677-4c82-a524-efd15a402f63}" ref="A1">
      <text>
        <t xml:space="preserve">[Threaded comment]
 Your version of Excel allows you to read this threaded comment; however, any edits to it will get removed if the file is opened in a newer version of Excel. Learn more: https://go.microsoft.com/fwlink/?linkid=870924
Comment:
	@alexis@coryhometeam.com @aileen@coryhometeam.com Not found in the CHT Listing Board
Assigned to alexis@coryhometeam.com
Reply:
	Hi Remy -
I see it, Line 42 on the Listing Board and Line 52 on the Agent Listing Board
</t>
      </text>
    </comment>
    <comment authorId="907" xr:uid="{faca8c53-7ab3-4109-906e-4820eb77f495}" ref="A1">
      <text>
        <t xml:space="preserve">[Threaded comment]
 Your version of Excel allows you to read this threaded comment; however, any edits to it will get removed if the file is opened in a newer version of Excel. Learn more: https://go.microsoft.com/fwlink/?linkid=870924
Comment:
	@jamesa@coryhometeam.com 
12.6 2% from the Seller 1% from the Buyer.
Assigned to jamesa@coryhometeam.com
Reply:
	final check is only at 2% - Seller (no 1% from buyer)
</t>
      </text>
    </comment>
    <comment authorId="908" xr:uid="{fb0b4edb-e77a-4d67-b1ba-6826b73f9987}" ref="A1">
      <text>
        <t xml:space="preserve">[Threaded comment]
 Your version of Excel allows you to read this threaded comment; however, any edits to it will get removed if the file is opened in a newer version of Excel. Learn more: https://go.microsoft.com/fwlink/?linkid=870924
Comment:
	1455 S State St #282
9.15 Per ADM1 line #2 in SCO1 is 28 days or sooner.
</t>
      </text>
    </comment>
    <comment authorId="909" xr:uid="{fb0f37d7-9565-437c-8f90-a93ba2806aa0}" ref="A1">
      <text>
        <t xml:space="preserve">[Threaded comment]
 Your version of Excel allows you to read this threaded comment; however, any edits to it will get removed if the file is opened in a newer version of Excel. Learn more: https://go.microsoft.com/fwlink/?linkid=870924
Comment:
	S RIVERSIDE @isabel@coryhometeam.com
VERIFIED
Assigned to isabel@coryhometeam.com
</t>
      </text>
    </comment>
    <comment authorId="910" xr:uid="{fb176d8d-4ab9-453b-93ea-2792c50cfb74}" ref="A1">
      <text>
        <t xml:space="preserve">[Threaded comment]
 Your version of Excel allows you to read this threaded comment; however, any edits to it will get removed if the file is opened in a newer version of Excel. Learn more: https://go.microsoft.com/fwlink/?linkid=870924
Comment:
	per TC Seller is paying
</t>
      </text>
    </comment>
    <comment authorId="911" xr:uid="{fba0dff9-4663-4b9a-ad73-a657c7f7a662}" ref="A1">
      <text>
        <t xml:space="preserve">[Threaded comment]
 Your version of Excel allows you to read this threaded comment; however, any edits to it will get removed if the file is opened in a newer version of Excel. Learn more: https://go.microsoft.com/fwlink/?linkid=870924
Comment:
	Delays due to solar
Reply:
	Per Mario 06/27/35
Unable to get the Solar resolved, this will most likely cancel.
</t>
      </text>
    </comment>
    <comment authorId="912" xr:uid="{fc943304-4e8c-4851-ac7b-df9e522c37b3}" ref="A1">
      <text>
        <t xml:space="preserve">[Threaded comment]
 Your version of Excel allows you to read this threaded comment; however, any edits to it will get removed if the file is opened in a newer version of Excel. Learn more: https://go.microsoft.com/fwlink/?linkid=870924
Comment:
	@rafael@coryhometeam.com @kenia@coryhometeam.com Can you please update this Monday for next weeks reporting. 11/28/25 is a holiday so will this be Wed 11/26 or Mon 12/01
</t>
      </text>
    </comment>
    <comment authorId="913" xr:uid="{fcc3a908-9170-4c12-bdd5-48573f21c1f2}"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1.16 REVISED CI sent to Escrow.
Assigned to isabel@coryhometeam.com
Reply:
	AM verified.
@isabel@coryhometeam.com 
@kenia@coryhometeam.com 
2.12 CI form send to Escrow.
Isabel, I have BCC you in the email.
</t>
      </text>
    </comment>
    <comment authorId="914" xr:uid="{fcca6a6e-7b47-4f2e-93bc-88b828cc5b1a}" ref="A1">
      <text>
        <t xml:space="preserve">[Threaded comment]
 Your version of Excel allows you to read this threaded comment; however, any edits to it will get removed if the file is opened in a newer version of Excel. Learn more: https://go.microsoft.com/fwlink/?linkid=870924
Comment:
	2.0% from Seller .5% from Buyer
</t>
      </text>
    </comment>
    <comment authorId="915" xr:uid="{fce6a4e3-ce63-474e-b05b-f5057628816e}"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3.17 CI sent to Escrow.
Assigned to isabel@coryhometeam.com
</t>
      </text>
    </comment>
    <comment authorId="916" xr:uid="{fcec030e-eebc-4045-9b4f-23d1a0129b02}" ref="C35">
      <text>
        <t xml:space="preserve">[Threaded comment]
 Your version of Excel allows you to read this threaded comment; however, any edits to it will get removed if the file is opened in a newer version of Excel. Learn more: https://go.microsoft.com/fwlink/?linkid=870924
Comment:
	@alexis@coryhometeam.com commission adjustment to $20k FLAT
Assigned to alexis@coryhometeam.com
Reply:
	@blake@coryhometeam.com I have a MT prepared to send in the morning. I want to explain it to Ryan and Grace before I send it.
Reply:
	@alexis
Marked as done
</t>
      </text>
    </comment>
    <comment authorId="917" xr:uid="{fd0a8476-4361-43c9-80a3-18a06ed7c8ee}" ref="A1">
      <text>
        <t xml:space="preserve">[Threaded comment]
 Your version of Excel allows you to read this threaded comment; however, any edits to it will get removed if the file is opened in a newer version of Excel. Learn more: https://go.microsoft.com/fwlink/?linkid=870924
Comment:
	N MERIDIAN AVE @isabel@coryhometeam.com VERIFIED
Assigned to isabel@coryhometeam.com
</t>
      </text>
    </comment>
    <comment authorId="918" xr:uid="{fd469813-f973-4e16-8351-4fb9566f9509}" ref="A1">
      <text>
        <t xml:space="preserve">[Threaded comment]
 Your version of Excel allows you to read this threaded comment; however, any edits to it will get removed if the file is opened in a newer version of Excel. Learn more: https://go.microsoft.com/fwlink/?linkid=870924
Comment:
	4.30 This transaction included an SCO1 and is subject to a 20-day escrow period.
</t>
      </text>
    </comment>
    <comment authorId="919" xr:uid="{fd4eef3c-1603-4ef4-9e4e-82fee0b6aad8}" ref="A1">
      <text>
        <t xml:space="preserve">[Threaded comment]
 Your version of Excel allows you to read this threaded comment; however, any edits to it will get removed if the file is opened in a newer version of Excel. Learn more: https://go.microsoft.com/fwlink/?linkid=870924
Comment:
	WHIRLAWAY LN @isabel@coryhometeam.com VERIFIED
Assigned to isabel@coryhometeam.com
</t>
      </text>
    </comment>
    <comment authorId="920" xr:uid="{fd6a9673-0ed1-4c82-8f05-e2ffc3e3e366}"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3.26 CI sent to Escrow.
Assigned to isabel@coryhometeam.com
</t>
      </text>
    </comment>
    <comment authorId="921" xr:uid="{fd808b99-0c6d-403a-a7a9-58a3e7abd560}" ref="A1">
      <text>
        <t xml:space="preserve">[Threaded comment]
 Your version of Excel allows you to read this threaded comment; however, any edits to it will get removed if the file is opened in a newer version of Excel. Learn more: https://go.microsoft.com/fwlink/?linkid=870924
Comment:
	MEADOW LN @isabel@coryhometeam.com VERIFIED
Assigned to isabel@coryhometeam.com
</t>
      </text>
    </comment>
    <comment authorId="922" xr:uid="{fdca5dc8-dfd1-4d07-8be2-f6405f45422c}" ref="A1">
      <text>
        <t xml:space="preserve">[Threaded comment]
 Your version of Excel allows you to read this threaded comment; however, any edits to it will get removed if the file is opened in a newer version of Excel. Learn more: https://go.microsoft.com/fwlink/?linkid=870924
Comment:
	4.29 As per ADM1 the total commission of the BA is $8,670.
</t>
      </text>
    </comment>
    <comment authorId="923" xr:uid="{fdd4ea44-bd7e-4401-9a66-f7759f9e4555}" ref="A1">
      <text>
        <t xml:space="preserve">[Threaded comment]
 Your version of Excel allows you to read this threaded comment; however, any edits to it will get removed if the file is opened in a newer version of Excel. Learn more: https://go.microsoft.com/fwlink/?linkid=870924
Comment:
	DENVER CIR @isabel@coryhometeam.com VERIFIED
Assigned to isabel@coryhometeam.com
</t>
      </text>
    </comment>
    <comment authorId="924" xr:uid="{fe8cb1e8-09f0-45dc-bd5d-9fdee9819d9e}" ref="A1">
      <text>
        <t xml:space="preserve">[Threaded comment]
 Your version of Excel allows you to read this threaded comment; however, any edits to it will get removed if the file is opened in a newer version of Excel. Learn more: https://go.microsoft.com/fwlink/?linkid=870924
Comment:
	@kenia@coryhometeam.com Not found on the Listing Board. Is this a Buyer or Seller?
Assigned to kenia@coryhometeam.com
</t>
      </text>
    </comment>
    <comment authorId="925" xr:uid="{fef65de5-7930-44ae-9c6e-16f0f2ca3c34}" ref="A1">
      <text>
        <t xml:space="preserve">[Threaded comment]
 Your version of Excel allows you to read this threaded comment; however, any edits to it will get removed if the file is opened in a newer version of Excel. Learn more: https://go.microsoft.com/fwlink/?linkid=870924
Comment:
	AM verified.
@isabel@coryhometeam.com 
@kenia@coryhometeam.com 
3.3 CI sent to Escrow.
Assigned to isabel@coryhometeam.com
</t>
      </text>
    </comment>
    <comment authorId="926" xr:uid="{ff2114b7-0dec-4ff4-9638-0c8785f701b8}" ref="A1">
      <text>
        <t xml:space="preserve">[Threaded comment]
 Your version of Excel allows you to read this threaded comment; however, any edits to it will get removed if the file is opened in a newer version of Excel. Learn more: https://go.microsoft.com/fwlink/?linkid=870924
Comment:
	RPA Purchase piece $105,000
Price reduction $100,000 per AEA 7/15/25
</t>
      </text>
    </comment>
    <comment authorId="927" xr:uid="{ff3d414e-801e-49cc-8d55-9a4aa9b0cf91}" ref="A1">
      <text>
        <t xml:space="preserve">[Threaded comment]
 Your version of Excel allows you to read this threaded comment; however, any edits to it will get removed if the file is opened in a newer version of Excel. Learn more: https://go.microsoft.com/fwlink/?linkid=870924
Comment:
	Per Blake convo with Alexis/Bridget the transaction fee is being waived
</t>
      </text>
    </comment>
    <comment authorId="928" xr:uid="{ffdf608e-a47d-4199-bcde-42465a57c83b}" ref="A1">
      <text>
        <t xml:space="preserve">[Threaded comment]
 Your version of Excel allows you to read this threaded comment; however, any edits to it will get removed if the file is opened in a newer version of Excel. Learn more: https://go.microsoft.com/fwlink/?linkid=870924
Comment:
	12.19 FULL contingency extended to 12.23 as per ETA1.
</t>
      </text>
    </comment>
    <comment authorId="929" xr:uid="{ffe1b57b-2b0d-46a6-a519-9030a1da19d1}" ref="A1">
      <text>
        <t xml:space="preserve">[Threaded comment]
 Your version of Excel allows you to read this threaded comment; however, any edits to it will get removed if the file is opened in a newer version of Excel. Learn more: https://go.microsoft.com/fwlink/?linkid=870924
Comment:
	A AVENUE @isabel@coryhometeam.com VERIFIED
Assigned to isabel@coryhometeam.com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tc={0176c1d3-f1c1-4381-969a-4f29c6f6cdae}</author>
    <author>tc={0207b054-aa67-4239-b937-e811b1916ca3}</author>
    <author>tc={0279b0c8-87fb-4b34-b106-f71085a19edf}</author>
    <author>tc={03256574-df4e-4ac3-82e6-90846e4f93e7}</author>
    <author>tc={0379492f-1bcf-4dce-9d4e-5d1e3c9ccd33}</author>
    <author>tc={04352627-3308-45f9-a484-04853397d252}</author>
    <author>tc={04d69ffe-997d-47f9-a226-44b32ae3ce01}</author>
    <author>tc={05844334-3e7d-4660-9432-ffd2954b8c21}</author>
    <author>tc={064ea7b5-2f41-48a5-b8f2-13235c4a030c}</author>
    <author>tc={069d3f43-6c3e-4338-bfe5-0cbab51c916d}</author>
    <author>tc={0abae940-5c37-491b-8e7a-f614f40ca599}</author>
    <author>tc={0b3c5904-210a-4c2b-83d7-8372cf7fc9d4}</author>
    <author>tc={0b7c9399-e841-42e3-945d-4aebfe85aaa0}</author>
    <author>tc={0c026348-6c90-48d4-9909-144784bb9b98}</author>
    <author>tc={0ce4679e-be01-486a-ac07-1a0236bbac77}</author>
    <author>tc={11cc2db9-ecbe-4830-bec4-8db4c3247e28}</author>
    <author>tc={12affcce-cb6a-4c1b-b06f-4ac8872e42ff}</author>
    <author>tc={13bd1c89-88a2-4f52-8a3a-bdf4d9dfbb3a}</author>
    <author>tc={140e7a29-f631-400a-be69-16aadff1156d}</author>
    <author>tc={149c1c73-c047-4890-98eb-ac4719750639}</author>
    <author>tc={155ee20a-405b-4fed-ba81-aa7f2b9e05b9}</author>
    <author>tc={1764529c-c49a-4a33-a695-21b6e7555607}</author>
    <author>tc={18ce581d-9b97-41e0-a670-a26ca14e7ec7}</author>
    <author>tc={18dca840-594c-415a-898f-06290400e088}</author>
    <author>tc={1a37d403-9fae-4ad0-bd58-08f12697457d}</author>
    <author>tc={1d67c537-ee7a-46a3-bb78-d972c88381ea}</author>
    <author>tc={208c356d-9b94-46fe-92b6-4c67e78f1f47}</author>
    <author>tc={214e741b-2985-4759-887d-6a52eda17c26}</author>
    <author>tc={23e66bab-4c8d-47bd-9440-af0917342579}</author>
    <author>tc={24ae2799-eece-4960-b5f4-e94ec3eb3f79}</author>
    <author>tc={25318809-37cf-4323-9ee4-f7fdbc837d34}</author>
    <author>tc={25537d7b-93d4-4850-98ec-dcd841c27fb3}</author>
    <author>tc={26d72cc8-a930-40bd-a967-4030ce3d1b7d}</author>
    <author>tc={28a11398-6eeb-42b0-b147-17506b00ddd2}</author>
    <author>tc={28be63fd-dfbd-4083-93b9-0b997d82e7c7}</author>
    <author>tc={28e516e1-2b50-4f6b-918a-6ce9139a0143}</author>
    <author>tc={2b1b5db3-84cb-4011-ba88-1fbb9b69b987}</author>
    <author>tc={2b6054e4-97ca-430d-8e86-ee3c5ae93df5}</author>
    <author>tc={2be93820-b966-48e8-8eb9-b476b345f273}</author>
    <author>tc={2be9bbb7-b8cb-4541-ab4e-1044fcb95177}</author>
    <author>tc={2c342f20-2429-408e-b4e7-8e017f48a962}</author>
    <author>tc={2c3459aa-17bb-4f0a-b453-1527da4dcee0}</author>
    <author>tc={2d9b274c-e615-46fe-8a8c-6fd1df3cec44}</author>
    <author>tc={2e09f039-c8dd-421f-85be-58b151651d47}</author>
    <author>tc={2ed6ae5b-b137-437d-99f4-05728c0cab0b}</author>
    <author>tc={2f1fc3de-2463-4c25-866b-4df9b8aeef48}</author>
    <author>tc={2fbf84b8-7efb-464c-881d-3ce2a453d92d}</author>
    <author>tc={2ffe798c-af6a-44c6-bf7c-292b7e63257f}</author>
    <author>tc={3024db79-da7b-4be8-9b9e-333e9357dd19}</author>
    <author>tc={31374be1-1b65-4dd5-94a4-3e18354260cb}</author>
    <author>tc={3391dc5a-41e9-4efa-8e02-33233537256e}</author>
    <author>tc={33efeaa3-d3f7-4e9b-bd3d-e02fbaf2754a}</author>
    <author>tc={345f4cf0-0de4-4310-893f-299765fbabbc}</author>
    <author>tc={34aa89cc-92c9-4d67-9891-4b4ccd95b4aa}</author>
    <author>tc={363e9763-0a85-48a7-bf9a-0bb0ebf3f5a6}</author>
    <author>tc={38189385-c46b-480f-aeb1-8467065a9abb}</author>
    <author>tc={38306b15-8177-4d74-9813-522ef89890c2}</author>
    <author>tc={38b8e0e1-0250-41c8-950d-02dadb47a438}</author>
    <author>tc={3a056a73-89ee-4b61-9c48-67b43b8eb9af}</author>
    <author>tc={3a4e5bf9-dcc4-4f86-8814-b45bf0cbd753}</author>
    <author>tc={3a650ac7-2df9-48c6-8f99-c9864d9f1021}</author>
    <author>tc={3aea3d0f-311f-4820-a36e-a187f59c190f}</author>
    <author>tc={3bb21e1a-ba08-46ab-ac56-76767672c030}</author>
    <author>tc={3c481553-d9bb-4734-ab34-3968ecb4eb97}</author>
    <author>tc={3cef5a94-cd30-4619-9879-4e3b3e529e76}</author>
    <author>tc={3e88c951-89e0-4c50-8b81-ece567081153}</author>
    <author>tc={3ffd9a2e-0494-4f79-960a-b320378b8783}</author>
    <author>tc={4078030f-ad1b-42da-af78-c6434fc5850e}</author>
    <author>tc={40cb564f-9ea5-4497-8fd1-bee19cd95457}</author>
    <author>tc={43bd6c6a-b518-4c7c-8b1a-31a8a70aebea}</author>
    <author>tc={46395d86-c3d5-4e88-8b8f-2b05e85c40d4}</author>
    <author>tc={4701dd43-ba5c-4051-bd47-6d2bc7663934}</author>
    <author>tc={470c2729-6dd0-4fce-aa98-9aea29a33475}</author>
    <author>tc={48f931db-64f1-45b9-bca4-55265d8d92cb}</author>
    <author>tc={4900b645-fadf-42d7-94f4-dd8ae7558821}</author>
    <author>tc={499bd0c6-a357-4c85-a762-0a4a2518c28c}</author>
    <author>tc={4c34ce10-af59-49c3-a0d3-553490e6e68b}</author>
    <author>tc={4f27ce96-1c14-44c9-b0a9-c55e2d1ca437}</author>
    <author>tc={4f7c9313-3c73-4830-a455-76f1e7ee5f5a}</author>
    <author>tc={4fc4a6fc-f07f-4ef1-b8d9-6fd91770793a}</author>
    <author>tc={4febcb9e-9227-4d09-8020-0fcbd411ba31}</author>
    <author>tc={5111617d-de62-4aa7-a924-0260e9c05dcf}</author>
    <author>tc={51222a7b-4512-49d2-a426-f18871b264a8}</author>
    <author>tc={514eb1a2-404c-480c-9214-feb7b5b09a82}</author>
    <author>tc={52326ba2-7549-42b7-9a15-28ebc5bea182}</author>
    <author>tc={52e9cdb0-2ab9-4214-9da9-5a416bfb5064}</author>
    <author>tc={57f24d8d-1b1a-4b72-82dd-a166b11cd766}</author>
    <author>tc={5840c916-7a8c-4209-ad8d-52f0bf6fcfd8}</author>
    <author>tc={59f8dec8-18fe-438a-8beb-96cf219ba44d}</author>
    <author>tc={5a328e3c-46a6-456f-a678-c43bd42b7291}</author>
    <author>tc={5a45e36d-b95b-42f5-bc78-baebeae98333}</author>
    <author>tc={5a6d97fd-5313-4260-bcae-e994795992a0}</author>
    <author>tc={5aec480d-573f-41df-a8fb-005145d3f8ff}</author>
    <author>tc={5cdf61e5-88d6-4900-8809-9567baec8392}</author>
    <author>tc={5e2a5edc-5d02-42ba-8808-98956e6ece1c}</author>
    <author>tc={5e762f1d-4f52-4ba9-9da6-3b1e8a242d28}</author>
    <author>tc={610beadb-37c7-4980-a910-3adcca6bd9e9}</author>
    <author>tc={619d5cd8-e64e-48f7-892b-1f620d8b200e}</author>
    <author>tc={627515d0-ec81-4c15-af44-811dd0c7ec88}</author>
    <author>tc={6277ff8e-4073-4457-9ad3-c26486ced4ad}</author>
    <author>tc={62f23641-f2fb-4fd5-9bcd-2a1316012a99}</author>
    <author>tc={68b5249d-09b7-4d23-8ccb-b05701b1ac0f}</author>
    <author>tc={69bf8095-15ff-4879-811a-e3cf9ab3912e}</author>
    <author>tc={6a1a1e94-5d03-4f5c-9da3-d830b9017b68}</author>
    <author>tc={6a2efaba-edd2-4936-a9e4-992fff02f3b8}</author>
    <author>tc={6af21148-7a7b-4449-9c7d-a9e9e0148db8}</author>
    <author>tc={6bcd1399-bc13-4de5-afca-5b62ef23f6ef}</author>
    <author>tc={6d08247c-6847-48e7-9908-fc33a881e551}</author>
    <author>tc={6e360fd3-0572-447f-ab43-ac40716c2e21}</author>
    <author>tc={6ece101d-a650-48e5-900c-0f945ac6c01e}</author>
    <author>tc={7008cc35-f3b6-4e20-88f5-05b126afc756}</author>
    <author>tc={71905fa0-757c-47f8-9fc9-38efa33a9e6f}</author>
    <author>tc={71e3b0c7-091e-4462-8cfc-57c833ac3b5e}</author>
    <author>tc={730d9edd-7ac7-469d-8d77-ebe58a7114cc}</author>
    <author>tc={7386650b-b404-49df-b7e0-97530362653a}</author>
    <author>tc={746bf927-a954-4cb1-849c-bc7124bf8786}</author>
    <author>tc={749fbe89-bc66-4a1e-8c2d-0aa0000a40de}</author>
    <author>tc={753b7338-cf48-4945-9408-cda2a798afdf}</author>
    <author>tc={759c353c-5052-4b0f-92ad-aa8425678a36}</author>
    <author>tc={7a43ffc3-2d97-4130-a7d4-b673871d8e5a}</author>
    <author>tc={7bea020d-8896-4846-bcea-da7d2ad7e662}</author>
    <author>tc={7e61e757-7500-4aba-9819-7322435fdd74}</author>
    <author>tc={7f4fb3e2-14ca-4a60-8e5e-f846292d9013}</author>
    <author>tc={7ff2e006-5dbe-4509-b7bf-8c937ea8a5e3}</author>
    <author>tc={83700941-d30e-469a-92d3-178fc3858200}</author>
    <author>tc={85b17574-f0f1-484f-9051-584c1dbf2916}</author>
    <author>tc={868e6f30-5051-4921-b6f3-25a6843c36eb}</author>
    <author>tc={872f473c-da78-48e4-ad6b-e7b22ddc07bc}</author>
    <author>tc={8a4e8e2c-1cf1-4a12-be37-20fa0d9c0c01}</author>
    <author>tc={8b0f3fae-5356-4a75-af5e-0f0ec9a2830d}</author>
    <author>tc={8b5c66b2-8f6b-4197-8683-6149bcb75c27}</author>
    <author>tc={8badc98f-f4ee-40b7-9898-396a25fefbcf}</author>
    <author>tc={8c14fb60-63ef-46e7-9f2a-3441a039622d}</author>
    <author>tc={8c51afd7-4797-4449-bab3-29d0d45eb376}</author>
    <author>tc={8e53ae19-d0b0-48af-b9cd-d597a46edca5}</author>
    <author>tc={8ecb6dd7-667d-401c-af4d-cb9d58168a9d}</author>
    <author>tc={8eccb9fd-64b9-4aef-9b75-a09413daf8fb}</author>
    <author>tc={8f1fee8e-d724-4b94-b0e9-e44afd1e50f6}</author>
    <author>tc={8fe87287-1a13-4eee-8e3c-7d6060eae0dc}</author>
    <author>tc={904a0417-15d6-48ec-ba27-4607e7c18e4b}</author>
    <author>tc={90f2b34b-2890-4d6c-b387-4ed1739779da}</author>
    <author>tc={9105c30a-d080-4be5-a918-daa8f9da4348}</author>
    <author>tc={91e125c1-5773-496e-a7de-08939834e085}</author>
    <author>tc={939f3c48-fe16-47ac-8d80-6c7e556f59d6}</author>
    <author>tc={942fe896-12c9-441a-8b70-7d20acb95b31}</author>
    <author>tc={94648257-4d5c-4563-bcec-1355911343ba}</author>
    <author>tc={95645de3-0002-4626-80fa-932489732038}</author>
    <author>tc={965fff37-f17f-47a7-96ed-8544d2c8f901}</author>
    <author>tc={98861945-2746-4393-8139-9e0a53da3174}</author>
    <author>tc={9998a71d-9f92-4245-9724-2a591dd273db}</author>
    <author>tc={9ad02470-af6b-4889-a3d8-d27ed620864f}</author>
    <author>tc={9b088b4d-e74a-44af-b1fc-e55741971b8f}</author>
    <author>tc={9b616e70-2639-4ea3-b46d-9a4411adf018}</author>
    <author>tc={9c605553-e02f-41a6-9e00-614d3b51570f}</author>
    <author>tc={9e73886f-3d80-416d-8df1-db1942335812}</author>
    <author>tc={9fc236fc-b837-41c0-9b47-0c18cf6a7fce}</author>
    <author>tc={a323e10e-e567-4c17-98a2-6ad3ef5bdfb8}</author>
    <author>tc={a3470841-d027-45c7-b6c6-0cfc5e44921d}</author>
    <author>tc={a38f6b9d-7eb6-4731-a916-e0e9beb9345d}</author>
    <author>tc={a676f0a1-a3e2-4f38-a315-cbf60c1d6f41}</author>
    <author>tc={a8783086-9581-4444-91c9-0c214f7ee62f}</author>
    <author>tc={a91ec549-9eec-42f0-beda-4f83b080abc0}</author>
    <author>tc={a9696f12-bd7d-4222-bacc-08b67cb6937c}</author>
    <author>tc={aa2fe946-c9c5-4d46-add0-ad08544b29c8}</author>
    <author>tc={ac930ec9-f481-4bfd-aed3-a71432e5e2e1}</author>
    <author>tc={ac96540d-4bdb-48ea-b078-94c6aa482811}</author>
    <author>tc={ae1a1a54-09fb-43d5-ad0c-44ea4180e4bd}</author>
    <author>tc={aece508e-090f-49ce-aff9-fb1d1a6602e3}</author>
    <author>tc={af45f779-e434-41ea-bd2e-88bd2b6b9bbc}</author>
    <author>tc={af97b2b5-3e31-46da-8f66-c6517bd5d4c5}</author>
    <author>tc={afb847fd-7aa2-45b7-8246-b2d04049d694}</author>
    <author>tc={b0c13552-cb70-4759-b330-35bd315d4a90}</author>
    <author>tc={b2605209-484a-40c6-b266-4e8248e6532e}</author>
    <author>tc={b31c6e48-fa2c-42d6-94b6-e53d9dce371c}</author>
    <author>tc={b396c789-6d28-4277-a775-b5bdb709fe0f}</author>
    <author>tc={b4ccbf0a-e028-44ef-8a23-6a2543978c3e}</author>
    <author>tc={b5963ab7-5cff-46ed-9efe-791d9297595f}</author>
    <author>tc={b5aabd48-82d4-4bb1-8ecd-f33c67be6433}</author>
    <author>tc={b5f225b9-0007-40e5-85ff-0de465410ef1}</author>
    <author>tc={b68f809f-3b45-4973-a133-6bc5bcdbcbd8}</author>
    <author>tc={b79e4b00-bcee-4a07-8ee6-7634cf57f2ff}</author>
    <author>tc={b809566d-90f0-4a6d-8f53-336d394fb804}</author>
    <author>tc={b84309f0-042b-48bf-9966-08259e1f356a}</author>
    <author>tc={b873b07b-1772-4994-bb96-495976d2e7a4}</author>
    <author>tc={b8c10659-41d2-4fb6-b551-3e34c5a55a8d}</author>
    <author>tc={bd62354d-4f7b-42cb-840c-2b97290788cd}</author>
    <author>tc={be26a452-39ff-4293-b28d-caab1137cff1}</author>
    <author>tc={bf730d10-8a12-4341-a029-981efa20fd20}</author>
    <author>tc={bfd7fb3d-ffa6-4a3e-854a-73afb3230d90}</author>
    <author>tc={c1dcedd9-37db-4624-af7a-27098565d30e}</author>
    <author>tc={c230365c-5d22-432b-81a8-ef41259c03c6}</author>
    <author>tc={c28c7f60-3ff0-4818-be83-13cbe30fb12b}</author>
    <author>tc={c32ba321-95bc-44e9-b45f-58954289d1af}</author>
    <author>tc={c36cdc31-c021-4d26-8b21-62db0a5ee884}</author>
    <author>tc={c37f5f6f-2a49-4dc7-b05e-642bffc850ea}</author>
    <author>tc={c77d2a14-bf40-44c7-b4b8-8e897ce7901c}</author>
    <author>tc={c8208b2c-c823-4e96-a864-27de0c052319}</author>
    <author>tc={c8e0b4f5-30b6-47cc-ac7b-44922f7198cf}</author>
    <author>tc={c96f6123-b275-4194-9023-73fa9d040cc9}</author>
    <author>tc={ca73ce38-e46e-493c-965c-344bf86d7b87}</author>
    <author>tc={caa4f3ae-51c2-4215-b39e-ba1766856e36}</author>
    <author>tc={cada378a-1e75-4516-89e1-5309c9ae0531}</author>
    <author>tc={cb45c7b9-34a5-4d38-aa9a-f780fe33e74b}</author>
    <author>tc={cc3fb8cb-47d9-409c-9403-1ed9eb7b3ffa}</author>
    <author>tc={cd09acfe-1587-42d3-a440-b0a3a406e27d}</author>
    <author>tc={cd21c3ee-326b-4d4d-93a2-422ab847a6c4}</author>
    <author>tc={ce0d10ca-e0fa-4da6-8d44-1fd3e9d6a53b}</author>
    <author>tc={ce8ea2ab-c2e9-480c-9c9a-06af6cf0343b}</author>
    <author>tc={d1078771-261a-4525-9f59-81daddef2896}</author>
    <author>tc={d1ab496d-5fe7-49ca-8fe1-15096a6e9659}</author>
    <author>tc={d3525386-6d2f-4f8a-a08a-67a426b53905}</author>
    <author>tc={d50ffb79-b1cb-4d8b-bba9-05ad7c79f370}</author>
    <author>tc={d65b412e-bad6-4d47-aae6-559405076b55}</author>
    <author>tc={d6ac1cbd-b68a-4668-928f-960ce18705f7}</author>
    <author>tc={da04759f-da8a-4f0a-927c-abfc3cdcb58b}</author>
    <author>tc={dac0381f-eab6-45cf-a797-6d8b5c83d760}</author>
    <author>tc={dbc20599-6fe5-4233-9740-c1f189b225dc}</author>
    <author>tc={de394105-1c0d-4369-a03f-ca187d27a3e1}</author>
    <author>tc={e052cf95-82bc-4b6b-8b9e-f0fafcb2bdf4}</author>
    <author>tc={e22c8c37-9857-4304-9f5d-7b4968fe7754}</author>
    <author>tc={e3c0507f-47d8-46ef-b31d-a8aafb77f864}</author>
    <author>tc={e3eff6cd-7a70-4d92-8013-57c13452ddf3}</author>
    <author>tc={e405c7eb-e62d-443e-a863-5422e21131ac}</author>
    <author>tc={e4616387-c637-4777-8ab3-118aebb44c8a}</author>
    <author>tc={e6366806-8467-45e7-8927-d47577116a9b}</author>
    <author>tc={e6fa82ff-7225-4e7a-a412-bc08b1087e58}</author>
    <author>tc={e9e189b6-1ef3-43db-878c-fee42961b98a}</author>
    <author>tc={eaf6a6b9-6a55-4734-a8f9-8da467e1f98a}</author>
    <author>tc={ec477429-f1d0-4536-941e-bfe0ae2e84c7}</author>
    <author>tc={ec8130e5-6324-4773-8817-d73428a02f49}</author>
    <author>tc={ee9ea7e2-e70b-4417-9209-d63524ff021f}</author>
    <author>tc={ef01ce2f-cc70-4c54-ab27-7511a26dd4fe}</author>
    <author>tc={f049d856-36bd-4ed3-81a6-7ea5d9708a18}</author>
    <author>tc={f05d0c88-fb40-4a82-bc57-087bbb0079d9}</author>
    <author>tc={f0d1efc1-57ed-42cf-8546-98492a96437b}</author>
    <author>tc={f1cb8ad5-b62f-454b-b3f7-fb77b3684532}</author>
    <author>tc={f26218f9-602f-4ac8-a17f-dc3f1ad36e33}</author>
    <author>tc={f4149e21-1ab8-4c50-bf38-85169ff33838}</author>
    <author>tc={f44d4ef9-1f61-4639-a0ec-6ae738b7f7cb}</author>
    <author>tc={f553d998-1f0b-456f-965f-da09a39e5c50}</author>
    <author>tc={f6fb60c5-dfa3-4c0d-9cbe-b42a81007f1d}</author>
    <author>tc={f8ac8a84-76a0-4999-8305-1bac4dfddadd}</author>
    <author>tc={f8cbf559-9402-4bcd-a09b-1270edf044e2}</author>
    <author>tc={f90d9ce1-1817-402d-8af3-d9af68466b6d}</author>
    <author>tc={f97f7f75-5b22-4c7a-82e8-02c99dea35c5}</author>
    <author>tc={fa920ef4-ba6b-4b82-82bb-751cae4cb617}</author>
    <author>tc={fc81dfda-0dcb-4ac4-9462-68b30ee699c6}</author>
    <author>tc={fd07a50c-46ca-4513-bec3-c526ec7d4541}</author>
    <author>tc={fd8c374f-1074-470a-b113-d1f81a3bcb29}</author>
    <author>tc={fd9e8f47-0ba6-46da-a9a9-c2c8727f2a84}</author>
    <author>tc={fefc46b8-3692-467f-8003-5d6e015eddce}</author>
    <author>tc={ff7c1962-8470-40dc-a338-d59ec520ef06}</author>
    <author>tc={ffbc78df-e9cd-4d35-a077-5f0342cb5d65}</author>
  </authors>
  <commentList>
    <comment authorId="0" ref="AB27">
      <text>
        <t xml:space="preserve">Robert and Allyson Evors
Zillow Preferred (flex)
Zillow created 8/11/2025
closed listing 12/2025 13022 Cypress Ave, Chino, CA 91710</t>
      </text>
    </comment>
    <comment authorId="0" ref="AM99">
      <text>
        <t xml:space="preserve">VLLA listing start date 2/19/2025</t>
      </text>
    </comment>
    <comment authorId="0" ref="AC21">
      <text>
        <t xml:space="preserve">1.14 New price per Carmen $590k</t>
      </text>
    </comment>
    <comment authorId="0" ref="AB147">
      <text>
        <t xml:space="preserve">Closed Buyer/Seller in 2024 &amp; 2025 (by VA-RV)
SOI-Richard Luizzi</t>
      </text>
    </comment>
    <comment authorId="0" ref="I94">
      <text>
        <t xml:space="preserve">Buyer/Seller. ISA will only get credit for the Seller part, not for Buyer (by VA-RV</t>
      </text>
    </comment>
    <comment authorId="0" ref="AB145">
      <text>
        <t xml:space="preserve">changed from Flex Connection to Past Client; Original Source: Flex Connection
SOLD: 7055 Center Ave Rancho Cucamonga CA 91701 c/o Richard Luizzi on 11/30/23
BOUGHT: 22952 Joaquin Ridge Drive Murrieta CA 92562 c/o Mario Munoz on 12/4/23 (VA-RV)</t>
      </text>
    </comment>
    <comment authorId="0" ref="AB209">
      <text>
        <t xml:space="preserve">by VA-RV Closed Buyer on 11/29/22 (Flex-Connection). Now a retirning Client in selling smae property bought</t>
      </text>
    </comment>
    <comment authorId="0" ref="AJ23">
      <text>
        <t xml:space="preserve">Renee to pay. She did not collect this from the Seller on the RLA.</t>
      </text>
    </comment>
    <comment authorId="0" ref="AB75">
      <text>
        <t xml:space="preserve">with referral per Zillow PA</t>
      </text>
    </comment>
    <comment authorId="0" ref="T1">
      <text>
        <t xml:space="preserve">Please use both email and phone number if available.
</t>
      </text>
    </comment>
    <comment authorId="0" ref="AM15">
      <text>
        <t xml:space="preserve">Listing start date 7/22/2025 (RLA)</t>
      </text>
    </comment>
    <comment authorId="0" ref="AM79">
      <text>
        <t xml:space="preserve">EA split</t>
      </text>
    </comment>
    <comment authorId="0" ref="AB131">
      <text>
        <t xml:space="preserve">Seller is Mashaune Thompson (Flex-Connection) -not found in CHT Transaction Report by VA-RV</t>
      </text>
    </comment>
    <comment authorId="0" ref="AM77">
      <text>
        <t xml:space="preserve">EA split</t>
      </text>
    </comment>
    <comment authorId="0" ref="AK106">
      <text>
        <t xml:space="preserve">Zillow 4 yrs - no referral</t>
      </text>
    </comment>
    <comment authorId="0" ref="C200">
      <text>
        <t xml:space="preserve">$1000 of Mercedes split to Carmen</t>
      </text>
    </comment>
    <comment authorId="0" ref="AB224">
      <text>
        <t xml:space="preserve">Seller Richard Lobo - source is Zillow Flex</t>
      </text>
    </comment>
    <comment authorId="0" ref="AB30">
      <text>
        <t xml:space="preserve">Not in FUB; The Seller of 3401 Broadmoor Blvd is Laurel Gunn (Flex Seller) not found in the CHT Transaction report.</t>
      </text>
    </comment>
    <comment authorId="0" ref="AM71">
      <text>
        <t xml:space="preserve">Kiona's SOI 20% off top</t>
      </text>
    </comment>
    <comment authorId="0" ref="AB26">
      <text>
        <t xml:space="preserve">Escrow 1/16/2026
Zillow created 1/22/2026</t>
      </text>
    </comment>
    <comment authorId="0" ref="AY81">
      <text>
        <t xml:space="preserve">Buyer/Seller</t>
      </text>
    </comment>
    <comment authorId="0" ref="AJ1">
      <text>
        <t xml:space="preserve">leave $0 if no additional deduction
 amt</t>
      </text>
    </comment>
    <comment authorId="0" ref="AK1">
      <text>
        <t xml:space="preserve">Calculated including VIP Fee
-upload into skyslope; input referral amount into skyslope
Opcity: ask eXp payment processor for agreement
Zillow Inc: pull referral agreement from PA app 
Homelight: 25%
HCO 25%
SoCalHomeBuyer: 30%
Outside Referral: ask Office Manager
OJO 
under $80,000 - 20%
$80,000 - $125,000 -25%
Over $125,000 - 35%</t>
      </text>
    </comment>
    <comment authorId="0" ref="AD90">
      <text>
        <t xml:space="preserve">Flat Rate Compensation</t>
      </text>
    </comment>
    <comment authorId="0" ref="AL1">
      <text>
        <t xml:space="preserve">Pending tab to reflect original advance amount + 1 month interest, closed tab to be updated with final due amount from seller. confirmed with comments.</t>
      </text>
    </comment>
    <comment authorId="0" ref="AP1">
      <text>
        <t xml:space="preserve">For Aileen</t>
      </text>
    </comment>
    <comment authorId="0" ref="G93">
      <text>
        <t xml:space="preserve">collect $68 sign install (Kiona's email)</t>
      </text>
    </comment>
    <comment authorId="0" ref="G124">
      <text>
        <t xml:space="preserve">Adjustment from EA
Bridget - 3075 Desiree Drive	$618.63; Bridget - 3956 Lavine Way #110	-$526.50
Bridget - unpaid	$92.13</t>
      </text>
    </comment>
    <comment authorId="0" ref="AT1">
      <text>
        <t xml:space="preserve">1. Pending Splits (TC has verified commission/transaction fee/referral fees/concessions) add TS verified comment @isabel
2.Commission Disbursement- Dana approved splits; Commission Disbursement received; Commission breakdown sent to agent
3. Complete- payment remittance received; Isabel verifies correct payment</t>
      </text>
    </comment>
    <comment authorId="0" ref="C180">
      <text>
        <t xml:space="preserve">will be getting a Reimbursement</t>
      </text>
    </comment>
    <comment authorId="0" ref="AO24">
      <text>
        <t xml:space="preserve">3rd formula - New construction
not applicable for future transactions</t>
      </text>
    </comment>
    <comment authorId="0" ref="AJ16">
      <text>
        <t xml:space="preserve">Alicia to pay as Buyer would not agree to it on the BRBC</t>
      </text>
    </comment>
    <comment authorId="0" ref="AV90">
      <text>
        <t xml:space="preserve">Not on the CHT Listing Board,  Per Alexis-It was not added because it was a no MLS listing and Robin brought in both clients.</t>
      </text>
    </comment>
    <comment authorId="0" ref="AB132">
      <text>
        <t xml:space="preserve">Seller of 34842 Lyn Avenue is Sandra Shubert (Flex-Sellers) bought by Stratton Luxe on 12/23/25 (Listing not in 2025 CHT Transaction Sheet only the Buyer side c/o Stratton) by VA-RV</t>
      </text>
    </comment>
    <comment authorId="0" ref="AY121">
      <text>
        <t xml:space="preserve">Buyer/Seller</t>
      </text>
    </comment>
    <comment authorId="0" ref="P50">
      <text>
        <t xml:space="preserve">No Warranty. New Park Model with manufactureres warranty</t>
      </text>
    </comment>
    <comment authorId="0" ref="AI165">
      <text>
        <t xml:space="preserve">Jenna emailed:  $595 fee and $200 dollar TC Fee be taken out of her commission; this is a VA New Build</t>
      </text>
    </comment>
    <comment authorId="1" xr:uid="{0176c1d3-f1c1-4381-969a-4f29c6f6cdae}" ref="AB176">
      <text>
        <t xml:space="preserve">[Threaded comment]
 Your version of Excel allows you to read this threaded comment; however, any edits to it will get removed if the file is opened in a newer version of Excel. Learn more: https://go.microsoft.com/fwlink/?linkid=870924
Comment:
	This is a zillow lead, originally purchased with the same trust with Cheryl as agent @remy@coryhometeam.com @isabel@coryhometeam.com
Reply:
	this is noted
</t>
      </text>
    </comment>
    <comment authorId="2" xr:uid="{0207b054-aa67-4239-b937-e811b1916ca3}" ref="X213">
      <text>
        <t xml:space="preserve">[Threaded comment]
 Your version of Excel allows you to read this threaded comment; however, any edits to it will get removed if the file is opened in a newer version of Excel. Learn more: https://go.microsoft.com/fwlink/?linkid=870924
Comment:
	5.25 ETA1 extending COE to June 8 out for signature.
Reply:
	6.10 ETA2 COE 6.10.
</t>
      </text>
    </comment>
    <comment authorId="3" xr:uid="{0279b0c8-87fb-4b34-b106-f71085a19edf}" ref="AT15">
      <text>
        <t xml:space="preserve">[Threaded comment]
 Your version of Excel allows you to read this threaded comment; however, any edits to it will get removed if the file is opened in a newer version of Excel. Learn more: https://go.microsoft.com/fwlink/?linkid=870924
Comment:
	HYDRUS PI. @isabel@coryhometeam.com
VERIFIED
Assigned to isabel@coryhometeam.com
</t>
      </text>
    </comment>
    <comment authorId="4" xr:uid="{03256574-df4e-4ac3-82e6-90846e4f93e7}" ref="AT103">
      <text>
        <t xml:space="preserve">[Threaded comment]
 Your version of Excel allows you to read this threaded comment; however, any edits to it will get removed if the file is opened in a newer version of Excel. Learn more: https://go.microsoft.com/fwlink/?linkid=870924
Comment:
	HARBINSON AVE @isabel@coryhometeam.com
VERIFIED
Assigned to isabel@coryhometeam.com
</t>
      </text>
    </comment>
    <comment authorId="5" xr:uid="{0379492f-1bcf-4dce-9d4e-5d1e3c9ccd33}" ref="AT43">
      <text>
        <t xml:space="preserve">[Threaded comment]
 Your version of Excel allows you to read this threaded comment; however, any edits to it will get removed if the file is opened in a newer version of Excel. Learn more: https://go.microsoft.com/fwlink/?linkid=870924
Comment:
	2823 Moonshimmer St
AM verified.
@isabel@coryhometeam.com 
@kenia@coryhometeam.com
2.2 CI sent to Escrow.
Assigned to isabel@coryhometeam.com
</t>
      </text>
    </comment>
    <comment authorId="6" xr:uid="{04352627-3308-45f9-a484-04853397d252}" ref="AT46">
      <text>
        <t xml:space="preserve">[Threaded comment]
 Your version of Excel allows you to read this threaded comment; however, any edits to it will get removed if the file is opened in a newer version of Excel. Learn more: https://go.microsoft.com/fwlink/?linkid=870924
Comment:
	YOSEMITE DR @isabel@coryhometeam.com
VERIFIED
Assigned to isabel@coryhometeam.com
</t>
      </text>
    </comment>
    <comment authorId="7" xr:uid="{04d69ffe-997d-47f9-a226-44b32ae3ce01}" ref="AJ4">
      <text>
        <t xml:space="preserve">[Threaded comment]
 Your version of Excel allows you to read this threaded comment; however, any edits to it will get removed if the file is opened in a newer version of Excel. Learn more: https://go.microsoft.com/fwlink/?linkid=870924
Comment:
	$780 to be covered by CHT
$170 to be covered by Robin's commission
No approval was provided with the request to upgrade the coverage to Platinum
</t>
      </text>
    </comment>
    <comment authorId="8" xr:uid="{05844334-3e7d-4660-9432-ffd2954b8c21}" ref="AT202">
      <text>
        <t xml:space="preserve">[Threaded comment]
 Your version of Excel allows you to read this threaded comment; however, any edits to it will get removed if the file is opened in a newer version of Excel. Learn more: https://go.microsoft.com/fwlink/?linkid=870924
Comment:
	SHOSHONEE RD @isabel@coryhometeam.com
VERIFIED
Assigned to isabel@coryhometeam.com
</t>
      </text>
    </comment>
    <comment authorId="9" xr:uid="{064ea7b5-2f41-48a5-b8f2-13235c4a030c}" ref="AJ11">
      <text>
        <t xml:space="preserve">[Threaded comment]
 Your version of Excel allows you to read this threaded comment; however, any edits to it will get removed if the file is opened in a newer version of Excel. Learn more: https://go.microsoft.com/fwlink/?linkid=870924
Comment:
	Kendra Harlan
Tue, Jan 6, 7:31 PM (13 hours ago)
to me
Hey Kenia,
I have to give a $50 per day credit to the sellers due to the delay in closing effective the 1st, so hopefully we close the 8th and it saves me some money, but can you add that credit? 
So either from 1-9 $450 or 1-8 $400. 
Thank you! 
Kendra Harlan
</t>
      </text>
    </comment>
    <comment authorId="10" xr:uid="{069d3f43-6c3e-4338-bfe5-0cbab51c916d}" ref="AC209">
      <text>
        <t xml:space="preserve">[Threaded comment]
 Your version of Excel allows you to read this threaded comment; however, any edits to it will get removed if the file is opened in a newer version of Excel. Learn more: https://go.microsoft.com/fwlink/?linkid=870924
Comment:
	5.18 Price decreased from 660k to 634k as per AEA1.
</t>
      </text>
    </comment>
    <comment authorId="11" xr:uid="{0abae940-5c37-491b-8e7a-f614f40ca599}" ref="AB56">
      <text>
        <t xml:space="preserve">[Threaded comment]
 Your version of Excel allows you to read this threaded comment; however, any edits to it will get removed if the file is opened in a newer version of Excel. Learn more: https://go.microsoft.com/fwlink/?linkid=870924
Comment:
	@isabel@coryhometeam.com i don't believe this is correct. Not sure who put this in but I think its' you
Assigned to isabel@coryhometeam.com
Reply:
	I'm not sure either, but thanks. This is now corrected, info based on FUB.
</t>
      </text>
    </comment>
    <comment authorId="12" xr:uid="{0b3c5904-210a-4c2b-83d7-8372cf7fc9d4}" ref="AT141">
      <text>
        <t xml:space="preserve">[Threaded comment]
 Your version of Excel allows you to read this threaded comment; however, any edits to it will get removed if the file is opened in a newer version of Excel. Learn more: https://go.microsoft.com/fwlink/?linkid=870924
Comment:
	VISTA WAY @isabel@coryhometeam.com
VERIFIED
Assigned to isabel@coryhometeam.com
</t>
      </text>
    </comment>
    <comment authorId="13" xr:uid="{0b7c9399-e841-42e3-945d-4aebfe85aaa0}" ref="AT210">
      <text>
        <t xml:space="preserve">[Threaded comment]
 Your version of Excel allows you to read this threaded comment; however, any edits to it will get removed if the file is opened in a newer version of Excel. Learn more: https://go.microsoft.com/fwlink/?linkid=870924
Comment:
	PRINCESS VIEW @isabel@coryhometeam.com
VERIFIED
Assigned to isabel@coryhometeam.com
</t>
      </text>
    </comment>
    <comment authorId="14" xr:uid="{0c026348-6c90-48d4-9909-144784bb9b98}" ref="AT185">
      <text>
        <t xml:space="preserve">[Threaded comment]
 Your version of Excel allows you to read this threaded comment; however, any edits to it will get removed if the file is opened in a newer version of Excel. Learn more: https://go.microsoft.com/fwlink/?linkid=870924
Comment:
	SIERRA VISTA @isabel@coryhometeam.com
VERIFIED
Assigned to isabel@coryhometeam.com
</t>
      </text>
    </comment>
    <comment authorId="15" xr:uid="{0ce4679e-be01-486a-ac07-1a0236bbac77}" ref="AT55">
      <text>
        <t xml:space="preserve">[Threaded comment]
 Your version of Excel allows you to read this threaded comment; however, any edits to it will get removed if the file is opened in a newer version of Excel. Learn more: https://go.microsoft.com/fwlink/?linkid=870924
Comment:
	13751 Powers Rd
AM verified.
@isabel@coryhometeam.com
@kenia@coryhometeam.com
2.12 CI sent to Escrow.
Assigned to isabel@coryhometeam.com
</t>
      </text>
    </comment>
    <comment authorId="16" xr:uid="{11cc2db9-ecbe-4830-bec4-8db4c3247e28}" ref="X179">
      <text>
        <t xml:space="preserve">[Threaded comment]
 Your version of Excel allows you to read this threaded comment; however, any edits to it will get removed if the file is opened in a newer version of Excel. Learn more: https://go.microsoft.com/fwlink/?linkid=870924
Comment:
	COE moved 5.11 as per AEA1.
</t>
      </text>
    </comment>
    <comment authorId="17" xr:uid="{12affcce-cb6a-4c1b-b06f-4ac8872e42ff}" ref="AT187">
      <text>
        <t xml:space="preserve">[Threaded comment]
 Your version of Excel allows you to read this threaded comment; however, any edits to it will get removed if the file is opened in a newer version of Excel. Learn more: https://go.microsoft.com/fwlink/?linkid=870924
Comment:
	9830 Caminito Cuadro
AM verified.
@isabel@coryhometeam.com
@kenia@coryhometeam.com
5.12 CI sent to Escrow.
Assigned to isabel@coryhometeam.com
</t>
      </text>
    </comment>
    <comment authorId="18" xr:uid="{13bd1c89-88a2-4f52-8a3a-bdf4d9dfbb3a}" ref="AT16">
      <text>
        <t xml:space="preserve">[Threaded comment]
 Your version of Excel allows you to read this threaded comment; however, any edits to it will get removed if the file is opened in a newer version of Excel. Learn more: https://go.microsoft.com/fwlink/?linkid=870924
Comment:
	HYDRUS PI. @isabel@coryhometeam.com
VERIFIED
Assigned to isabel@coryhometeam.com
</t>
      </text>
    </comment>
    <comment authorId="19" xr:uid="{140e7a29-f631-400a-be69-16aadff1156d}" ref="AG75">
      <text>
        <t xml:space="preserve">[Threaded comment]
 Your version of Excel allows you to read this threaded comment; however, any edits to it will get removed if the file is opened in a newer version of Excel. Learn more: https://go.microsoft.com/fwlink/?linkid=870924
Comment:
	this is approved to be waived
</t>
      </text>
    </comment>
    <comment authorId="20" xr:uid="{149c1c73-c047-4890-98eb-ac4719750639}" ref="AE47">
      <text>
        <t xml:space="preserve">[Threaded comment]
 Your version of Excel allows you to read this threaded comment; however, any edits to it will get removed if the file is opened in a newer version of Excel. Learn more: https://go.microsoft.com/fwlink/?linkid=870924
Comment:
	@dana@coryhometeam.com This is under the old platform for splits.
Assigned to dana@coryhometeam.com
</t>
      </text>
    </comment>
    <comment authorId="21" xr:uid="{155ee20a-405b-4fed-ba81-aa7f2b9e05b9}" ref="AT222">
      <text>
        <t xml:space="preserve">[Threaded comment]
 Your version of Excel allows you to read this threaded comment; however, any edits to it will get removed if the file is opened in a newer version of Excel. Learn more: https://go.microsoft.com/fwlink/?linkid=870924
Comment:
	29307 Saltbush
AM verified.
@isabel@coryhometeam.com
@kenia@coryhometeam.com
5.27 CI sent to Escrow.
Assigned to isabel@coryhometeam.com
</t>
      </text>
    </comment>
    <comment authorId="22" xr:uid="{1764529c-c49a-4a33-a695-21b6e7555607}" ref="O140">
      <text>
        <t xml:space="preserve">[Threaded comment]
 Your version of Excel allows you to read this threaded comment; however, any edits to it will get removed if the file is opened in a newer version of Excel. Learn more: https://go.microsoft.com/fwlink/?linkid=870924
Comment:
	New Lender from Citibank to Rocket Mortgage.
</t>
      </text>
    </comment>
    <comment authorId="23" xr:uid="{18ce581d-9b97-41e0-a670-a26ca14e7ec7}" ref="AT77">
      <text>
        <t xml:space="preserve">[Threaded comment]
 Your version of Excel allows you to read this threaded comment; however, any edits to it will get removed if the file is opened in a newer version of Excel. Learn more: https://go.microsoft.com/fwlink/?linkid=870924
Comment:
	ALTA VISTA DRIVE @isabel@coryhometeam.com
VERIFIED
Assigned to isabel@coryhometeam.com
</t>
      </text>
    </comment>
    <comment authorId="24" xr:uid="{18dca840-594c-415a-898f-06290400e088}" ref="AT206">
      <text>
        <t xml:space="preserve">[Threaded comment]
 Your version of Excel allows you to read this threaded comment; however, any edits to it will get removed if the file is opened in a newer version of Excel. Learn more: https://go.microsoft.com/fwlink/?linkid=870924
Comment:
	650 Rainier Way
AM verified.
@isabel@coryhometeam.com
@kenia@coryhometeam.com
5.11 CI sent to Escrow.
Assigned to isabel@coryhometeam.com
</t>
      </text>
    </comment>
    <comment authorId="25" xr:uid="{1a37d403-9fae-4ad0-bd58-08f12697457d}" ref="AE115">
      <text>
        <t xml:space="preserve">[Threaded comment]
 Your version of Excel allows you to read this threaded comment; however, any edits to it will get removed if the file is opened in a newer version of Excel. Learn more: https://go.microsoft.com/fwlink/?linkid=870924
Comment:
	3.3 $10,000 + $5,000 Bonus paid by Seller as per take sheet.
Reply:
	3.16 Kenia: Cavin has a subscription so he will just have the $595 admin fee for this.
</t>
      </text>
    </comment>
    <comment authorId="26" xr:uid="{1d67c537-ee7a-46a3-bb78-d972c88381ea}" ref="AD56">
      <text>
        <t xml:space="preserve">[Threaded comment]
 Your version of Excel allows you to read this threaded comment; however, any edits to it will get removed if the file is opened in a newer version of Excel. Learn more: https://go.microsoft.com/fwlink/?linkid=870924
Comment:
	1.13 Commission Breakdown:
•	Listing Agent: 2.5% per SCO1
•	Buyer: 1.5% per Spencer’s take sheet
Total Commission: 4%
</t>
      </text>
    </comment>
    <comment authorId="27" xr:uid="{208c356d-9b94-46fe-92b6-4c67e78f1f47}" ref="AT51">
      <text>
        <t xml:space="preserve">[Threaded comment]
 Your version of Excel allows you to read this threaded comment; however, any edits to it will get removed if the file is opened in a newer version of Excel. Learn more: https://go.microsoft.com/fwlink/?linkid=870924
Comment:
	GIFHORN CT @isabel@coryhometeam.com
VERIFIED
Assigned to isabel@coryhometeam.com
</t>
      </text>
    </comment>
    <comment authorId="28" xr:uid="{214e741b-2985-4759-887d-6a52eda17c26}" ref="N68">
      <text>
        <t xml:space="preserve">[Threaded comment]
 Your version of Excel allows you to read this threaded comment; however, any edits to it will get removed if the file is opened in a newer version of Excel. Learn more: https://go.microsoft.com/fwlink/?linkid=870924
Comment:
	2.18 Per agent: Quick update: The original escrow could not work with this file and has transferred to Chicago Title Company. I included her info below and also cc'd you on the last email with her. Please let me know if there's anything you need from me.
</t>
      </text>
    </comment>
    <comment authorId="29" xr:uid="{23e66bab-4c8d-47bd-9440-af0917342579}" ref="X209">
      <text>
        <t xml:space="preserve">[Threaded comment]
 Your version of Excel allows you to read this threaded comment; however, any edits to it will get removed if the file is opened in a newer version of Excel. Learn more: https://go.microsoft.com/fwlink/?linkid=870924
Comment:
	6.2 COE extended to 6.5 as per ETA1.
Reply:
	ETA2 - COE 6.8
</t>
      </text>
    </comment>
    <comment authorId="30" xr:uid="{24ae2799-eece-4960-b5f4-e94ec3eb3f79}" ref="AT67">
      <text>
        <t xml:space="preserve">[Threaded comment]
 Your version of Excel allows you to read this threaded comment; however, any edits to it will get removed if the file is opened in a newer version of Excel. Learn more: https://go.microsoft.com/fwlink/?linkid=870924
Comment:
	RECHE CANYON @isabel@coryhometeam.com
VERIFIED
Assigned to isabel@coryhometeam.com
</t>
      </text>
    </comment>
    <comment authorId="31" xr:uid="{25318809-37cf-4323-9ee4-f7fdbc837d34}" ref="AT139">
      <text>
        <t xml:space="preserve">[Threaded comment]
 Your version of Excel allows you to read this threaded comment; however, any edits to it will get removed if the file is opened in a newer version of Excel. Learn more: https://go.microsoft.com/fwlink/?linkid=870924
Comment:
	1010 Terrace Rd # 52
AM verified.
@isabel@coryhometeam.com
@kenia@coryhometeam.com
3.24 CI sent to Escrow.
Assigned to isabel@coryhometeam.com
</t>
      </text>
    </comment>
    <comment authorId="32" xr:uid="{25537d7b-93d4-4850-98ec-dcd841c27fb3}" ref="AT186">
      <text>
        <t xml:space="preserve">[Threaded comment]
 Your version of Excel allows you to read this threaded comment; however, any edits to it will get removed if the file is opened in a newer version of Excel. Learn more: https://go.microsoft.com/fwlink/?linkid=870924
Comment:
	MARTINIQUE DRIVE @isabel@coryhometeam.com
VERIFIED
Assigned to isabel@coryhometeam.com
</t>
      </text>
    </comment>
    <comment authorId="33" xr:uid="{26d72cc8-a930-40bd-a967-4030ce3d1b7d}" ref="AD114">
      <text>
        <t xml:space="preserve">[Threaded comment]
 Your version of Excel allows you to read this threaded comment; however, any edits to it will get removed if the file is opened in a newer version of Excel. Learn more: https://go.microsoft.com/fwlink/?linkid=870924
Comment:
	Flat fee per AEA1.
Reply:
	Flat fee per AEA1 $11,850 @dana@coryhometeam.com @isabel@coryhometeam.com
</t>
      </text>
    </comment>
    <comment authorId="34" xr:uid="{28a11398-6eeb-42b0-b147-17506b00ddd2}" ref="AT3">
      <text>
        <t xml:space="preserve">[Threaded comment]
 Your version of Excel allows you to read this threaded comment; however, any edits to it will get removed if the file is opened in a newer version of Excel. Learn more: https://go.microsoft.com/fwlink/?linkid=870924
Comment:
	AMETHYST DR @isabel@coryhometeam.com
VERIFIED
Assigned to isabel@coryhometeam.com
</t>
      </text>
    </comment>
    <comment authorId="35" xr:uid="{28be63fd-dfbd-4083-93b9-0b997d82e7c7}" ref="AB36">
      <text>
        <t xml:space="preserve">[Threaded comment]
 Your version of Excel allows you to read this threaded comment; however, any edits to it will get removed if the file is opened in a newer version of Excel. Learn more: https://go.microsoft.com/fwlink/?linkid=870924
Comment:
	@isabel@coryhometeam.com this is confirmed Marios SOI- he was going to list it and they went with Blakes cash offer
Assigned to isabel@coryhometeam.com
</t>
      </text>
    </comment>
    <comment authorId="36" xr:uid="{28e516e1-2b50-4f6b-918a-6ce9139a0143}" ref="AT9">
      <text>
        <t xml:space="preserve">[Threaded comment]
 Your version of Excel allows you to read this threaded comment; however, any edits to it will get removed if the file is opened in a newer version of Excel. Learn more: https://go.microsoft.com/fwlink/?linkid=870924
Comment:
	TOPAZ LN @isabel@coryhometeam.com 
VERIFIED
Assigned to isabel@coryhometeam.com
</t>
      </text>
    </comment>
    <comment authorId="37" xr:uid="{2b1b5db3-84cb-4011-ba88-1fbb9b69b987}" ref="AT89">
      <text>
        <t xml:space="preserve">[Threaded comment]
 Your version of Excel allows you to read this threaded comment; however, any edits to it will get removed if the file is opened in a newer version of Excel. Learn more: https://go.microsoft.com/fwlink/?linkid=870924
Comment:
	MURRIETA RD. #378 @isabel@coryhometeam.com
VERIFIED
Assigned to isabel@coryhometeam.com
</t>
      </text>
    </comment>
    <comment authorId="38" xr:uid="{2b6054e4-97ca-430d-8e86-ee3c5ae93df5}" ref="AJ45">
      <text>
        <t xml:space="preserve">[Threaded comment]
 Your version of Excel allows you to read this threaded comment; however, any edits to it will get removed if the file is opened in a newer version of Excel. Learn more: https://go.microsoft.com/fwlink/?linkid=870924
Comment:
	Nate to credit Seller $400 of his commission toward Home Warranty
</t>
      </text>
    </comment>
    <comment authorId="39" xr:uid="{2be93820-b966-48e8-8eb9-b476b345f273}" ref="AE85">
      <text>
        <t xml:space="preserve">[Threaded comment]
 Your version of Excel allows you to read this threaded comment; however, any edits to it will get removed if the file is opened in a newer version of Excel. Learn more: https://go.microsoft.com/fwlink/?linkid=870924
Comment:
	Per AEA #2 - compensation to be paid from $450,000
</t>
      </text>
    </comment>
    <comment authorId="40" xr:uid="{2be9bbb7-b8cb-4541-ab4e-1044fcb95177}" ref="AG41">
      <text>
        <t xml:space="preserve">[Threaded comment]
 Your version of Excel allows you to read this threaded comment; however, any edits to it will get removed if the file is opened in a newer version of Excel. Learn more: https://go.microsoft.com/fwlink/?linkid=870924
Comment:
	$305.00
</t>
      </text>
    </comment>
    <comment authorId="41" xr:uid="{2c342f20-2429-408e-b4e7-8e017f48a962}" ref="AT102">
      <text>
        <t xml:space="preserve">[Threaded comment]
 Your version of Excel allows you to read this threaded comment; however, any edits to it will get removed if the file is opened in a newer version of Excel. Learn more: https://go.microsoft.com/fwlink/?linkid=870924
Comment:
	MARK TWAIN CT @isabel@coryhometeam.com
VERIFIED
Assigned to isabel@coryhometeam.com
</t>
      </text>
    </comment>
    <comment authorId="42" xr:uid="{2c3459aa-17bb-4f0a-b453-1527da4dcee0}" ref="AD164">
      <text>
        <t xml:space="preserve">[Threaded comment]
 Your version of Excel allows you to read this threaded comment; however, any edits to it will get removed if the file is opened in a newer version of Excel. Learn more: https://go.microsoft.com/fwlink/?linkid=870924
Comment:
	Flat fee $11,950.00
</t>
      </text>
    </comment>
    <comment authorId="43" xr:uid="{2d9b274c-e615-46fe-8a8c-6fd1df3cec44}" ref="P140">
      <text>
        <t xml:space="preserve">[Threaded comment]
 Your version of Excel allows you to read this threaded comment; however, any edits to it will get removed if the file is opened in a newer version of Excel. Learn more: https://go.microsoft.com/fwlink/?linkid=870924
Comment:
	Seller will transfer the current home warranty to the buyer.
</t>
      </text>
    </comment>
    <comment authorId="44" xr:uid="{2e09f039-c8dd-421f-85be-58b151651d47}" ref="X134">
      <text>
        <t xml:space="preserve">[Threaded comment]
 Your version of Excel allows you to read this threaded comment; however, any edits to it will get removed if the file is opened in a newer version of Excel. Learn more: https://go.microsoft.com/fwlink/?linkid=870924
Comment:
	3.9 COE moved to 4.6 as per ETA1.
Reply:
	4.6 NEW COE per ETA2.
</t>
      </text>
    </comment>
    <comment authorId="45" xr:uid="{2ed6ae5b-b137-437d-99f4-05728c0cab0b}" ref="W75">
      <text>
        <t xml:space="preserve">[Threaded comment]
 Your version of Excel allows you to read this threaded comment; however, any edits to it will get removed if the file is opened in a newer version of Excel. Learn more: https://go.microsoft.com/fwlink/?linkid=870924
Comment:
	Pending park approval. Contract states 30 days or sooner from approval.
</t>
      </text>
    </comment>
    <comment authorId="46" xr:uid="{2f1fc3de-2463-4c25-866b-4df9b8aeef48}" ref="AT104">
      <text>
        <t xml:space="preserve">[Threaded comment]
 Your version of Excel allows you to read this threaded comment; however, any edits to it will get removed if the file is opened in a newer version of Excel. Learn more: https://go.microsoft.com/fwlink/?linkid=870924
Comment:
	29130 Prestwick Rd
AM verified.
@isabel@coryhometeam.com
@kenia@coryhometeam.com
2.27 CI sent to Escrow.
Assigned to isabel@coryhometeam.com
</t>
      </text>
    </comment>
    <comment authorId="47" xr:uid="{2fbf84b8-7efb-464c-881d-3ce2a453d92d}" ref="AT149">
      <text>
        <t xml:space="preserve">[Threaded comment]
 Your version of Excel allows you to read this threaded comment; however, any edits to it will get removed if the file is opened in a newer version of Excel. Learn more: https://go.microsoft.com/fwlink/?linkid=870924
Comment:
	OAK VIEW LN @isabel@coryhometeam.com
VERIFIED
Assigned to isabel@coryhometeam.com
</t>
      </text>
    </comment>
    <comment authorId="48" xr:uid="{2ffe798c-af6a-44c6-bf7c-292b7e63257f}" ref="AT148">
      <text>
        <t xml:space="preserve">[Threaded comment]
 Your version of Excel allows you to read this threaded comment; however, any edits to it will get removed if the file is opened in a newer version of Excel. Learn more: https://go.microsoft.com/fwlink/?linkid=870924
Comment:
	17666 High Vista St
AM verified.
@isabel@coryhometeam.com
@kenia@coryhometeam.com
4.6 CI sent to Escrow.
Assigned to isabel@coryhometeam.com
</t>
      </text>
    </comment>
    <comment authorId="49" xr:uid="{3024db79-da7b-4be8-9b9e-333e9357dd19}" ref="AD46">
      <text>
        <t xml:space="preserve">[Threaded comment]
 Your version of Excel allows you to read this threaded comment; however, any edits to it will get removed if the file is opened in a newer version of Excel. Learn more: https://go.microsoft.com/fwlink/?linkid=870924
Comment:
	$589.00
</t>
      </text>
    </comment>
    <comment authorId="50" xr:uid="{31374be1-1b65-4dd5-94a4-3e18354260cb}" ref="P43">
      <text>
        <t xml:space="preserve">[Threaded comment]
 Your version of Excel allows you to read this threaded comment; however, any edits to it will get removed if the file is opened in a newer version of Excel. Learn more: https://go.microsoft.com/fwlink/?linkid=870924
Comment:
	1.26 Per agent the buyer will not order a warranty.
</t>
      </text>
    </comment>
    <comment authorId="51" xr:uid="{3391dc5a-41e9-4efa-8e02-33233537256e}" ref="AT30">
      <text>
        <t xml:space="preserve">[Threaded comment]
 Your version of Excel allows you to read this threaded comment; however, any edits to it will get removed if the file is opened in a newer version of Excel. Learn more: https://go.microsoft.com/fwlink/?linkid=870924
Comment:
	BROADMOOR BLVD @isabel@coryhometeam.com
VERIFIED
Assigned to isabel@coryhometeam.com
</t>
      </text>
    </comment>
    <comment authorId="52" xr:uid="{33efeaa3-d3f7-4e9b-bd3d-e02fbaf2754a}" ref="AT140">
      <text>
        <t xml:space="preserve">[Threaded comment]
 Your version of Excel allows you to read this threaded comment; however, any edits to it will get removed if the file is opened in a newer version of Excel. Learn more: https://go.microsoft.com/fwlink/?linkid=870924
Comment:
	13144 Sycamore Village Dr
AM verified.
@isabel@coryhometeam.com
@kenia@coryhometeam.com
3.27 CI sent to Escrow.
Assigned to isabel@coryhometeam.com
</t>
      </text>
    </comment>
    <comment authorId="53" xr:uid="{345f4cf0-0de4-4310-893f-299765fbabbc}" ref="AH89">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t>
      </text>
    </comment>
    <comment authorId="54" xr:uid="{34aa89cc-92c9-4d67-9891-4b4ccd95b4aa}" ref="AT128">
      <text>
        <t xml:space="preserve">[Threaded comment]
 Your version of Excel allows you to read this threaded comment; however, any edits to it will get removed if the file is opened in a newer version of Excel. Learn more: https://go.microsoft.com/fwlink/?linkid=870924
Comment:
	UKIAH ST @isabel@coryhometeam.com
VERIFIED
Assigned to isabel@coryhometeam.com
</t>
      </text>
    </comment>
    <comment authorId="55" xr:uid="{363e9763-0a85-48a7-bf9a-0bb0ebf3f5a6}" ref="AI78">
      <text>
        <t xml:space="preserve">[Threaded comment]
 Your version of Excel allows you to read this threaded comment; however, any edits to it will get removed if the file is opened in a newer version of Excel. Learn more: https://go.microsoft.com/fwlink/?linkid=870924
Comment:
	collected $1170, only putting $595 to cover our transaction fee, the remaining is to cover her outside TC
</t>
      </text>
    </comment>
    <comment authorId="56" xr:uid="{38189385-c46b-480f-aeb1-8467065a9abb}" ref="AN52">
      <text>
        <t xml:space="preserve">[Threaded comment]
 Your version of Excel allows you to read this threaded comment; however, any edits to it will get removed if the file is opened in a newer version of Excel. Learn more: https://go.microsoft.com/fwlink/?linkid=870924
Comment:
	@dana@coryhometeam.com 
I was paid on this via splits in SS in error. Can we get this corrected?
Assigned to dana@coryhometeam.com
</t>
      </text>
    </comment>
    <comment authorId="57" xr:uid="{38306b15-8177-4d74-9813-522ef89890c2}" ref="W137">
      <text>
        <t xml:space="preserve">[Threaded comment]
 Your version of Excel allows you to read this threaded comment; however, any edits to it will get removed if the file is opened in a newer version of Excel. Learn more: https://go.microsoft.com/fwlink/?linkid=870924
Comment:
	Contingency Removals: All time periods shall commence upon the Seller’s delivery of property evidence or the removal of the Purchase Replacement Property (SPRP 1.A).
</t>
      </text>
    </comment>
    <comment authorId="58" xr:uid="{38b8e0e1-0250-41c8-950d-02dadb47a438}" ref="AB60">
      <text>
        <t xml:space="preserve">[Threaded comment]
 Your version of Excel allows you to read this threaded comment; however, any edits to it will get removed if the file is opened in a newer version of Excel. Learn more: https://go.microsoft.com/fwlink/?linkid=870924
Comment:
	@isabel@coryhometeam.com confirmed marios SOI
Assigned to isabel@coryhometeam.com
Reply:
	Past Client of Mario (closed in 202)
</t>
      </text>
    </comment>
    <comment authorId="59" xr:uid="{3a056a73-89ee-4b61-9c48-67b43b8eb9af}" ref="AT130">
      <text>
        <t xml:space="preserve">[Threaded comment]
 Your version of Excel allows you to read this threaded comment; however, any edits to it will get removed if the file is opened in a newer version of Excel. Learn more: https://go.microsoft.com/fwlink/?linkid=870924
Comment:
	MELROSE RD @isabel@coryhometeam.com
VERIFIED
Assigned to isabel@coryhometeam.com
</t>
      </text>
    </comment>
    <comment authorId="60" xr:uid="{3a4e5bf9-dcc4-4f86-8814-b45bf0cbd753}" ref="AJ140">
      <text>
        <t xml:space="preserve">[Threaded comment]
 Your version of Excel allows you to read this threaded comment; however, any edits to it will get removed if the file is opened in a newer version of Excel. Learn more: https://go.microsoft.com/fwlink/?linkid=870924
Comment:
	LA to pay $1250 towards buyers closing costs 
@dana@coryhometeam.com @isabel@coryhometeam.com
</t>
      </text>
    </comment>
    <comment authorId="61" xr:uid="{3a650ac7-2df9-48c6-8f99-c9864d9f1021}" ref="AD118">
      <text>
        <t xml:space="preserve">[Threaded comment]
 Your version of Excel allows you to read this threaded comment; however, any edits to it will get removed if the file is opened in a newer version of Excel. Learn more: https://go.microsoft.com/fwlink/?linkid=870924
Comment:
	3.5 Per Spencer we need a MT-BR updating commission to 2%-paid by seller(builder) Buyer to pay $1395 admin fee.
</t>
      </text>
    </comment>
    <comment authorId="62" xr:uid="{3aea3d0f-311f-4820-a36e-a187f59c190f}" ref="AD191">
      <text>
        <t xml:space="preserve">[Threaded comment]
 Your version of Excel allows you to read this threaded comment; however, any edits to it will get removed if the file is opened in a newer version of Excel. Learn more: https://go.microsoft.com/fwlink/?linkid=870924
Comment:
	Sellers are paying 2%, buyer is paying .5%
</t>
      </text>
    </comment>
    <comment authorId="63" xr:uid="{3bb21e1a-ba08-46ab-ac56-76767672c030}" ref="AJ129">
      <text>
        <t xml:space="preserve">[Threaded comment]
 Your version of Excel allows you to read this threaded comment; however, any edits to it will get removed if the file is opened in a newer version of Excel. Learn more: https://go.microsoft.com/fwlink/?linkid=870924
Comment:
	ADM1 
$65.00 deduction for Rachele as she agreed to cover Home Warranty difference for buyer 
@dana@coryhometeam.com @isabel@coryhometeam.com
</t>
      </text>
    </comment>
    <comment authorId="64" xr:uid="{3c481553-d9bb-4734-ab34-3968ecb4eb97}" ref="AT164">
      <text>
        <t xml:space="preserve">[Threaded comment]
 Your version of Excel allows you to read this threaded comment; however, any edits to it will get removed if the file is opened in a newer version of Excel. Learn more: https://go.microsoft.com/fwlink/?linkid=870924
Comment:
	36329 Albus Ave
AM verified.
@isabel@coryhometeam.com
@kenia@coryhometeam.com
4.20 CI sent to Escrow.
Assigned to isabel@coryhometeam.com
</t>
      </text>
    </comment>
    <comment authorId="65" xr:uid="{3cef5a94-cd30-4619-9879-4e3b3e529e76}" ref="AT165">
      <text>
        <t xml:space="preserve">[Threaded comment]
 Your version of Excel allows you to read this threaded comment; however, any edits to it will get removed if the file is opened in a newer version of Excel. Learn more: https://go.microsoft.com/fwlink/?linkid=870924
Comment:
	738 Highlands Dr
AM verified.
@isabel@coryhometeam.com
@kenia@coryhometeam.com
5.8 CI sent to Escrow.
Assigned to isabel@coryhometeam.com
</t>
      </text>
    </comment>
    <comment authorId="66" xr:uid="{3e88c951-89e0-4c50-8b81-ece567081153}" ref="AT189">
      <text>
        <t xml:space="preserve">[Threaded comment]
 Your version of Excel allows you to read this threaded comment; however, any edits to it will get removed if the file is opened in a newer version of Excel. Learn more: https://go.microsoft.com/fwlink/?linkid=870924
Comment:
	681 Parkview Driv
AM verified.
@isabel@coryhometeam.com
@kenia@coryhometeam.com
5.5 CI sent to Escrow.
Assigned to isabel@coryhometeam.com
</t>
      </text>
    </comment>
    <comment authorId="67" xr:uid="{3ffd9a2e-0494-4f79-960a-b320378b8783}" ref="AI165">
      <text>
        <t xml:space="preserve">[Threaded comment]
 Your version of Excel allows you to read this threaded comment; however, any edits to it will get removed if the file is opened in a newer version of Excel. Learn more: https://go.microsoft.com/fwlink/?linkid=870924
Comment:
	@kenia@coryhometeam.com Is this amount correct? I thought jenna cannot collect these fees?
Assigned to kenia@coryhometeam.com
Reply:
	correct this is updated and we will send a MT form to remove $1095.00 from BRBC @dana@coryhometeam.com @isabel@coryhometeam.com
</t>
      </text>
    </comment>
    <comment authorId="68" xr:uid="{4078030f-ad1b-42da-af78-c6434fc5850e}" ref="AK201">
      <text>
        <t xml:space="preserve">[Threaded comment]
 Your version of Excel allows you to read this threaded comment; however, any edits to it will get removed if the file is opened in a newer version of Excel. Learn more: https://go.microsoft.com/fwlink/?linkid=870924
Comment:
	@dana@coryhometeam.com referral fee needs to be hit on this closing.
Assigned to dana@coryhometeam.com
</t>
      </text>
    </comment>
    <comment authorId="69" xr:uid="{40cb564f-9ea5-4497-8fd1-bee19cd95457}" ref="AT175">
      <text>
        <t xml:space="preserve">[Threaded comment]
 Your version of Excel allows you to read this threaded comment; however, any edits to it will get removed if the file is opened in a newer version of Excel. Learn more: https://go.microsoft.com/fwlink/?linkid=870924
Comment:
	1702 Tamarron Dr
AM verified.
@isabel@coryhometeam.com
@kenia@coryhometeam.com
4.17 CI sent to Escrow.
Assigned to isabel@coryhometeam.com
</t>
      </text>
    </comment>
    <comment authorId="70" xr:uid="{43bd6c6a-b518-4c7c-8b1a-31a8a70aebea}" ref="AT107">
      <text>
        <t xml:space="preserve">[Threaded comment]
 Your version of Excel allows you to read this threaded comment; however, any edits to it will get removed if the file is opened in a newer version of Excel. Learn more: https://go.microsoft.com/fwlink/?linkid=870924
Comment:
	1422 E Sandison St
AM verified.
@isabel@coryhometeam.com
@kenia@coryhometeam.com
3.5 CI sent to Escrow.
Assigned to isabel@coryhometeam.com
</t>
      </text>
    </comment>
    <comment authorId="71" xr:uid="{46395d86-c3d5-4e88-8b8f-2b05e85c40d4}" ref="AH59">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t>
      </text>
    </comment>
    <comment authorId="72" xr:uid="{4701dd43-ba5c-4051-bd47-6d2bc7663934}" ref="AL201">
      <text>
        <t xml:space="preserve">[Threaded comment]
 Your version of Excel allows you to read this threaded comment; however, any edits to it will get removed if the file is opened in a newer version of Excel. Learn more: https://go.microsoft.com/fwlink/?linkid=870924
Comment:
	Steve Hayden advance
</t>
      </text>
    </comment>
    <comment authorId="73" xr:uid="{470c2729-6dd0-4fce-aa98-9aea29a33475}" ref="AT118">
      <text>
        <t xml:space="preserve">[Threaded comment]
 Your version of Excel allows you to read this threaded comment; however, any edits to it will get removed if the file is opened in a newer version of Excel. Learn more: https://go.microsoft.com/fwlink/?linkid=870924
Comment:
	465 Maiden Cross Ct
AM verified.
@isabel@coryhometeam.com
@kenia@coryhometeam.com
3.17 CI sent to Escrow.
Assigned to isabel@coryhometeam.com
</t>
      </text>
    </comment>
    <comment authorId="74" xr:uid="{48f931db-64f1-45b9-bca4-55265d8d92cb}" ref="AE50">
      <text>
        <t xml:space="preserve">[Threaded comment]
 Your version of Excel allows you to read this threaded comment; however, any edits to it will get removed if the file is opened in a newer version of Excel. Learn more: https://go.microsoft.com/fwlink/?linkid=870924
Comment:
	2.5% Commission + $3,000 additional from seller.
</t>
      </text>
    </comment>
    <comment authorId="75" xr:uid="{4900b645-fadf-42d7-94f4-dd8ae7558821}" ref="AF81">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t>
      </text>
    </comment>
    <comment authorId="76" xr:uid="{499bd0c6-a357-4c85-a762-0a4a2518c28c}" ref="AG59">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t>
      </text>
    </comment>
    <comment authorId="77" xr:uid="{4c34ce10-af59-49c3-a0d3-553490e6e68b}" ref="AT52">
      <text>
        <t xml:space="preserve">[Threaded comment]
 Your version of Excel allows you to read this threaded comment; however, any edits to it will get removed if the file is opened in a newer version of Excel. Learn more: https://go.microsoft.com/fwlink/?linkid=870924
Comment:
	SANTA TERESA WAY @isabel@coryhometeam.com
VERIFIED
Assigned to isabel@coryhometeam.com
</t>
      </text>
    </comment>
    <comment authorId="78" xr:uid="{4f27ce96-1c14-44c9-b0a9-c55e2d1ca437}" ref="AG167">
      <text>
        <t xml:space="preserve">[Threaded comment]
 Your version of Excel allows you to read this threaded comment; however, any edits to it will get removed if the file is opened in a newer version of Excel. Learn more: https://go.microsoft.com/fwlink/?linkid=870924
Comment:
	See CLOSING NOTES
@isabel@coryhometeam.com @dana@coryhometeam.com
Reply:
	@alexis@coryhometeam.com Alicia signed up 3/6 TC fees to be charged.
</t>
      </text>
    </comment>
    <comment authorId="79" xr:uid="{4f7c9313-3c73-4830-a455-76f1e7ee5f5a}" ref="AJ61">
      <text>
        <t xml:space="preserve">[Threaded comment]
 Your version of Excel allows you to read this threaded comment; however, any edits to it will get removed if the file is opened in a newer version of Excel. Learn more: https://go.microsoft.com/fwlink/?linkid=870924
Comment:
	CHT Group covered the cost of photos and sign install. Agent owes team.
Photos $500
Sign/Lockbox Install $99
</t>
      </text>
    </comment>
    <comment authorId="80" xr:uid="{4fc4a6fc-f07f-4ef1-b8d9-6fd91770793a}" ref="X188">
      <text>
        <t xml:space="preserve">[Threaded comment]
 Your version of Excel allows you to read this threaded comment; however, any edits to it will get removed if the file is opened in a newer version of Excel. Learn more: https://go.microsoft.com/fwlink/?linkid=870924
Comment:
	5.5 COE moved to 5.14 as per ADM1.
</t>
      </text>
    </comment>
    <comment authorId="81" xr:uid="{4febcb9e-9227-4d09-8020-0fcbd411ba31}" ref="C30">
      <text>
        <t xml:space="preserve">[Threaded comment]
 Your version of Excel allows you to read this threaded comment; however, any edits to it will get removed if the file is opened in a newer version of Excel. Learn more: https://go.microsoft.com/fwlink/?linkid=870924
Comment:
	Please confirm how to proceed with Zillow referral, seller is a Zillow Flex @dana@coryhometeam.com
</t>
      </text>
    </comment>
    <comment authorId="82" xr:uid="{5111617d-de62-4aa7-a924-0260e9c05dcf}" ref="AH130">
      <text>
        <t xml:space="preserve">[Threaded comment]
 Your version of Excel allows you to read this threaded comment; however, any edits to it will get removed if the file is opened in a newer version of Excel. Learn more: https://go.microsoft.com/fwlink/?linkid=870924
Comment:
	approved to be waived
</t>
      </text>
    </comment>
    <comment authorId="83" xr:uid="{51222a7b-4512-49d2-a426-f18871b264a8}" ref="AG63">
      <text>
        <t xml:space="preserve">[Threaded comment]
 Your version of Excel allows you to read this threaded comment; however, any edits to it will get removed if the file is opened in a newer version of Excel. Learn more: https://go.microsoft.com/fwlink/?linkid=870924
Comment:
	2.24 Kenia: Per Kendra, We need to remove admin fee completely. Buyer is only paying the commission.
</t>
      </text>
    </comment>
    <comment authorId="84" xr:uid="{514eb1a2-404c-480c-9214-feb7b5b09a82}" ref="AT45">
      <text>
        <t xml:space="preserve">[Threaded comment]
 Your version of Excel allows you to read this threaded comment; however, any edits to it will get removed if the file is opened in a newer version of Excel. Learn more: https://go.microsoft.com/fwlink/?linkid=870924
Comment:
	CORTE BENAVENTE @isabel@coryhometeam.com
VERIFIED
Assigned to isabel@coryhometeam.com
</t>
      </text>
    </comment>
    <comment authorId="85" xr:uid="{52326ba2-7549-42b7-9a15-28ebc5bea182}" ref="AI124">
      <text>
        <t xml:space="preserve">[Threaded comment]
 Your version of Excel allows you to read this threaded comment; however, any edits to it will get removed if the file is opened in a newer version of Excel. Learn more: https://go.microsoft.com/fwlink/?linkid=870924
Comment:
	collected $1095, only putting $595 to cover our transaction fee, the remaining is to cover her outside TC
</t>
      </text>
    </comment>
    <comment authorId="86" xr:uid="{52e9cdb0-2ab9-4214-9da9-5a416bfb5064}" ref="AT47">
      <text>
        <t xml:space="preserve">[Threaded comment]
 Your version of Excel allows you to read this threaded comment; however, any edits to it will get removed if the file is opened in a newer version of Excel. Learn more: https://go.microsoft.com/fwlink/?linkid=870924
Comment:
	FALCON CREST DR. @isabel@coryhometeam.com
VERIFIED
Assigned to isabel@coryhometeam.com
</t>
      </text>
    </comment>
    <comment authorId="87" xr:uid="{57f24d8d-1b1a-4b72-82dd-a166b11cd766}" ref="X92">
      <text>
        <t xml:space="preserve">[Threaded comment]
 Your version of Excel allows you to read this threaded comment; however, any edits to it will get removed if the file is opened in a newer version of Excel. Learn more: https://go.microsoft.com/fwlink/?linkid=870924
Comment:
	3.9 COE move 3.13 as per ETA1.
</t>
      </text>
    </comment>
    <comment authorId="88" xr:uid="{5840c916-7a8c-4209-ad8d-52f0bf6fcfd8}" ref="X87">
      <text>
        <t xml:space="preserve">[Threaded comment]
 Your version of Excel allows you to read this threaded comment; however, any edits to it will get removed if the file is opened in a newer version of Excel. Learn more: https://go.microsoft.com/fwlink/?linkid=870924
Comment:
	3.6 COE moved as per ETA1.
</t>
      </text>
    </comment>
    <comment authorId="89" xr:uid="{59f8dec8-18fe-438a-8beb-96cf219ba44d}" ref="P166">
      <text>
        <t xml:space="preserve">[Threaded comment]
 Your version of Excel allows you to read this threaded comment; however, any edits to it will get removed if the file is opened in a newer version of Excel. Learn more: https://go.microsoft.com/fwlink/?linkid=870924
Comment:
	Choice Home Warranty
</t>
      </text>
    </comment>
    <comment authorId="90" xr:uid="{5a328e3c-46a6-456f-a678-c43bd42b7291}" ref="C46">
      <text>
        <t xml:space="preserve">[Threaded comment]
 Your version of Excel allows you to read this threaded comment; however, any edits to it will get removed if the file is opened in a newer version of Excel. Learn more: https://go.microsoft.com/fwlink/?linkid=870924
Comment:
	Hi @alexis@coryhometeam.com Can you please confirm the correct address? A mismatch on address #5235 (RPA) VS #5253 (RLA). Thank you!
Reply:
	5253 is correct.
</t>
      </text>
    </comment>
    <comment authorId="91" xr:uid="{5a45e36d-b95b-42f5-bc78-baebeae98333}" ref="AJ176">
      <text>
        <t xml:space="preserve">[Threaded comment]
 Your version of Excel allows you to read this threaded comment; however, any edits to it will get removed if the file is opened in a newer version of Excel. Learn more: https://go.microsoft.com/fwlink/?linkid=870924
Comment:
	termite
</t>
      </text>
    </comment>
    <comment authorId="92" xr:uid="{5a6d97fd-5313-4260-bcae-e994795992a0}" ref="AD84">
      <text>
        <t xml:space="preserve">[Threaded comment]
 Your version of Excel allows you to read this threaded comment; however, any edits to it will get removed if the file is opened in a newer version of Excel. Learn more: https://go.microsoft.com/fwlink/?linkid=870924
Comment:
	2% from Seller 2% from Buyer
</t>
      </text>
    </comment>
    <comment authorId="93" xr:uid="{5aec480d-573f-41df-a8fb-005145d3f8ff}" ref="AG22">
      <text>
        <t xml:space="preserve">[Threaded comment]
 Your version of Excel allows you to read this threaded comment; however, any edits to it will get removed if the file is opened in a newer version of Excel. Learn more: https://go.microsoft.com/fwlink/?linkid=870924
Comment:
	Dana will pay out of splits
</t>
      </text>
    </comment>
    <comment authorId="94" xr:uid="{5cdf61e5-88d6-4900-8809-9567baec8392}" ref="AD86">
      <text>
        <t xml:space="preserve">[Threaded comment]
 Your version of Excel allows you to read this threaded comment; however, any edits to it will get removed if the file is opened in a newer version of Excel. Learn more: https://go.microsoft.com/fwlink/?linkid=870924
Comment:
	$589.00
</t>
      </text>
    </comment>
    <comment authorId="95" xr:uid="{5e2a5edc-5d02-42ba-8808-98956e6ece1c}" ref="AT2">
      <text>
        <t xml:space="preserve">[Threaded comment]
 Your version of Excel allows you to read this threaded comment; however, any edits to it will get removed if the file is opened in a newer version of Excel. Learn more: https://go.microsoft.com/fwlink/?linkid=870924
Comment:
	WOODLANDS WAY @isabel@coryhometeam.com
VERIFIED
Assigned to isabel@coryhometeam.com
</t>
      </text>
    </comment>
    <comment authorId="96" xr:uid="{5e762f1d-4f52-4ba9-9da6-3b1e8a242d28}" ref="AK129">
      <text>
        <t xml:space="preserve">[Threaded comment]
 Your version of Excel allows you to read this threaded comment; however, any edits to it will get removed if the file is opened in a newer version of Excel. Learn more: https://go.microsoft.com/fwlink/?linkid=870924
Comment:
	RFE copy sent to @dana@coryhometeam.com @isabel@coryhometeam.com
</t>
      </text>
    </comment>
    <comment authorId="97" xr:uid="{610beadb-37c7-4980-a910-3adcca6bd9e9}" ref="AG130">
      <text>
        <t xml:space="preserve">[Threaded comment]
 Your version of Excel allows you to read this threaded comment; however, any edits to it will get removed if the file is opened in a newer version of Excel. Learn more: https://go.microsoft.com/fwlink/?linkid=870924
Comment:
	@dana@coryhometeam.com is Tyler getting this one free as his first transaction with the team? If so, then only the $595 will apply plus the credit he is giving the Buyer.
Assigned to dana@coryhometeam.com
Reply:
	approved to be waived
Reply:
	Marked as done
</t>
      </text>
    </comment>
    <comment authorId="98" xr:uid="{619d5cd8-e64e-48f7-892b-1f620d8b200e}" ref="AT129">
      <text>
        <t xml:space="preserve">[Threaded comment]
 Your version of Excel allows you to read this threaded comment; however, any edits to it will get removed if the file is opened in a newer version of Excel. Learn more: https://go.microsoft.com/fwlink/?linkid=870924
Comment:
	40156 White Leaf Lane
AM verified.
@isabel@coryhometeam.com
@kenia@coryhometeam.com
3.20 CI sent to Escrow.
Assigned to isabel@coryhometeam.com
</t>
      </text>
    </comment>
    <comment authorId="99" xr:uid="{627515d0-ec81-4c15-af44-811dd0c7ec88}" ref="AD213">
      <text>
        <t xml:space="preserve">[Threaded comment]
 Your version of Excel allows you to read this threaded comment; however, any edits to it will get removed if the file is opened in a newer version of Excel. Learn more: https://go.microsoft.com/fwlink/?linkid=870924
Comment:
	4.30 Kenia: I spoke to Jessica and she agreed to lower her commission. I have already emailed escrow. Can you please update everything else. Please note the correction: The listing side commission is 2% plus the $1,425.00 Administration Fee.
</t>
      </text>
    </comment>
    <comment authorId="100" xr:uid="{6277ff8e-4073-4457-9ad3-c26486ced4ad}" ref="X13">
      <text>
        <t xml:space="preserve">[Threaded comment]
 Your version of Excel allows you to read this threaded comment; however, any edits to it will get removed if the file is opened in a newer version of Excel. Learn more: https://go.microsoft.com/fwlink/?linkid=870924
Comment:
	1.6 Per Kenia COE moved to 1.9
Reply:
	1.12 ETA 4 COE 1.12 out for signature.
</t>
      </text>
    </comment>
    <comment authorId="101" xr:uid="{62f23641-f2fb-4fd5-9bcd-2a1316012a99}" ref="AJ40">
      <text>
        <t xml:space="preserve">[Threaded comment]
 Your version of Excel allows you to read this threaded comment; however, any edits to it will get removed if the file is opened in a newer version of Excel. Learn more: https://go.microsoft.com/fwlink/?linkid=870924
Comment:
	02/10/26
Kiona approved collect off the top in house splits to cover the other half of our fees. Escrow issued payment for the other half on the commission check and it is on the final closing statement.
</t>
      </text>
    </comment>
    <comment authorId="102" xr:uid="{68b5249d-09b7-4d23-8ccb-b05701b1ac0f}" ref="AT152">
      <text>
        <t xml:space="preserve">[Threaded comment]
 Your version of Excel allows you to read this threaded comment; however, any edits to it will get removed if the file is opened in a newer version of Excel. Learn more: https://go.microsoft.com/fwlink/?linkid=870924
Comment:
	27101 Comwell St
AM verified.
@isabel@coryhometeam.com
@kenia@coryhometeam.com
4.13 CI sent to Escrow.
Assigned to isabel@coryhometeam.com
</t>
      </text>
    </comment>
    <comment authorId="103" xr:uid="{69bf8095-15ff-4879-811a-e3cf9ab3912e}" ref="AT34">
      <text>
        <t xml:space="preserve">[Threaded comment]
 Your version of Excel allows you to read this threaded comment; however, any edits to it will get removed if the file is opened in a newer version of Excel. Learn more: https://go.microsoft.com/fwlink/?linkid=870924
Comment:
	JORDAN AVENUE @isabel@coryhometeam.com
VERIFIED
Assigned to isabel@coryhometeam.com
</t>
      </text>
    </comment>
    <comment authorId="104" xr:uid="{6a1a1e94-5d03-4f5c-9da3-d830b9017b68}" ref="AJ175">
      <text>
        <t xml:space="preserve">[Threaded comment]
 Your version of Excel allows you to read this threaded comment; however, any edits to it will get removed if the file is opened in a newer version of Excel. Learn more: https://go.microsoft.com/fwlink/?linkid=870924
Comment:
	SA-Jessica is covering cost of Buyer Home Warranty $985.00
</t>
      </text>
    </comment>
    <comment authorId="105" xr:uid="{6a2efaba-edd2-4936-a9e4-992fff02f3b8}" ref="AT106">
      <text>
        <t xml:space="preserve">[Threaded comment]
 Your version of Excel allows you to read this threaded comment; however, any edits to it will get removed if the file is opened in a newer version of Excel. Learn more: https://go.microsoft.com/fwlink/?linkid=870924
Comment:
	HOME AVE @isabel@coryhometeam.com
VERIFIED
Assigned to isabel@coryhometeam.com
</t>
      </text>
    </comment>
    <comment authorId="106" xr:uid="{6af21148-7a7b-4449-9c7d-a9e9e0148db8}" ref="AT70">
      <text>
        <t xml:space="preserve">[Threaded comment]
 Your version of Excel allows you to read this threaded comment; however, any edits to it will get removed if the file is opened in a newer version of Excel. Learn more: https://go.microsoft.com/fwlink/?linkid=870924
Comment:
	AVENIDA ANTONOVICH @isabel@coryhometeam.com
VERIFIED
Assigned to isabel@coryhometeam.com
</t>
      </text>
    </comment>
    <comment authorId="107" xr:uid="{6bcd1399-bc13-4de5-afca-5b62ef23f6ef}" ref="AT182">
      <text>
        <t xml:space="preserve">[Threaded comment]
 Your version of Excel allows you to read this threaded comment; however, any edits to it will get removed if the file is opened in a newer version of Excel. Learn more: https://go.microsoft.com/fwlink/?linkid=870924
Comment:
	29225 Avenida De Las Flores
AM verified.
@isabel@coryhometeam.com
@kenia@coryhometeam.com
5.7 CI sent to Escrow.
Assigned to isabel@coryhometeam.com
</t>
      </text>
    </comment>
    <comment authorId="108" xr:uid="{6d08247c-6847-48e7-9908-fc33a881e551}" ref="AC114">
      <text>
        <t xml:space="preserve">[Threaded comment]
 Your version of Excel allows you to read this threaded comment; however, any edits to it will get removed if the file is opened in a newer version of Excel. Learn more: https://go.microsoft.com/fwlink/?linkid=870924
Comment:
	Purchase price reduced. Please see AEA1.
</t>
      </text>
    </comment>
    <comment authorId="109" xr:uid="{6e360fd3-0572-447f-ab43-ac40716c2e21}" ref="AT84">
      <text>
        <t xml:space="preserve">[Threaded comment]
 Your version of Excel allows you to read this threaded comment; however, any edits to it will get removed if the file is opened in a newer version of Excel. Learn more: https://go.microsoft.com/fwlink/?linkid=870924
Comment:
	EASTVIEW LN @isabel@coryhometeam.com
VERIFIED
Assigned to isabel@coryhometeam.com
</t>
      </text>
    </comment>
    <comment authorId="110" xr:uid="{6ece101d-a650-48e5-900c-0f945ac6c01e}" ref="AI196">
      <text>
        <t xml:space="preserve">[Threaded comment]
 Your version of Excel allows you to read this threaded comment; however, any edits to it will get removed if the file is opened in a newer version of Excel. Learn more: https://go.microsoft.com/fwlink/?linkid=870924
Comment:
	approved, once this check amount is confirmed, 100% of the additional collected is going to Myrna @isabel@coryhometeam.com
Assigned to isabel@coryhometeam.com
</t>
      </text>
    </comment>
    <comment authorId="111" xr:uid="{7008cc35-f3b6-4e20-88f5-05b126afc756}" ref="AB201">
      <text>
        <t xml:space="preserve">[Threaded comment]
 Your version of Excel allows you to read this threaded comment; however, any edits to it will get removed if the file is opened in a newer version of Excel. Learn more: https://go.microsoft.com/fwlink/?linkid=870924
Comment:
	@isabel@coryhometeam.com @remy@coryhometeam.com Per Blake this is a crush it marketing lead, which has a referral fee due
Assigned to isabel@coryhometeam.com
</t>
      </text>
    </comment>
    <comment authorId="112" xr:uid="{71905fa0-757c-47f8-9fc9-38efa33a9e6f}" ref="AI150">
      <text>
        <t xml:space="preserve">[Threaded comment]
 Your version of Excel allows you to read this threaded comment; however, any edits to it will get removed if the file is opened in a newer version of Excel. Learn more: https://go.microsoft.com/fwlink/?linkid=870924
Comment:
	Kathy will pay for the TC fee.
</t>
      </text>
    </comment>
    <comment authorId="113" xr:uid="{71e3b0c7-091e-4462-8cfc-57c833ac3b5e}" ref="AT209">
      <text>
        <t xml:space="preserve">[Threaded comment]
 Your version of Excel allows you to read this threaded comment; however, any edits to it will get removed if the file is opened in a newer version of Excel. Learn more: https://go.microsoft.com/fwlink/?linkid=870924
Comment:
	28410 Pinon Court
AM verified.
@isabel@coryhometeam.com
@kenia@coryhometeam.com
5.5 CI sent to Escrow.
Assigned to isabel@coryhometeam.com
</t>
      </text>
    </comment>
    <comment authorId="114" xr:uid="{730d9edd-7ac7-469d-8d77-ebe58a7114cc}" ref="AT144">
      <text>
        <t xml:space="preserve">[Threaded comment]
 Your version of Excel allows you to read this threaded comment; however, any edits to it will get removed if the file is opened in a newer version of Excel. Learn more: https://go.microsoft.com/fwlink/?linkid=870924
Comment:
	35899 Gatineau St
AM verified.
@isabel@coryhometeam.com
@kenia@coryhometeam.com
4.2 CI sent to Escrow.
Assigned to isabel@coryhometeam.com
</t>
      </text>
    </comment>
    <comment authorId="115" xr:uid="{7386650b-b404-49df-b7e0-97530362653a}" ref="X140">
      <text>
        <t xml:space="preserve">[Threaded comment]
 Your version of Excel allows you to read this threaded comment; however, any edits to it will get removed if the file is opened in a newer version of Excel. Learn more: https://go.microsoft.com/fwlink/?linkid=870924
Comment:
	4.7 COE moved to 4.20 as per ADM3.
</t>
      </text>
    </comment>
    <comment authorId="116" xr:uid="{746bf927-a954-4cb1-849c-bc7124bf8786}" ref="AT74">
      <text>
        <t xml:space="preserve">[Threaded comment]
 Your version of Excel allows you to read this threaded comment; however, any edits to it will get removed if the file is opened in a newer version of Excel. Learn more: https://go.microsoft.com/fwlink/?linkid=870924
Comment:
	INDIGO PL @isabel@coryhometeam.com
VERIFIED
Assigned to isabel@coryhometeam.com
</t>
      </text>
    </comment>
    <comment authorId="117" xr:uid="{749fbe89-bc66-4a1e-8c2d-0aa0000a40de}" ref="X11">
      <text>
        <t xml:space="preserve">[Threaded comment]
 Your version of Excel allows you to read this threaded comment; however, any edits to it will get removed if the file is opened in a newer version of Excel. Learn more: https://go.microsoft.com/fwlink/?linkid=870924
Comment:
	1.7 Executed ETA1 (COE 1.9) received.
</t>
      </text>
    </comment>
    <comment authorId="118" xr:uid="{753b7338-cf48-4945-9408-cda2a798afdf}" ref="AT195">
      <text>
        <t xml:space="preserve">[Threaded comment]
 Your version of Excel allows you to read this threaded comment; however, any edits to it will get removed if the file is opened in a newer version of Excel. Learn more: https://go.microsoft.com/fwlink/?linkid=870924
Comment:
	LA LUNE AVE @isabel@coryhometeam.com
VERIFIED
Assigned to isabel@coryhometeam.com
</t>
      </text>
    </comment>
    <comment authorId="119" xr:uid="{759c353c-5052-4b0f-92ad-aa8425678a36}" ref="AT88">
      <text>
        <t xml:space="preserve">[Threaded comment]
 Your version of Excel allows you to read this threaded comment; however, any edits to it will get removed if the file is opened in a newer version of Excel. Learn more: https://go.microsoft.com/fwlink/?linkid=870924
Comment:
	25180 Juno St 
AM verified.
@isabel@coryhometeam.com
@kenia@coryhometeam.com
2.19 CI sent to Escrow.
Assigned to isabel@coryhometeam.com
</t>
      </text>
    </comment>
    <comment authorId="120" xr:uid="{7a43ffc3-2d97-4130-a7d4-b673871d8e5a}" ref="X148">
      <text>
        <t xml:space="preserve">[Threaded comment]
 Your version of Excel allows you to read this threaded comment; however, any edits to it will get removed if the file is opened in a newer version of Excel. Learn more: https://go.microsoft.com/fwlink/?linkid=870924
Comment:
	Estimated date only. This escrow is contingent on the seller's property.
</t>
      </text>
    </comment>
    <comment authorId="121" xr:uid="{7bea020d-8896-4846-bcea-da7d2ad7e662}" ref="AT131">
      <text>
        <t xml:space="preserve">[Threaded comment]
 Your version of Excel allows you to read this threaded comment; however, any edits to it will get removed if the file is opened in a newer version of Excel. Learn more: https://go.microsoft.com/fwlink/?linkid=870924
Comment:
	WILLOW DR @isabel@coryhometeam.com
VERIFIED
Assigned to isabel@coryhometeam.com
</t>
      </text>
    </comment>
    <comment authorId="122" xr:uid="{7e61e757-7500-4aba-9819-7322435fdd74}" ref="X108">
      <text>
        <t xml:space="preserve">[Threaded comment]
 Your version of Excel allows you to read this threaded comment; however, any edits to it will get removed if the file is opened in a newer version of Excel. Learn more: https://go.microsoft.com/fwlink/?linkid=870924
Comment:
	3.23 COE extended. Please see ETA1.
</t>
      </text>
    </comment>
    <comment authorId="123" xr:uid="{7f4fb3e2-14ca-4a60-8e5e-f846292d9013}" ref="AB62">
      <text>
        <t xml:space="preserve">[Threaded comment]
 Your version of Excel allows you to read this threaded comment; however, any edits to it will get removed if the file is opened in a newer version of Excel. Learn more: https://go.microsoft.com/fwlink/?linkid=870924
Comment:
	@isabel@coryhometeam.com confirmed marios soi
Assigned to isabel@coryhometeam.com
Reply:
	Past Client of Mario (closed in 202)
</t>
      </text>
    </comment>
    <comment authorId="124" xr:uid="{7ff2e006-5dbe-4509-b7bf-8c937ea8a5e3}" ref="AT72">
      <text>
        <t xml:space="preserve">[Threaded comment]
 Your version of Excel allows you to read this threaded comment; however, any edits to it will get removed if the file is opened in a newer version of Excel. Learn more: https://go.microsoft.com/fwlink/?linkid=870924
Comment:
	JUTLAND DR @isabel@coryhometeam.com
VERIFIED
Assigned to isabel@coryhometeam.com
</t>
      </text>
    </comment>
    <comment authorId="125" xr:uid="{83700941-d30e-469a-92d3-178fc3858200}" ref="P12">
      <text>
        <t xml:space="preserve">[Threaded comment]
 Your version of Excel allows you to read this threaded comment; however, any edits to it will get removed if the file is opened in a newer version of Excel. Learn more: https://go.microsoft.com/fwlink/?linkid=870924
Comment:
	Choice Home Warranty - Outside TC
</t>
      </text>
    </comment>
    <comment authorId="126" xr:uid="{85b17574-f0f1-484f-9051-584c1dbf2916}" ref="AC140">
      <text>
        <t xml:space="preserve">[Threaded comment]
 Your version of Excel allows you to read this threaded comment; however, any edits to it will get removed if the file is opened in a newer version of Excel. Learn more: https://go.microsoft.com/fwlink/?linkid=870924
Comment:
	See ADM2 for price decrease from 690k to 680K.
</t>
      </text>
    </comment>
    <comment authorId="127" xr:uid="{868e6f30-5051-4921-b6f3-25a6843c36eb}" ref="AT201">
      <text>
        <t xml:space="preserve">[Threaded comment]
 Your version of Excel allows you to read this threaded comment; however, any edits to it will get removed if the file is opened in a newer version of Excel. Learn more: https://go.microsoft.com/fwlink/?linkid=870924
Comment:
	FULLERTON DR @isabel@coryhometeam.com
VERIFIED
Assigned to isabel@coryhometeam.com
</t>
      </text>
    </comment>
    <comment authorId="128" xr:uid="{872f473c-da78-48e4-ad6b-e7b22ddc07bc}" ref="AJ221">
      <text>
        <t xml:space="preserve">[Threaded comment]
 Your version of Excel allows you to read this threaded comment; however, any edits to it will get removed if the file is opened in a newer version of Excel. Learn more: https://go.microsoft.com/fwlink/?linkid=870924
Comment:
	Kiona approved off the top credit to Buyer.
</t>
      </text>
    </comment>
    <comment authorId="129" xr:uid="{8a4e8e2c-1cf1-4a12-be37-20fa0d9c0c01}" ref="X114">
      <text>
        <t xml:space="preserve">[Threaded comment]
 Your version of Excel allows you to read this threaded comment; however, any edits to it will get removed if the file is opened in a newer version of Excel. Learn more: https://go.microsoft.com/fwlink/?linkid=870924
Comment:
	3.23 COE extended. Please see ETA1.
</t>
      </text>
    </comment>
    <comment authorId="130" xr:uid="{8b0f3fae-5356-4a75-af5e-0f0ec9a2830d}" ref="C92">
      <text>
        <t xml:space="preserve">[Threaded comment]
 Your version of Excel allows you to read this threaded comment; however, any edits to it will get removed if the file is opened in a newer version of Excel. Learn more: https://go.microsoft.com/fwlink/?linkid=870924
Comment:
	@dana@coryhometeam.com Reminder to myself to charge Carmen for past due ISA services through the store after this closes.
Assigned to dana@coryhometeam.com
</t>
      </text>
    </comment>
    <comment authorId="131" xr:uid="{8b5c66b2-8f6b-4197-8683-6149bcb75c27}" ref="AT166">
      <text>
        <t xml:space="preserve">[Threaded comment]
 Your version of Excel allows you to read this threaded comment; however, any edits to it will get removed if the file is opened in a newer version of Excel. Learn more: https://go.microsoft.com/fwlink/?linkid=870924
Comment:
	28480 Cosmos Dr
AM verified.
@isabel@coryhometeam.com
@kenia@coryhometeam.com
4.14 CI sent to Escrow.
Assigned to isabel@coryhometeam.com
</t>
      </text>
    </comment>
    <comment authorId="132" xr:uid="{8badc98f-f4ee-40b7-9898-396a25fefbcf}" ref="AJ220">
      <text>
        <t xml:space="preserve">[Threaded comment]
 Your version of Excel allows you to read this threaded comment; however, any edits to it will get removed if the file is opened in a newer version of Excel. Learn more: https://go.microsoft.com/fwlink/?linkid=870924
Comment:
	Cherée is crediting this from her commission toward Buyer's Home Warranty.
</t>
      </text>
    </comment>
    <comment authorId="133" xr:uid="{8c14fb60-63ef-46e7-9f2a-3441a039622d}" ref="X38">
      <text>
        <t xml:space="preserve">[Threaded comment]
 Your version of Excel allows you to read this threaded comment; however, any edits to it will get removed if the file is opened in a newer version of Excel. Learn more: https://go.microsoft.com/fwlink/?linkid=870924
Comment:
	1.5 ETA3 COE 1.9
Reply:
	1.13 ETA4 COE 1.20
Reply:
	1.21 Pushed through Monday as per Kenia's advise.
Reply:
	1.27 As per Escrow: Asked the lender for an update this morning – haven’t heard back. Just sent another email for status on loan docs/closing.
Jenn moved the COE to 28th in SS.
Reply:
	1.28 COE moved to 1/30. No update on loan.
Reply:
	2.2 Pushed COE to 2.6
Reply:
	2.6 Moved for another week. No lender updates as of today.
Reply:
	2.10 ETA5 COE 2.10
</t>
      </text>
    </comment>
    <comment authorId="134" xr:uid="{8c51afd7-4797-4449-bab3-29d0d45eb376}" ref="AI56">
      <text>
        <t xml:space="preserve">[Threaded comment]
 Your version of Excel allows you to read this threaded comment; however, any edits to it will get removed if the file is opened in a newer version of Excel. Learn more: https://go.microsoft.com/fwlink/?linkid=870924
Comment:
	1.13 $500 paid by Seller per contract. Total admin fee is $1,395.00.
</t>
      </text>
    </comment>
    <comment authorId="135" xr:uid="{8e53ae19-d0b0-48af-b9cd-d597a46edca5}" ref="AE222">
      <text>
        <t xml:space="preserve">[Threaded comment]
 Your version of Excel allows you to read this threaded comment; however, any edits to it will get removed if the file is opened in a newer version of Excel. Learn more: https://go.microsoft.com/fwlink/?linkid=870924
Comment:
	The commission is flat fee.
</t>
      </text>
    </comment>
    <comment authorId="136" xr:uid="{8ecb6dd7-667d-401c-af4d-cb9d58168a9d}" ref="AT105">
      <text>
        <t xml:space="preserve">[Threaded comment]
 Your version of Excel allows you to read this threaded comment; however, any edits to it will get removed if the file is opened in a newer version of Excel. Learn more: https://go.microsoft.com/fwlink/?linkid=870924
Comment:
	PROMENADE RD @isabel@coryhometeam.com
VERIFIED
Assigned to isabel@coryhometeam.com
</t>
      </text>
    </comment>
    <comment authorId="137" xr:uid="{8eccb9fd-64b9-4aef-9b75-a09413daf8fb}" ref="AC217">
      <text>
        <t xml:space="preserve">[Threaded comment]
 Your version of Excel allows you to read this threaded comment; however, any edits to it will get removed if the file is opened in a newer version of Excel. Learn more: https://go.microsoft.com/fwlink/?linkid=870924
Comment:
	5.20 Adjusted purchase price to base price as per agreement.
</t>
      </text>
    </comment>
    <comment authorId="138" xr:uid="{8f1fee8e-d724-4b94-b0e9-e44afd1e50f6}" ref="AG92">
      <text>
        <t xml:space="preserve">[Threaded comment]
 Your version of Excel allows you to read this threaded comment; however, any edits to it will get removed if the file is opened in a newer version of Excel. Learn more: https://go.microsoft.com/fwlink/?linkid=870924
Comment:
	@kenia@coryhometeam.com no active subscription for Carmen, $500 to be charged
Assigned to kenia@coryhometeam.com
Reply:
	the TS is updated
Marked as done
</t>
      </text>
    </comment>
    <comment authorId="139" xr:uid="{8fe87287-1a13-4eee-8e3c-7d6060eae0dc}" ref="AT85">
      <text>
        <t xml:space="preserve">[Threaded comment]
 Your version of Excel allows you to read this threaded comment; however, any edits to it will get removed if the file is opened in a newer version of Excel. Learn more: https://go.microsoft.com/fwlink/?linkid=870924
Comment:
	CARMEL RD @isabel@coryhometeam.com
VERIFIED
Assigned to isabel@coryhometeam.com
</t>
      </text>
    </comment>
    <comment authorId="140" xr:uid="{904a0417-15d6-48ec-ba27-4607e7c18e4b}" ref="AT21">
      <text>
        <t xml:space="preserve">[Threaded comment]
 Your version of Excel allows you to read this threaded comment; however, any edits to it will get removed if the file is opened in a newer version of Excel. Learn more: https://go.microsoft.com/fwlink/?linkid=870924
Comment:
	1.4 AM verified.
@isabel@coryhometeam.com 
@kenia@coryhometeam.com
Assigned to isabel@coryhometeam.com
</t>
      </text>
    </comment>
    <comment authorId="141" xr:uid="{90f2b34b-2890-4d6c-b387-4ed1739779da}" ref="AT60">
      <text>
        <t xml:space="preserve">[Threaded comment]
 Your version of Excel allows you to read this threaded comment; however, any edits to it will get removed if the file is opened in a newer version of Excel. Learn more: https://go.microsoft.com/fwlink/?linkid=870924
Comment:
	SEVILLA AVE @isabel@coryhometeam.com
VERIFIED
Assigned to isabel@coryhometeam.com
</t>
      </text>
    </comment>
    <comment authorId="142" xr:uid="{9105c30a-d080-4be5-a918-daa8f9da4348}" ref="AT216">
      <text>
        <t xml:space="preserve">[Threaded comment]
 Your version of Excel allows you to read this threaded comment; however, any edits to it will get removed if the file is opened in a newer version of Excel. Learn more: https://go.microsoft.com/fwlink/?linkid=870924
Comment:
	31336 Pine Oak Rd
AM verified.
@isabel@coryhometeam.com
@kenia@coryhometeam.com
5.19 CI sent to Escrow.
Assigned to isabel@coryhometeam.com
</t>
      </text>
    </comment>
    <comment authorId="143" xr:uid="{91e125c1-5773-496e-a7de-08939834e085}" ref="AT42">
      <text>
        <t xml:space="preserve">[Threaded comment]
 Your version of Excel allows you to read this threaded comment; however, any edits to it will get removed if the file is opened in a newer version of Excel. Learn more: https://go.microsoft.com/fwlink/?linkid=870924
Comment:
	COLUMBIA UNION @isabel@coryhometeam.com
VERIFIED
Assigned to isabel@coryhometeam.com
</t>
      </text>
    </comment>
    <comment authorId="144" xr:uid="{939f3c48-fe16-47ac-8d80-6c7e556f59d6}" ref="AF165">
      <text>
        <t xml:space="preserve">[Threaded comment]
 Your version of Excel allows you to read this threaded comment; however, any edits to it will get removed if the file is opened in a newer version of Excel. Learn more: https://go.microsoft.com/fwlink/?linkid=870924
Comment:
	Kiona approve $795 "off the top" 
Re: 738 Highlands Dr, San Jacinto, CA 92582
Inbox
Summarize this email
Kiona Grantham
1:39 PM (22 minutes ago)
to Dana, Jenna, Isabel, me
Jenna this is a one time approval. Please note that in the future I can't approve because then I have to for everyone. :) 
On Wed, Apr 22, 2026 at 1:11 PM Dana Martinez &lt;dana@coryhometeam.com&gt; wrote:
Hi Jenna, Thank you for letting me know. Typically if the agent is unable to collect the fees it would be taken out of the agents split. We would have to have Kionas approval otherwise. I'll add her to this email. 
On Tue, Apr 21, 2026 at 2:16 PM Jenna Melendez &lt;jenna@coryhometeam.com&gt; wrote:
Hi Dana, buyer doesn’t have funds for $1,095. He’s a VA buyer. Since it’s a new build he actually only needs to pay the $595 fee and $200 dollar TC Fee. Can the $795 be taken off the top, out of my commission? He just doesn’t have funds to cover the extra.
@dana@coryhometeam.com 
@isabel@coryhometeam.com
Assigned to dana@coryhometeam.com
</t>
      </text>
    </comment>
    <comment authorId="145" xr:uid="{942fe896-12c9-441a-8b70-7d20acb95b31}" ref="AT126">
      <text>
        <t xml:space="preserve">[Threaded comment]
 Your version of Excel allows you to read this threaded comment; however, any edits to it will get removed if the file is opened in a newer version of Excel. Learn more: https://go.microsoft.com/fwlink/?linkid=870924
Comment:
	CLAREMONT ST @isabel@coryhometeam.com
VERIFIED
Assigned to isabel@coryhometeam.com
</t>
      </text>
    </comment>
    <comment authorId="146" xr:uid="{94648257-4d5c-4563-bcec-1355911343ba}" ref="AT143">
      <text>
        <t xml:space="preserve">[Threaded comment]
 Your version of Excel allows you to read this threaded comment; however, any edits to it will get removed if the file is opened in a newer version of Excel. Learn more: https://go.microsoft.com/fwlink/?linkid=870924
Comment:
	BEAULIEU RD @isabel@coryhometeam.com
VERIFIED
Assigned to isabel@coryhometeam.com
</t>
      </text>
    </comment>
    <comment authorId="147" xr:uid="{95645de3-0002-4626-80fa-932489732038}" ref="AT142">
      <text>
        <t xml:space="preserve">[Threaded comment]
 Your version of Excel allows you to read this threaded comment; however, any edits to it will get removed if the file is opened in a newer version of Excel. Learn more: https://go.microsoft.com/fwlink/?linkid=870924
Comment:
	15707 Merced Ave
AM verified.
@isabel@coryhometeam.com
@kenia@coryhometeam.com
3.10 CI sent to Escrow.
Assigned to isabel@coryhometeam.com
</t>
      </text>
    </comment>
    <comment authorId="148" xr:uid="{965fff37-f17f-47a7-96ed-8544d2c8f901}" ref="AT212">
      <text>
        <t xml:space="preserve">[Threaded comment]
 Your version of Excel allows you to read this threaded comment; however, any edits to it will get removed if the file is opened in a newer version of Excel. Learn more: https://go.microsoft.com/fwlink/?linkid=870924
Comment:
	1217 Juliette Place
AM verified.
@isabel@coryhometeam.com
@kenia@coryhometeam.com
5.18 CI sent to Escrow.
Assigned to isabel@coryhometeam.com
</t>
      </text>
    </comment>
    <comment authorId="149" xr:uid="{98861945-2746-4393-8139-9e0a53da3174}" ref="AJ130">
      <text>
        <t xml:space="preserve">[Threaded comment]
 Your version of Excel allows you to read this threaded comment; however, any edits to it will get removed if the file is opened in a newer version of Excel. Learn more: https://go.microsoft.com/fwlink/?linkid=870924
Comment:
	From Tyler's commission, $400 credit to Buyer for closing cost
</t>
      </text>
    </comment>
    <comment authorId="150" xr:uid="{9998a71d-9f92-4245-9724-2a591dd273db}" ref="AT188">
      <text>
        <t xml:space="preserve">[Threaded comment]
 Your version of Excel allows you to read this threaded comment; however, any edits to it will get removed if the file is opened in a newer version of Excel. Learn more: https://go.microsoft.com/fwlink/?linkid=870924
Comment:
	7293 El Cielo Cir
AM verified.
@isabel@coryhometeam.com
@kenia@coryhometeam.com
4.30 CI sent to Escrow.
Assigned to isabel@coryhometeam.com
</t>
      </text>
    </comment>
    <comment authorId="151" xr:uid="{9ad02470-af6b-4889-a3d8-d27ed620864f}" ref="AO136">
      <text>
        <t xml:space="preserve">[Threaded comment]
 Your version of Excel allows you to read this threaded comment; however, any edits to it will get removed if the file is opened in a newer version of Excel. Learn more: https://go.microsoft.com/fwlink/?linkid=870924
Comment:
	@isabel@coryhometeam.com reminder this is being split between Bridget and Isy. 60% Bridget and 40% Isy. Isa still needs to pay her New Agent 5% to bridget
Assigned to isabel@coryhometeam.com
</t>
      </text>
    </comment>
    <comment authorId="152" xr:uid="{9b088b4d-e74a-44af-b1fc-e55741971b8f}" ref="Q14">
      <text>
        <t xml:space="preserve">[Threaded comment]
 Your version of Excel allows you to read this threaded comment; however, any edits to it will get removed if the file is opened in a newer version of Excel. Learn more: https://go.microsoft.com/fwlink/?linkid=870924
Comment:
	Your One NHD
</t>
      </text>
    </comment>
    <comment authorId="153" xr:uid="{9b616e70-2639-4ea3-b46d-9a4411adf018}" ref="AT117">
      <text>
        <t xml:space="preserve">[Threaded comment]
 Your version of Excel allows you to read this threaded comment; however, any edits to it will get removed if the file is opened in a newer version of Excel. Learn more: https://go.microsoft.com/fwlink/?linkid=870924
Comment:
	BRADLEY @isabel@coryhometeam.com
VERIFIED
Assigned to isabel@coryhometeam.com
</t>
      </text>
    </comment>
    <comment authorId="154" xr:uid="{9c605553-e02f-41a6-9e00-614d3b51570f}" ref="X113">
      <text>
        <t xml:space="preserve">[Threaded comment]
 Your version of Excel allows you to read this threaded comment; however, any edits to it will get removed if the file is opened in a newer version of Excel. Learn more: https://go.microsoft.com/fwlink/?linkid=870924
Comment:
	3.19 COE moved as per ADM4.
</t>
      </text>
    </comment>
    <comment authorId="155" xr:uid="{9e73886f-3d80-416d-8df1-db1942335812}" ref="P44">
      <text>
        <t xml:space="preserve">[Threaded comment]
 Your version of Excel allows you to read this threaded comment; however, any edits to it will get removed if the file is opened in a newer version of Excel. Learn more: https://go.microsoft.com/fwlink/?linkid=870924
Comment:
	Buyer to pay for Home Warranty as per SCO #1
</t>
      </text>
    </comment>
    <comment authorId="156" xr:uid="{9fc236fc-b837-41c0-9b47-0c18cf6a7fce}" ref="AT123">
      <text>
        <t xml:space="preserve">[Threaded comment]
 Your version of Excel allows you to read this threaded comment; however, any edits to it will get removed if the file is opened in a newer version of Excel. Learn more: https://go.microsoft.com/fwlink/?linkid=870924
Comment:
	VIA LA PRESA @isabel@coryhometeam.com
VERIFIED
Assigned to isabel@coryhometeam.com
</t>
      </text>
    </comment>
    <comment authorId="157" xr:uid="{a323e10e-e567-4c17-98a2-6ad3ef5bdfb8}" ref="AT116">
      <text>
        <t xml:space="preserve">[Threaded comment]
 Your version of Excel allows you to read this threaded comment; however, any edits to it will get removed if the file is opened in a newer version of Excel. Learn more: https://go.microsoft.com/fwlink/?linkid=870924
Comment:
	25818 Iris Ave #C
AM verified.
@isabel@coryhometeam.com
@kenia@coryhometeam.com
3.2 CI sent to Escrow.
Assigned to isabel@coryhometeam.com
</t>
      </text>
    </comment>
    <comment authorId="158" xr:uid="{a3470841-d027-45c7-b6c6-0cfc5e44921d}" ref="AG179">
      <text>
        <t xml:space="preserve">[Threaded comment]
 Your version of Excel allows you to read this threaded comment; however, any edits to it will get removed if the file is opened in a newer version of Excel. Learn more: https://go.microsoft.com/fwlink/?linkid=870924
Comment:
	Connors first deal TC fee is being waived @isabel@coryhometeam.com @kenia@coryhometeam.com
Reply:
	I don’t think Connor is my agent.
Reply:
	opps I'll update thanks
Reply:
	Marked as resolved
Reply:
	ok I've updated it, 
but you guys are checking that on back end as well correct? @dana@coryhometeam.com @isabel@coryhometeam.com
Re-opened
</t>
      </text>
    </comment>
    <comment authorId="159" xr:uid="{a38f6b9d-7eb6-4731-a916-e0e9beb9345d}" ref="AL74">
      <text>
        <t xml:space="preserve">[Threaded comment]
 Your version of Excel allows you to read this threaded comment; however, any edits to it will get removed if the file is opened in a newer version of Excel. Learn more: https://go.microsoft.com/fwlink/?linkid=870924
Comment:
	seller advance w Steve Hayden
</t>
      </text>
    </comment>
    <comment authorId="160" xr:uid="{a676f0a1-a3e2-4f38-a315-cbf60c1d6f41}" ref="AJ58">
      <text>
        <t xml:space="preserve">[Threaded comment]
 Your version of Excel allows you to read this threaded comment; however, any edits to it will get removed if the file is opened in a newer version of Excel. Learn more: https://go.microsoft.com/fwlink/?linkid=870924
Comment:
	Send invoice to Cheryl to pay for sign install.
</t>
      </text>
    </comment>
    <comment authorId="161" xr:uid="{a8783086-9581-4444-91c9-0c214f7ee62f}" ref="AF63">
      <text>
        <t xml:space="preserve">[Threaded comment]
 Your version of Excel allows you to read this threaded comment; however, any edits to it will get removed if the file is opened in a newer version of Excel. Learn more: https://go.microsoft.com/fwlink/?linkid=870924
Comment:
	2.12 As per Kendra's Take Sheet: I’m not charging them anything, I’ll cover the $595 fee.
</t>
      </text>
    </comment>
    <comment authorId="162" xr:uid="{a91ec549-9eec-42f0-beda-4f83b080abc0}" ref="AT190">
      <text>
        <t xml:space="preserve">[Threaded comment]
 Your version of Excel allows you to read this threaded comment; however, any edits to it will get removed if the file is opened in a newer version of Excel. Learn more: https://go.microsoft.com/fwlink/?linkid=870924
Comment:
	1040 W Macarthur #42
AM verified.
@isabel@coryhometeam.com
@kenia@coryhometeam.com
5.13 CI sent to Escrow.
Assigned to isabel@coryhometeam.com
</t>
      </text>
    </comment>
    <comment authorId="163" xr:uid="{a9696f12-bd7d-4222-bacc-08b67cb6937c}" ref="AM36">
      <text>
        <t xml:space="preserve">[Threaded comment]
 Your version of Excel allows you to read this threaded comment; however, any edits to it will get removed if the file is opened in a newer version of Excel. Learn more: https://go.microsoft.com/fwlink/?linkid=870924
Comment:
	This split is approved by Blake
</t>
      </text>
    </comment>
    <comment authorId="164" xr:uid="{aa2fe946-c9c5-4d46-add0-ad08544b29c8}" ref="AT41">
      <text>
        <t xml:space="preserve">[Threaded comment]
 Your version of Excel allows you to read this threaded comment; however, any edits to it will get removed if the file is opened in a newer version of Excel. Learn more: https://go.microsoft.com/fwlink/?linkid=870924
Comment:
	SWEETBRIER CT @isabel@coryhometeam.com
VERIFIED
Assigned to isabel@coryhometeam.com
</t>
      </text>
    </comment>
    <comment authorId="165" xr:uid="{ac930ec9-f481-4bfd-aed3-a71432e5e2e1}" ref="W80">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30 Days after Seller enters into a contract to acquire replacement property or the removal of the Finding Replacement Property Contingency (SPRP 1.A).
Reply:
	SPRP Finding of Replacement Property 
Start Date per SPRP: 2/11
Disclosures to buyers: Attached
CR1 - Loan | Appraisal: 2/23
CR2 - Buyers Investigation: 2/25
CR3 - L(4)-L(8): 3/2
Final walk through (VP): 3/6
COE: 3/11
Possession: 3/18
</t>
      </text>
    </comment>
    <comment authorId="166" xr:uid="{ac96540d-4bdb-48ea-b078-94c6aa482811}" ref="AJ128">
      <text>
        <t xml:space="preserve">[Threaded comment]
 Your version of Excel allows you to read this threaded comment; however, any edits to it will get removed if the file is opened in a newer version of Excel. Learn more: https://go.microsoft.com/fwlink/?linkid=870924
Comment:
	This is a credit to the Seller for Home Warranty costs from Alexandra's commission.
</t>
      </text>
    </comment>
    <comment authorId="167" xr:uid="{ae1a1a54-09fb-43d5-ad0c-44ea4180e4bd}" ref="AT44">
      <text>
        <t xml:space="preserve">[Threaded comment]
 Your version of Excel allows you to read this threaded comment; however, any edits to it will get removed if the file is opened in a newer version of Excel. Learn more: https://go.microsoft.com/fwlink/?linkid=870924
Comment:
	JASPER ST. SPC 12 @isabel@coryhometeam.com
VERIFIED
Assigned to isabel@coryhometeam.com
</t>
      </text>
    </comment>
    <comment authorId="168" xr:uid="{aece508e-090f-49ce-aff9-fb1d1a6602e3}" ref="AD51">
      <text>
        <t xml:space="preserve">[Threaded comment]
 Your version of Excel allows you to read this threaded comment; however, any edits to it will get removed if the file is opened in a newer version of Excel. Learn more: https://go.microsoft.com/fwlink/?linkid=870924
Comment:
	2% from Seller 1% from Buyer
</t>
      </text>
    </comment>
    <comment authorId="169" xr:uid="{af45f779-e434-41ea-bd2e-88bd2b6b9bbc}" ref="AT146">
      <text>
        <t xml:space="preserve">[Threaded comment]
 Your version of Excel allows you to read this threaded comment; however, any edits to it will get removed if the file is opened in a newer version of Excel. Learn more: https://go.microsoft.com/fwlink/?linkid=870924
Comment:
	4448 Owens Street #106
AM verified.
@isabel@coryhometeam.com
@kenia@coryhometeam.com
3.20 CI sent to Escrow.
Assigned to isabel@coryhometeam.com
</t>
      </text>
    </comment>
    <comment authorId="170" xr:uid="{af97b2b5-3e31-46da-8f66-c6517bd5d4c5}" ref="AB130">
      <text>
        <t xml:space="preserve">[Threaded comment]
 Your version of Excel allows you to read this threaded comment; however, any edits to it will get removed if the file is opened in a newer version of Excel. Learn more: https://go.microsoft.com/fwlink/?linkid=870924
Comment:
	original lead source is Zillow, reg 2022, no referral fee due
Reply:
	The splits are for Tyler not Blake- company provided lead 50/50 split @isabel@coryhometeam.com
</t>
      </text>
    </comment>
    <comment authorId="171" xr:uid="{afb847fd-7aa2-45b7-8246-b2d04049d694}" ref="P178">
      <text>
        <t xml:space="preserve">[Threaded comment]
 Your version of Excel allows you to read this threaded comment; however, any edits to it will get removed if the file is opened in a newer version of Excel. Learn more: https://go.microsoft.com/fwlink/?linkid=870924
Comment:
	Home Guard
</t>
      </text>
    </comment>
    <comment authorId="172" xr:uid="{b0c13552-cb70-4759-b330-35bd315d4a90}" ref="AT138">
      <text>
        <t xml:space="preserve">[Threaded comment]
 Your version of Excel allows you to read this threaded comment; however, any edits to it will get removed if the file is opened in a newer version of Excel. Learn more: https://go.microsoft.com/fwlink/?linkid=870924
Comment:
	42951 Virgo Court
AM verified.
@isabel@coryhometeam.com
@kenia@coryhometeam.com
3.25 CI sent to Escrow.
Assigned to isabel@coryhometeam.com
</t>
      </text>
    </comment>
    <comment authorId="173" xr:uid="{b2605209-484a-40c6-b266-4e8248e6532e}" ref="AT57">
      <text>
        <t xml:space="preserve">[Threaded comment]
 Your version of Excel allows you to read this threaded comment; however, any edits to it will get removed if the file is opened in a newer version of Excel. Learn more: https://go.microsoft.com/fwlink/?linkid=870924
Comment:
	SARADELLA COURT @isabel@coryhometeam.com
VERIFIED
Assigned to isabel@coryhometeam.com
</t>
      </text>
    </comment>
    <comment authorId="174" xr:uid="{b31c6e48-fa2c-42d6-94b6-e53d9dce371c}" ref="X137">
      <text>
        <t xml:space="preserve">[Threaded comment]
 Your version of Excel allows you to read this threaded comment; however, any edits to it will get removed if the file is opened in a newer version of Excel. Learn more: https://go.microsoft.com/fwlink/?linkid=870924
Comment:
	Contingency Removals: All time periods shall commence upon the Seller’s delivery of property evidence or the removal of the Purchase Replacement Property (SPRP 1.A).
</t>
      </text>
    </comment>
    <comment authorId="175" xr:uid="{b396c789-6d28-4277-a775-b5bdb709fe0f}" ref="AT213">
      <text>
        <t xml:space="preserve">[Threaded comment]
 Your version of Excel allows you to read this threaded comment; however, any edits to it will get removed if the file is opened in a newer version of Excel. Learn more: https://go.microsoft.com/fwlink/?linkid=870924
Comment:
	1098 Stonebridge Ave
AM verified.
@isabel@coryhometeam.com
@kenia@coryhometeam.com
5.12 CI sent to Escrow.
Assigned to isabel@coryhometeam.com
</t>
      </text>
    </comment>
    <comment authorId="176" xr:uid="{b4ccbf0a-e028-44ef-8a23-6a2543978c3e}" ref="AJ74">
      <text>
        <t xml:space="preserve">[Threaded comment]
 Your version of Excel allows you to read this threaded comment; however, any edits to it will get removed if the file is opened in a newer version of Excel. Learn more: https://go.microsoft.com/fwlink/?linkid=870924
Comment:
	@dana@coryhometeam.com This will need to be billed to Myrna at COE for payment.
Showcase Photos $500
Sign Install $99
Assigned to dana@coryhometeam.com
Reply:
	@isabel@coryhometeam.com I correctd this. I am not sure why it had $304 on there. Dana will need to generate the Invoice in the store.
Reassigned to isabel@coryhometeam.com
Reply:
	invoice sent
</t>
      </text>
    </comment>
    <comment authorId="177" xr:uid="{b5963ab7-5cff-46ed-9efe-791d9297595f}" ref="AG115">
      <text>
        <t xml:space="preserve">[Threaded comment]
 Your version of Excel allows you to read this threaded comment; however, any edits to it will get removed if the file is opened in a newer version of Excel. Learn more: https://go.microsoft.com/fwlink/?linkid=870924
Comment:
	3.16 As per Cavin the buyer will only pay the 595 fee. Please see the MT-BR form.
</t>
      </text>
    </comment>
    <comment authorId="178" xr:uid="{b5aabd48-82d4-4bb1-8ecd-f33c67be6433}" ref="AT96">
      <text>
        <t xml:space="preserve">[Threaded comment]
 Your version of Excel allows you to read this threaded comment; however, any edits to it will get removed if the file is opened in a newer version of Excel. Learn more: https://go.microsoft.com/fwlink/?linkid=870924
Comment:
	BRIARVALE ST @isabel@coryhometeam.com
VERIFIED
Assigned to isabel@coryhometeam.com
</t>
      </text>
    </comment>
    <comment authorId="179" xr:uid="{b5f225b9-0007-40e5-85ff-0de465410ef1}" ref="P107">
      <text>
        <t xml:space="preserve">[Threaded comment]
 Your version of Excel allows you to read this threaded comment; however, any edits to it will get removed if the file is opened in a newer version of Excel. Learn more: https://go.microsoft.com/fwlink/?linkid=870924
Comment:
	3.3 Needs AEA to clarify.
</t>
      </text>
    </comment>
    <comment authorId="180" xr:uid="{b68f809f-3b45-4973-a133-6bc5bcdbcbd8}" ref="AT101">
      <text>
        <t xml:space="preserve">[Threaded comment]
 Your version of Excel allows you to read this threaded comment; however, any edits to it will get removed if the file is opened in a newer version of Excel. Learn more: https://go.microsoft.com/fwlink/?linkid=870924
Comment:
	MURRIETA RD @isabel@coryhometeam.com
VERIFIED
Assigned to isabel@coryhometeam.com
</t>
      </text>
    </comment>
    <comment authorId="181" xr:uid="{b79e4b00-bcee-4a07-8ee6-7634cf57f2ff}" ref="A80">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30 Days after Seller enters into a contract to acquire replacement property or the removal of the Finding Replacement Property Contingency (SPRP 1.A).
</t>
      </text>
    </comment>
    <comment authorId="182" xr:uid="{b809566d-90f0-4a6d-8f53-336d394fb804}" ref="AB162">
      <text>
        <t xml:space="preserve">[Threaded comment]
 Your version of Excel allows you to read this threaded comment; however, any edits to it will get removed if the file is opened in a newer version of Excel. Learn more: https://go.microsoft.com/fwlink/?linkid=870924
Comment:
	@isabel@coryhometeam.com @remy@coryhometeam.com Per Blake this is a crush it marketing lead, which has a referral fee due
Assigned to isabel@coryhometeam.com
</t>
      </text>
    </comment>
    <comment authorId="183" xr:uid="{b84309f0-042b-48bf-9966-08259e1f356a}" ref="AG47">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t>
      </text>
    </comment>
    <comment authorId="184" xr:uid="{b873b07b-1772-4994-bb96-495976d2e7a4}" ref="AT153">
      <text>
        <t xml:space="preserve">[Threaded comment]
 Your version of Excel allows you to read this threaded comment; however, any edits to it will get removed if the file is opened in a newer version of Excel. Learn more: https://go.microsoft.com/fwlink/?linkid=870924
Comment:
	27565 Boston Dr
AM verified.
@isabel@coryhometeam.com
@kenia@coryhometeam.com
4.6 CI sent to Escrow.
Assigned to isabel@coryhometeam.com
</t>
      </text>
    </comment>
    <comment authorId="185" xr:uid="{b8c10659-41d2-4fb6-b551-3e34c5a55a8d}" ref="AT154">
      <text>
        <t xml:space="preserve">[Threaded comment]
 Your version of Excel allows you to read this threaded comment; however, any edits to it will get removed if the file is opened in a newer version of Excel. Learn more: https://go.microsoft.com/fwlink/?linkid=870924
Comment:
	4438 Wanda Cir
AM verified.
@isabel@coryhometeam.com
@kenia@coryhometeam.com
4.20 CI sent to Escrow.
Assigned to isabel@coryhometeam.com
</t>
      </text>
    </comment>
    <comment authorId="186" xr:uid="{bd62354d-4f7b-42cb-840c-2b97290788cd}" ref="AI63">
      <text>
        <t xml:space="preserve">[Threaded comment]
 Your version of Excel allows you to read this threaded comment; however, any edits to it will get removed if the file is opened in a newer version of Excel. Learn more: https://go.microsoft.com/fwlink/?linkid=870924
Comment:
	@kenia@coryhometeam.com @isabel@coryhometeam.com $1350, I dont see a check or line item on the Final Statement that this was collected.
</t>
      </text>
    </comment>
    <comment authorId="187" xr:uid="{be26a452-39ff-4293-b28d-caab1137cff1}" ref="AT54">
      <text>
        <t xml:space="preserve">[Threaded comment]
 Your version of Excel allows you to read this threaded comment; however, any edits to it will get removed if the file is opened in a newer version of Excel. Learn more: https://go.microsoft.com/fwlink/?linkid=870924
Comment:
	DEL PASO CT @isabel@coryhometeam.com
VERIFIED
Assigned to isabel@coryhometeam.com
</t>
      </text>
    </comment>
    <comment authorId="188" xr:uid="{bf730d10-8a12-4341-a029-981efa20fd20}" ref="AD48">
      <text>
        <t xml:space="preserve">[Threaded comment]
 Your version of Excel allows you to read this threaded comment; however, any edits to it will get removed if the file is opened in a newer version of Excel. Learn more: https://go.microsoft.com/fwlink/?linkid=870924
Comment:
	@dana@coryhometeam.com 
@isabel@coryhometeam.com 
Jeff said he negotiated at joining his personal Listing to be 0% commission w $1500 flat fee. 
But he added the $1500 as Admin on the RLA just wanted to check/give you heads up if this is correct?
Assigned to dana@coryhometeam.com
</t>
      </text>
    </comment>
    <comment authorId="189" xr:uid="{bfd7fb3d-ffa6-4a3e-854a-73afb3230d90}" ref="AL87">
      <text>
        <t xml:space="preserve">[Threaded comment]
 Your version of Excel allows you to read this threaded comment; however, any edits to it will get removed if the file is opened in a newer version of Excel. Learn more: https://go.microsoft.com/fwlink/?linkid=870924
Comment:
	seller advance w steve hayden
</t>
      </text>
    </comment>
    <comment authorId="190" xr:uid="{c1dcedd9-37db-4624-af7a-27098565d30e}" ref="AT93">
      <text>
        <t xml:space="preserve">[Threaded comment]
 Your version of Excel allows you to read this threaded comment; however, any edits to it will get removed if the file is opened in a newer version of Excel. Learn more: https://go.microsoft.com/fwlink/?linkid=870924
Comment:
	14th STREET @isabel@coryhometeam.com
VERIFIED
Assigned to isabel@coryhometeam.com
</t>
      </text>
    </comment>
    <comment authorId="191" xr:uid="{c230365c-5d22-432b-81a8-ef41259c03c6}" ref="AD66">
      <text>
        <t xml:space="preserve">[Threaded comment]
 Your version of Excel allows you to read this threaded comment; however, any edits to it will get removed if the file is opened in a newer version of Excel. Learn more: https://go.microsoft.com/fwlink/?linkid=870924
Comment:
	2% from seller - 2% from buyer
</t>
      </text>
    </comment>
    <comment authorId="192" xr:uid="{c28c7f60-3ff0-4818-be83-13cbe30fb12b}" ref="AT94">
      <text>
        <t xml:space="preserve">[Threaded comment]
 Your version of Excel allows you to read this threaded comment; however, any edits to it will get removed if the file is opened in a newer version of Excel. Learn more: https://go.microsoft.com/fwlink/?linkid=870924
Comment:
	VIA DE LA VALLE @isabel@coryhometeam.com
VERIFIED
Assigned to isabel@coryhometeam.com
</t>
      </text>
    </comment>
    <comment authorId="193" xr:uid="{c32ba321-95bc-44e9-b45f-58954289d1af}" ref="AH47">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Reply:
	@dana@coryhometeam.com Refere to the email thread sent today 02/17 regarding Alicia subscribing following COE.
</t>
      </text>
    </comment>
    <comment authorId="194" xr:uid="{c36cdc31-c021-4d26-8b21-62db0a5ee884}" ref="AN48">
      <text>
        <t xml:space="preserve">[Threaded comment]
 Your version of Excel allows you to read this threaded comment; however, any edits to it will get removed if the file is opened in a newer version of Excel. Learn more: https://go.microsoft.com/fwlink/?linkid=870924
Comment:
	@dana@coryhometeam.com just making sure we are on the same page because we seldomly do these, this whole total would be to the company. The $1500 commission isn’t shared.
</t>
      </text>
    </comment>
    <comment authorId="195" xr:uid="{c37f5f6f-2a49-4dc7-b05e-642bffc850ea}" ref="AT162">
      <text>
        <t xml:space="preserve">[Threaded comment]
 Your version of Excel allows you to read this threaded comment; however, any edits to it will get removed if the file is opened in a newer version of Excel. Learn more: https://go.microsoft.com/fwlink/?linkid=870924
Comment:
	68916 H St #59
AM verified.
@isabel@coryhometeam.com
@kenia@coryhometeam.com
4.13 CI sent to Escrow.
</t>
      </text>
    </comment>
    <comment authorId="196" xr:uid="{c77d2a14-bf40-44c7-b4b8-8e897ce7901c}" ref="AT59">
      <text>
        <t xml:space="preserve">[Threaded comment]
 Your version of Excel allows you to read this threaded comment; however, any edits to it will get removed if the file is opened in a newer version of Excel. Learn more: https://go.microsoft.com/fwlink/?linkid=870924
Comment:
	JOAQUIN RIDGE @isabel@coryhometeam.com
VERIFIED
Assigned to isabel@coryhometeam.com
</t>
      </text>
    </comment>
    <comment authorId="197" xr:uid="{c8208b2c-c823-4e96-a864-27de0c052319}" ref="AJ60">
      <text>
        <t xml:space="preserve">[Threaded comment]
 Your version of Excel allows you to read this threaded comment; however, any edits to it will get removed if the file is opened in a newer version of Excel. Learn more: https://go.microsoft.com/fwlink/?linkid=870924
Comment:
	From Mario's commission to be invoiced through the store:
Photo Package $500
Showcase Token $350
Sign Install $75
</t>
      </text>
    </comment>
    <comment authorId="198" xr:uid="{c8e0b4f5-30b6-47cc-ac7b-44922f7198cf}" ref="AT108">
      <text>
        <t xml:space="preserve">[Threaded comment]
 Your version of Excel allows you to read this threaded comment; however, any edits to it will get removed if the file is opened in a newer version of Excel. Learn more: https://go.microsoft.com/fwlink/?linkid=870924
Comment:
	22960 Penasco Circle
AM verified.
@isabel@coryhometeam.com
@kenia@coryhometeam.com
3.20 CI sent to Escrow.
Assigned to isabel@coryhometeam.com
</t>
      </text>
    </comment>
    <comment authorId="199" xr:uid="{c96f6123-b275-4194-9023-73fa9d040cc9}" ref="AF59">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t>
      </text>
    </comment>
    <comment authorId="200" xr:uid="{ca73ce38-e46e-493c-965c-344bf86d7b87}" ref="AT58">
      <text>
        <t xml:space="preserve">[Threaded comment]
 Your version of Excel allows you to read this threaded comment; however, any edits to it will get removed if the file is opened in a newer version of Excel. Learn more: https://go.microsoft.com/fwlink/?linkid=870924
Comment:
	ELIZABETH LN @isabel@coryhometeam.com
VERIFIED
Assigned to isabel@coryhometeam.com
</t>
      </text>
    </comment>
    <comment authorId="201" xr:uid="{caa4f3ae-51c2-4215-b39e-ba1766856e36}" ref="AT37">
      <text>
        <t xml:space="preserve">[Threaded comment]
 Your version of Excel allows you to read this threaded comment; however, any edits to it will get removed if the file is opened in a newer version of Excel. Learn more: https://go.microsoft.com/fwlink/?linkid=870924
Comment:
	KAFFIRBOOM CT @isabel@coryhometeam.com
VERIFIED
Assigned to isabel@coryhometeam.com
</t>
      </text>
    </comment>
    <comment authorId="202" xr:uid="{cada378a-1e75-4516-89e1-5309c9ae0531}" ref="X80">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30 Days after Seller enters into a contract to acquire replacement property or the removal of the Finding Replacement Property Contingency (SPRP 1.A).
Reply:
	SPRP Finding of Replacement Property 
Start Date per SPRP: 2/11
Disclosures to buyers: Attached
CR1 - Loan | Appraisal: 2/23
CR2 - Buyers Investigation: 2/25
CR3 - L(4)-L(8): 3/2
Final walk through (VP): 3/6
COE: 3/11
Possession: 3/18
</t>
      </text>
    </comment>
    <comment authorId="203" xr:uid="{cb45c7b9-34a5-4d38-aa9a-f780fe33e74b}" ref="AT179">
      <text>
        <t xml:space="preserve">[Threaded comment]
 Your version of Excel allows you to read this threaded comment; however, any edits to it will get removed if the file is opened in a newer version of Excel. Learn more: https://go.microsoft.com/fwlink/?linkid=870924
Comment:
	634 Via Santa Cruz
AM verified.
@isabel@coryhometeam.com
@kenia@coryhometeam.com
4.2 CI sent to Escrow.
Assigned to isabel@coryhometeam.com
</t>
      </text>
    </comment>
    <comment authorId="204" xr:uid="{cc3fb8cb-47d9-409c-9403-1ed9eb7b3ffa}" ref="C90">
      <text>
        <t xml:space="preserve">[Threaded comment]
 Your version of Excel allows you to read this threaded comment; however, any edits to it will get removed if the file is opened in a newer version of Excel. Learn more: https://go.microsoft.com/fwlink/?linkid=870924
Comment:
	not found on CHT Listing Board @alexis@coryhometeam.com
Assigned to alexis@coryhometeam.com
Reply:
	@remy@coryhometeam.com are you referring to the Agent Listing Board? It was not added because it was a no MLS listing and Robin brought in both clients.
Reassigned to remy@coryhometeam.com
Reply:
	ok noted. Thanks!
</t>
      </text>
    </comment>
    <comment authorId="205" xr:uid="{cd09acfe-1587-42d3-a440-b0a3a406e27d}" ref="AG44">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t>
      </text>
    </comment>
    <comment authorId="206" xr:uid="{cd21c3ee-326b-4d4d-93a2-422ab847a6c4}" ref="C203">
      <text>
        <t xml:space="preserve">[Threaded comment]
 Your version of Excel allows you to read this threaded comment; however, any edits to it will get removed if the file is opened in a newer version of Excel. Learn more: https://go.microsoft.com/fwlink/?linkid=870924
Comment:
	@mario@coryhometeam.com this is Zillow Preferred.
Assigned to mario@coryhometeam.com
Reply:
	Marked as done
Reply:
	DONE
Re-opened
</t>
      </text>
    </comment>
    <comment authorId="207" xr:uid="{ce0d10ca-e0fa-4da6-8d44-1fd3e9d6a53b}" ref="AD24">
      <text>
        <t xml:space="preserve">[Threaded comment]
 Your version of Excel allows you to read this threaded comment; however, any edits to it will get removed if the file is opened in a newer version of Excel. Learn more: https://go.microsoft.com/fwlink/?linkid=870924
Comment:
	$12,000.00
</t>
      </text>
    </comment>
    <comment authorId="208" xr:uid="{ce8ea2ab-c2e9-480c-9c9a-06af6cf0343b}" ref="AT28">
      <text>
        <t xml:space="preserve">[Threaded comment]
 Your version of Excel allows you to read this threaded comment; however, any edits to it will get removed if the file is opened in a newer version of Excel. Learn more: https://go.microsoft.com/fwlink/?linkid=870924
Comment:
	COUR MEYNEY @isabel@coryhometeam.com 
VERIFIED
Assigned to isabel@coryhometeam.com
</t>
      </text>
    </comment>
    <comment authorId="209" xr:uid="{d1078771-261a-4525-9f59-81daddef2896}" ref="AI48">
      <text>
        <t xml:space="preserve">[Threaded comment]
 Your version of Excel allows you to read this threaded comment; however, any edits to it will get removed if the file is opened in a newer version of Excel. Learn more: https://go.microsoft.com/fwlink/?linkid=870924
Comment:
	1.19 LA commission is flat rate.
</t>
      </text>
    </comment>
    <comment authorId="210" xr:uid="{d1ab496d-5fe7-49ca-8fe1-15096a6e9659}" ref="AT183">
      <text>
        <t xml:space="preserve">[Threaded comment]
 Your version of Excel allows you to read this threaded comment; however, any edits to it will get removed if the file is opened in a newer version of Excel. Learn more: https://go.microsoft.com/fwlink/?linkid=870924
Comment:
	38194 Oaktree Loop
AM verified.
@isabel@coryhometeam.com
@kenia@coryhometeam.com
5.11 CI sent to Escrow.
Assigned to isabel@coryhometeam.com
</t>
      </text>
    </comment>
    <comment authorId="211" xr:uid="{d3525386-6d2f-4f8a-a08a-67a426b53905}" ref="AI218">
      <text>
        <t xml:space="preserve">[Threaded comment]
 Your version of Excel allows you to read this threaded comment; however, any edits to it will get removed if the file is opened in a newer version of Excel. Learn more: https://go.microsoft.com/fwlink/?linkid=870924
Comment:
	6.16 As per Spencer the correct admin fee is $699. He provided a wrong fee on his take sheet.
</t>
      </text>
    </comment>
    <comment authorId="212" xr:uid="{d50ffb79-b1cb-4d8b-bba9-05ad7c79f370}" ref="AI116">
      <text>
        <t xml:space="preserve">[Threaded comment]
 Your version of Excel allows you to read this threaded comment; however, any edits to it will get removed if the file is opened in a newer version of Excel. Learn more: https://go.microsoft.com/fwlink/?linkid=870924
Comment:
	Rosie agreed to lower Admin fee 
buyer to cover $700. 
She will cover $395 @dana@coryhometeam.com @isabel@coryhometeam.com
</t>
      </text>
    </comment>
    <comment authorId="213" xr:uid="{d65b412e-bad6-4d47-aae6-559405076b55}" ref="AT156">
      <text>
        <t xml:space="preserve">[Threaded comment]
 Your version of Excel allows you to read this threaded comment; however, any edits to it will get removed if the file is opened in a newer version of Excel. Learn more: https://go.microsoft.com/fwlink/?linkid=870924
Comment:
	27250 Murrieta Rd #216
AM verified.
@isabel@coryhometeam.com
@kenia@coryhometeam.com
4.17 CI sent to Escrow.
Assigned to isabel@coryhometeam.com
</t>
      </text>
    </comment>
    <comment authorId="214" xr:uid="{d6ac1cbd-b68a-4668-928f-960ce18705f7}" ref="AJ49">
      <text>
        <t xml:space="preserve">[Threaded comment]
 Your version of Excel allows you to read this threaded comment; however, any edits to it will get removed if the file is opened in a newer version of Excel. Learn more: https://go.microsoft.com/fwlink/?linkid=870924
Comment:
	3.3 Per Carmen: The fee for submitting the offer through Res.Net for 1303 Center Avenue was $300.00. Their requirement is for the buyer's agent to pay the fee through my commission. So that is correct.
</t>
      </text>
    </comment>
    <comment authorId="215" xr:uid="{da04759f-da8a-4f0a-927c-abfc3cdcb58b}" ref="AT198">
      <text>
        <t xml:space="preserve">[Threaded comment]
 Your version of Excel allows you to read this threaded comment; however, any edits to it will get removed if the file is opened in a newer version of Excel. Learn more: https://go.microsoft.com/fwlink/?linkid=870924
Comment:
	0 Ryan Ave
AM verified.
@isabel@coryhometeam.com
@kenia@coryhometeam.com
6.1 CI sent to Escrow.
Assigned to isabel@coryhometeam.com
</t>
      </text>
    </comment>
    <comment authorId="216" xr:uid="{dac0381f-eab6-45cf-a797-6d8b5c83d760}" ref="AT99">
      <text>
        <t xml:space="preserve">[Threaded comment]
 Your version of Excel allows you to read this threaded comment; however, any edits to it will get removed if the file is opened in a newer version of Excel. Learn more: https://go.microsoft.com/fwlink/?linkid=870924
Comment:
	5540 Rainbow Heights Rd
AM verified.
@isabel@coryhometeam.com
@kenia@coryhometeam.com
3.5 CI sent to Escrow.
Assigned to isabel@coryhometeam.com
</t>
      </text>
    </comment>
    <comment authorId="217" xr:uid="{dbc20599-6fe5-4233-9740-c1f189b225dc}" ref="G130">
      <text>
        <t xml:space="preserve">[Threaded comment]
 Your version of Excel allows you to read this threaded comment; however, any edits to it will get removed if the file is opened in a newer version of Excel. Learn more: https://go.microsoft.com/fwlink/?linkid=870924
Comment:
	Tyler is the agent
</t>
      </text>
    </comment>
    <comment authorId="218" xr:uid="{de394105-1c0d-4369-a03f-ca187d27a3e1}" ref="C196">
      <text>
        <t xml:space="preserve">[Threaded comment]
 Your version of Excel allows you to read this threaded comment; however, any edits to it will get removed if the file is opened in a newer version of Excel. Learn more: https://go.microsoft.com/fwlink/?linkid=870924
Comment:
	Not found in CHT LIsting Board (?) @alexis@coryhometeam.com
Assigned to alexis@coryhometeam.com
Reply:
	@remy@coryhometeam.com This is not a listing we went to market with. This was an OpenDoor deal. It won't be on the Listing Board.
Reassigned to remy@coryhometeam.com
Reply:
	Marked as done
Reply:
	okay noted. Thank you!
Re-opened
</t>
      </text>
    </comment>
    <comment authorId="219" xr:uid="{e052cf95-82bc-4b6b-8b9e-f0fafcb2bdf4}" ref="AT200">
      <text>
        <t xml:space="preserve">[Threaded comment]
 Your version of Excel allows you to read this threaded comment; however, any edits to it will get removed if the file is opened in a newer version of Excel. Learn more: https://go.microsoft.com/fwlink/?linkid=870924
Comment:
	AVENUE L 10 @isabel@coryhometeam.com
VERIFIED
Assigned to isabel@coryhometeam.com
</t>
      </text>
    </comment>
    <comment authorId="220" xr:uid="{e22c8c37-9857-4304-9f5d-7b4968fe7754}" ref="AT92">
      <text>
        <t xml:space="preserve">[Threaded comment]
 Your version of Excel allows you to read this threaded comment; however, any edits to it will get removed if the file is opened in a newer version of Excel. Learn more: https://go.microsoft.com/fwlink/?linkid=870924
Comment:
	254 Saguaro Place Pl
AM verified.
@isabel@coryhometeam.com
@kenia@coryhometeam.com
2.24 CI sent to Escrow.
Assigned to isabel@coryhometeam.com
</t>
      </text>
    </comment>
    <comment authorId="221" xr:uid="{e3c0507f-47d8-46ef-b31d-a8aafb77f864}" ref="AE59">
      <text>
        <t xml:space="preserve">[Threaded comment]
 Your version of Excel allows you to read this threaded comment; however, any edits to it will get removed if the file is opened in a newer version of Excel. Learn more: https://go.microsoft.com/fwlink/?linkid=870924
Comment:
	Commission based on $600K as per SCO
</t>
      </text>
    </comment>
    <comment authorId="222" xr:uid="{e3eff6cd-7a70-4d92-8013-57c13452ddf3}" ref="AT145">
      <text>
        <t xml:space="preserve">[Threaded comment]
 Your version of Excel allows you to read this threaded comment; however, any edits to it will get removed if the file is opened in a newer version of Excel. Learn more: https://go.microsoft.com/fwlink/?linkid=870924
Comment:
	JOAQUIN RIDGE @isabel@coryhometeam.com
VERIFIED
Assigned to isabel@coryhometeam.com
</t>
      </text>
    </comment>
    <comment authorId="223" xr:uid="{e405c7eb-e62d-443e-a863-5422e21131ac}" ref="AT114">
      <text>
        <t xml:space="preserve">[Threaded comment]
 Your version of Excel allows you to read this threaded comment; however, any edits to it will get removed if the file is opened in a newer version of Excel. Learn more: https://go.microsoft.com/fwlink/?linkid=870924
Comment:
	4455 Brighton Court
AM verified.
@isabel@coryhometeam.com
@kenia@coryhometeam.com
3.5 CI sent to Escrow.
Assigned to isabel@coryhometeam.com
</t>
      </text>
    </comment>
    <comment authorId="224" xr:uid="{e4616387-c637-4777-8ab3-118aebb44c8a}" ref="AJ33">
      <text>
        <t xml:space="preserve">[Threaded comment]
 Your version of Excel allows you to read this threaded comment; however, any edits to it will get removed if the file is opened in a newer version of Excel. Learn more: https://go.microsoft.com/fwlink/?linkid=870924
Comment:
	Per Mel approved off the top, this file needs to close.
</t>
      </text>
    </comment>
    <comment authorId="225" xr:uid="{e6366806-8467-45e7-8927-d47577116a9b}" ref="AT215">
      <text>
        <t xml:space="preserve">[Threaded comment]
 Your version of Excel allows you to read this threaded comment; however, any edits to it will get removed if the file is opened in a newer version of Excel. Learn more: https://go.microsoft.com/fwlink/?linkid=870924
Comment:
	19145 Oak St
AM verified.
@isabel@coryhometeam.com
@kenia@coryhometeam.com
5.13 CI sent to Escrow.
Assigned to isabel@coryhometeam.com
</t>
      </text>
    </comment>
    <comment authorId="226" xr:uid="{e6fa82ff-7225-4e7a-a412-bc08b1087e58}" ref="X109">
      <text>
        <t xml:space="preserve">[Threaded comment]
 Your version of Excel allows you to read this threaded comment; however, any edits to it will get removed if the file is opened in a newer version of Excel. Learn more: https://go.microsoft.com/fwlink/?linkid=870924
Comment:
	03/19/26
EM From Title:
teammonique
8:18 AM (16 minutes ago)
to me, teammonique, Renée
Good morning,
Updated COE is 3/26. Pending loan docs.
</t>
      </text>
    </comment>
    <comment authorId="227" xr:uid="{e9e189b6-1ef3-43db-878c-fee42961b98a}" ref="AT205">
      <text>
        <t xml:space="preserve">[Threaded comment]
 Your version of Excel allows you to read this threaded comment; however, any edits to it will get removed if the file is opened in a newer version of Excel. Learn more: https://go.microsoft.com/fwlink/?linkid=870924
Comment:
	10061 Van Ruiten St
AM verified.
@isabel@coryhometeam.com
@kenia@coryhometeam.com
5.11 CI sent to Escrow.
Assigned to isabel@coryhometeam.com
</t>
      </text>
    </comment>
    <comment authorId="228" xr:uid="{eaf6a6b9-6a55-4734-a8f9-8da467e1f98a}" ref="AD125">
      <text>
        <t xml:space="preserve">[Threaded comment]
 Your version of Excel allows you to read this threaded comment; however, any edits to it will get removed if the file is opened in a newer version of Excel. Learn more: https://go.microsoft.com/fwlink/?linkid=870924
Comment:
	1.0% paid by OpenDoor
1.5% additional collected paid by Seller.
</t>
      </text>
    </comment>
    <comment authorId="229" xr:uid="{ec477429-f1d0-4536-941e-bfe0ae2e84c7}" ref="AC144">
      <text>
        <t xml:space="preserve">[Threaded comment]
 Your version of Excel allows you to read this threaded comment; however, any edits to it will get removed if the file is opened in a newer version of Excel. Learn more: https://go.microsoft.com/fwlink/?linkid=870924
Comment:
	Purchase price decreased to $635k as per AEA2.
</t>
      </text>
    </comment>
    <comment authorId="230" xr:uid="{ec8130e5-6324-4773-8817-d73428a02f49}" ref="AT68">
      <text>
        <t xml:space="preserve">[Threaded comment]
 Your version of Excel allows you to read this threaded comment; however, any edits to it will get removed if the file is opened in a newer version of Excel. Learn more: https://go.microsoft.com/fwlink/?linkid=870924
Comment:
	5164 Indian Court
AM verified.
@isabel@coryhometeam.com
@kenia@coryhometeam.com
2.26 CI sent to Escrow.
Assigned to isabel@coryhometeam.com
</t>
      </text>
    </comment>
    <comment authorId="231" xr:uid="{ee9ea7e2-e70b-4417-9209-d63524ff021f}" ref="AT218">
      <text>
        <t xml:space="preserve">[Threaded comment]
 Your version of Excel allows you to read this threaded comment; however, any edits to it will get removed if the file is opened in a newer version of Excel. Learn more: https://go.microsoft.com/fwlink/?linkid=870924
Comment:
	23737 Cold Spring
AM verified.
@isabel@coryhometeam.com
@kenia@coryhometeam.com
5.13 CI sent to Escrow.
Assigned to isabel@coryhometeam.com
</t>
      </text>
    </comment>
    <comment authorId="232" xr:uid="{ef01ce2f-cc70-4c54-ab27-7511a26dd4fe}" ref="AT39">
      <text>
        <t xml:space="preserve">[Threaded comment]
 Your version of Excel allows you to read this threaded comment; however, any edits to it will get removed if the file is opened in a newer version of Excel. Learn more: https://go.microsoft.com/fwlink/?linkid=870924
Comment:
	PANORAMA DR @isabel@coryhometeam.com
VERIFIED
Assigned to isabel@coryhometeam.com
</t>
      </text>
    </comment>
    <comment authorId="233" xr:uid="{f049d856-36bd-4ed3-81a6-7ea5d9708a18}" ref="AF126">
      <text>
        <t xml:space="preserve">[Threaded comment]
 Your version of Excel allows you to read this threaded comment; however, any edits to it will get removed if the file is opened in a newer version of Excel. Learn more: https://go.microsoft.com/fwlink/?linkid=870924
Comment:
	to be paid by seller
</t>
      </text>
    </comment>
    <comment authorId="234" xr:uid="{f05d0c88-fb40-4a82-bc57-087bbb0079d9}" ref="AJ143">
      <text>
        <t xml:space="preserve">[Threaded comment]
 Your version of Excel allows you to read this threaded comment; however, any edits to it will get removed if the file is opened in a newer version of Excel. Learn more: https://go.microsoft.com/fwlink/?linkid=870924
Comment:
	Mel to be billed from store $500 at COE for photos. Approved by Kiona
Reply:
	invoice sent
</t>
      </text>
    </comment>
    <comment authorId="235" xr:uid="{f0d1efc1-57ed-42cf-8546-98492a96437b}" ref="AT178">
      <text>
        <t xml:space="preserve">[Threaded comment]
 Your version of Excel allows you to read this threaded comment; however, any edits to it will get removed if the file is opened in a newer version of Excel. Learn more: https://go.microsoft.com/fwlink/?linkid=870924
Comment:
	29419 Pebble Beach Dr
AM verified.
@isabel@coryhometeam.com
@kenia@coryhometeam.com
4.20 CI sent to Escrow.
Assigned to isabel@coryhometeam.com
</t>
      </text>
    </comment>
    <comment authorId="236" xr:uid="{f1cb8ad5-b62f-454b-b3f7-fb77b3684532}" ref="AT81">
      <text>
        <t xml:space="preserve">[Threaded comment]
 Your version of Excel allows you to read this threaded comment; however, any edits to it will get removed if the file is opened in a newer version of Excel. Learn more: https://go.microsoft.com/fwlink/?linkid=870924
Comment:
	CORTE CARRIO @isabel@coryhometeam.com
VERIFIED
Assigned to isabel@coryhometeam.com
</t>
      </text>
    </comment>
    <comment authorId="237" xr:uid="{f26218f9-602f-4ac8-a17f-dc3f1ad36e33}" ref="AT50">
      <text>
        <t xml:space="preserve">[Threaded comment]
 Your version of Excel allows you to read this threaded comment; however, any edits to it will get removed if the file is opened in a newer version of Excel. Learn more: https://go.microsoft.com/fwlink/?linkid=870924
Comment:
	SAN JACINTO AVE @isabel@coryhometeam.com
VERIFIED
Assigned to isabel@coryhometeam.com
</t>
      </text>
    </comment>
    <comment authorId="238" xr:uid="{f4149e21-1ab8-4c50-bf38-85169ff33838}" ref="AG89">
      <text>
        <t xml:space="preserve">[Threaded comment]
 Your version of Excel allows you to read this threaded comment; however, any edits to it will get removed if the file is opened in a newer version of Excel. Learn more: https://go.microsoft.com/fwlink/?linkid=870924
Comment:
	Old Listing - prior to changes.
</t>
      </text>
    </comment>
    <comment authorId="239" xr:uid="{f44d4ef9-1f61-4639-a0ec-6ae738b7f7cb}" ref="AT171">
      <text>
        <t xml:space="preserve">[Threaded comment]
 Your version of Excel allows you to read this threaded comment; however, any edits to it will get removed if the file is opened in a newer version of Excel. Learn more: https://go.microsoft.com/fwlink/?linkid=870924
Comment:
	2601 W Fruitvale Ave
AM verified.
@isabel@coryhometeam.com
@kenia@coryhometeam.com
4.30 CI sent to Escrow.
Assigned to isabel@coryhometeam.com
</t>
      </text>
    </comment>
    <comment authorId="240" xr:uid="{f553d998-1f0b-456f-965f-da09a39e5c50}" ref="AT113">
      <text>
        <t xml:space="preserve">[Threaded comment]
 Your version of Excel allows you to read this threaded comment; however, any edits to it will get removed if the file is opened in a newer version of Excel. Learn more: https://go.microsoft.com/fwlink/?linkid=870924
Comment:
	23143 Canyon Estates
AM verified.
@isabel@coryhometeam.com
@kenia@coryhometeam.com
3.25 CI sent to Escrow.
Assigned to isabel@coryhometeam.com
</t>
      </text>
    </comment>
    <comment authorId="241" xr:uid="{f6fb60c5-dfa3-4c0d-9cbe-b42a81007f1d}" ref="AJ179">
      <text>
        <t xml:space="preserve">[Threaded comment]
 Your version of Excel allows you to read this threaded comment; however, any edits to it will get removed if the file is opened in a newer version of Excel. Learn more: https://go.microsoft.com/fwlink/?linkid=870924
Comment:
	Please see commission reduction form.
</t>
      </text>
    </comment>
    <comment authorId="242" xr:uid="{f8ac8a84-76a0-4999-8305-1bac4dfddadd}" ref="X142">
      <text>
        <t xml:space="preserve">[Threaded comment]
 Your version of Excel allows you to read this threaded comment; however, any edits to it will get removed if the file is opened in a newer version of Excel. Learn more: https://go.microsoft.com/fwlink/?linkid=870924
Comment:
	4.3 COE moved to 4/10. Please refer to ETA1.
Reply:
	4.13 Pushed to 4.17 per Kenia.
Reply:
	4.20 Per ETA2 COE to close 4.20 or sooner.
</t>
      </text>
    </comment>
    <comment authorId="243" xr:uid="{f8cbf559-9402-4bcd-a09b-1270edf044e2}" ref="AJ126">
      <text>
        <t xml:space="preserve">[Threaded comment]
 Your version of Excel allows you to read this threaded comment; however, any edits to it will get removed if the file is opened in a newer version of Excel. Learn more: https://go.microsoft.com/fwlink/?linkid=870924
Comment:
	This is a credit to the Seller from Nicole's commission.
</t>
      </text>
    </comment>
    <comment authorId="244" xr:uid="{f90d9ce1-1817-402d-8af3-d9af68466b6d}" ref="AJ44">
      <text>
        <t xml:space="preserve">[Threaded comment]
 Your version of Excel allows you to read this threaded comment; however, any edits to it will get removed if the file is opened in a newer version of Excel. Learn more: https://go.microsoft.com/fwlink/?linkid=870924
Comment:
	02/10/26
EM approval from Kiona, this credit to the Seller is off the top of the commission before splits.
</t>
      </text>
    </comment>
    <comment authorId="245" xr:uid="{f97f7f75-5b22-4c7a-82e8-02c99dea35c5}" ref="X180">
      <text>
        <t xml:space="preserve">[Threaded comment]
 Your version of Excel allows you to read this threaded comment; however, any edits to it will get removed if the file is opened in a newer version of Excel. Learn more: https://go.microsoft.com/fwlink/?linkid=870924
Comment:
	Buyer signed docs on 05/13. Lender needs 24 hour review of docs.
</t>
      </text>
    </comment>
    <comment authorId="246" xr:uid="{fa920ef4-ba6b-4b82-82bb-751cae4cb617}" ref="AC150">
      <text>
        <t xml:space="preserve">[Threaded comment]
 Your version of Excel allows you to read this threaded comment; however, any edits to it will get removed if the file is opened in a newer version of Excel. Learn more: https://go.microsoft.com/fwlink/?linkid=870924
Comment:
	Agent commissions shall be based upon net sales price of $725,000 as per RR #1
</t>
      </text>
    </comment>
    <comment authorId="247" xr:uid="{fc81dfda-0dcb-4ac4-9462-68b30ee699c6}" ref="AJ41">
      <text>
        <t xml:space="preserve">[Threaded comment]
 Your version of Excel allows you to read this threaded comment; however, any edits to it will get removed if the file is opened in a newer version of Excel. Learn more: https://go.microsoft.com/fwlink/?linkid=870924
Comment:
	To be deducted from Alexandra's compendation. She is covering the cost of Home Warranty
</t>
      </text>
    </comment>
    <comment authorId="248" xr:uid="{fd07a50c-46ca-4513-bec3-c526ec7d4541}" ref="AT53">
      <text>
        <t xml:space="preserve">[Threaded comment]
 Your version of Excel allows you to read this threaded comment; however, any edits to it will get removed if the file is opened in a newer version of Excel. Learn more: https://go.microsoft.com/fwlink/?linkid=870924
Comment:
	MOUNTAIN PRIDE @isabel@coryhometeam.com
VERIFIED
Assigned to isabel@coryhometeam.com
</t>
      </text>
    </comment>
    <comment authorId="249" xr:uid="{fd8c374f-1074-470a-b113-d1f81a3bcb29}" ref="AT100">
      <text>
        <t xml:space="preserve">[Threaded comment]
 Your version of Excel allows you to read this threaded comment; however, any edits to it will get removed if the file is opened in a newer version of Excel. Learn more: https://go.microsoft.com/fwlink/?linkid=870924
Comment:
	29864 Warm Sands Dr
AM verified.
@isabel@coryhometeam.com
@kenia@coryhometeam.com
2.27 CI sent to Escrow.
Assigned to isabel@coryhometeam.com
</t>
      </text>
    </comment>
    <comment authorId="250" xr:uid="{fd9e8f47-0ba6-46da-a9a9-c2c8727f2a84}" ref="P68">
      <text>
        <t xml:space="preserve">[Threaded comment]
 Your version of Excel allows you to read this threaded comment; however, any edits to it will get removed if the file is opened in a newer version of Excel. Learn more: https://go.microsoft.com/fwlink/?linkid=870924
Comment:
	2.17 Per Kenia: She was diving to an appointment and said she wants to handle the addendum herself. 
So let’s leave it as is for now and make a note that we are pending adm from here.
</t>
      </text>
    </comment>
    <comment authorId="251" xr:uid="{fefc46b8-3692-467f-8003-5d6e015eddce}" ref="AE33">
      <text>
        <t xml:space="preserve">[Threaded comment]
 Your version of Excel allows you to read this threaded comment; however, any edits to it will get removed if the file is opened in a newer version of Excel. Learn more: https://go.microsoft.com/fwlink/?linkid=870924
Comment:
	Commission is being split 75% to Richard and 25% to Alexis. Mel is not collecting commission on this, she stepped in for communication to the Sellers only.
</t>
      </text>
    </comment>
    <comment authorId="252" xr:uid="{ff7c1962-8470-40dc-a338-d59ec520ef06}" ref="AT174">
      <text>
        <t xml:space="preserve">[Threaded comment]
 Your version of Excel allows you to read this threaded comment; however, any edits to it will get removed if the file is opened in a newer version of Excel. Learn more: https://go.microsoft.com/fwlink/?linkid=870924
Comment:
	22425 Shore View Court
AM verified.
@isabel@coryhometeam.com
@kenia@coryhometeam.com
4.23 CI sent to Escrow.
Assigned to isabel@coryhometeam.com
</t>
      </text>
    </comment>
    <comment authorId="253" xr:uid="{ffbc78df-e9cd-4d35-a077-5f0342cb5d65}" ref="AJ145">
      <text>
        <t xml:space="preserve">[Threaded comment]
 Your version of Excel allows you to read this threaded comment; however, any edits to it will get removed if the file is opened in a newer version of Excel. Learn more: https://go.microsoft.com/fwlink/?linkid=870924
Comment:
	See closing notes.
Reply:
	invoice sent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tc={056e47bc-0217-4d7a-8c1a-8f00943731ce}</author>
    <author>tc={127450c9-6091-4b44-b6be-a2a0c7a6f4cf}</author>
    <author>tc={12d4e702-c75e-4dc4-b5bc-6194bb16b21a}</author>
    <author>tc={27ff81b6-db87-4a1d-9840-14684874e7bd}</author>
    <author>tc={33d82b96-059d-4ffa-b17c-686ac86f8e93}</author>
    <author>tc={3aa5c310-964c-4b0c-8d7b-23345d649fd9}</author>
    <author>tc={415810eb-3f23-49d0-b6c9-7627c59b6199}</author>
    <author>tc={49ee2421-9987-4de4-aa15-b3e2cf6eae17}</author>
    <author>tc={4f9868c1-beb6-493f-826c-eb1c725c1247}</author>
    <author>tc={502299f7-4975-486d-9bfb-4273f7e39213}</author>
    <author>tc={5eec640b-2e51-4de1-8af6-33cb5dfd84dc}</author>
    <author>tc={66813622-ba95-40bf-8ab1-e739530a5425}</author>
    <author>tc={75ea2810-746d-4fc7-90a8-d488b8383ef9}</author>
    <author>tc={82a5e466-22b9-4a81-a178-4f1eb853bbf9}</author>
    <author>tc={83a8cb51-586e-4723-a058-a4c57d49d7e0}</author>
    <author>tc={87273a7a-b43e-4b53-b000-d368f5c9face}</author>
    <author>tc={8b0e57a0-0bc6-45b0-9e2d-7932be2a3fb2}</author>
    <author>tc={90108c1b-ac9d-481a-9bd4-dedc02b67f01}</author>
    <author>tc={910df1c7-04f9-4153-85f6-a51c6ccb2d7a}</author>
    <author>tc={92a62654-6a6d-4074-90b4-8075e458c9ba}</author>
    <author>tc={97844e6b-15a9-4975-998c-11550d90c95e}</author>
    <author>tc={a4800898-13b8-4d06-9fec-978e2196201f}</author>
    <author>tc={a9f6928c-9ffd-4259-9721-f11b44f6daba}</author>
    <author>tc={ba16b000-6880-4a87-8ad4-8e366da2e70d}</author>
    <author>tc={bd75d907-e3e2-4a3a-a7cd-f53478128140}</author>
    <author>tc={c13302e2-069b-4f64-b903-c8b5745a214f}</author>
    <author>tc={cd505de7-07d5-4cdc-973b-df243e7663aa}</author>
    <author>tc={cd8744f6-861f-413b-ba27-a895e8a7a0af}</author>
    <author>tc={ce78849c-ba95-4578-991a-dc7f8aee35f8}</author>
    <author>tc={d8ee5219-8927-4d93-b15f-4d5b65269fca}</author>
    <author>tc={da9a0653-fa38-49d6-9679-122a14262c12}</author>
    <author>tc={e5bb38b1-5f6c-4193-91ac-d407e18ddb77}</author>
    <author>tc={ed50bc4f-bb0c-4b44-b7bc-a026023de18c}</author>
    <author>tc={f36ace2d-492b-45e3-a83f-bb3b367275cc}</author>
    <author>tc={f4f15f2a-feb5-435a-a9b0-3f88c8959fb5}</author>
    <author>tc={fe755907-3c02-474f-b11f-6a7e49686db0}</author>
  </authors>
  <commentList>
    <comment authorId="0" ref="AF32">
      <text>
        <t xml:space="preserve">Past Zillow Organic client</t>
      </text>
    </comment>
    <comment authorId="0" ref="AN4">
      <text>
        <t xml:space="preserve">Nicole to pay.</t>
      </text>
    </comment>
    <comment authorId="0" ref="AN3">
      <text>
        <t xml:space="preserve">leave $0 if no additional deduction
 amt</t>
      </text>
    </comment>
    <comment authorId="0" ref="AO3">
      <text>
        <t xml:space="preserve">Calculated including VIP Fee
-upload into skyslope; input referral amount into skyslope
Opcity: ask eXp payment processor for agreement
Zillow Inc: pull referral agreement from PA app 
Homelight: 25%
HCO 25%
SoCalHomeBuyer: 30%
Outside Referral: ask Office Manager
OJO 
under $80,000 - 20%
$80,000 - $125,000 -25%
Over $125,000 - 35%</t>
      </text>
    </comment>
    <comment authorId="0" ref="AP3">
      <text>
        <t xml:space="preserve">Pending tab to reflect original advance amount + 1 month interest, closed tab to be updated with final due amount from seller. confirmed with comments.</t>
      </text>
    </comment>
    <comment authorId="0" ref="AF25">
      <text>
        <t xml:space="preserve">Seller John Beltran - Flex Seller</t>
      </text>
    </comment>
    <comment authorId="0" ref="AT3">
      <text>
        <t xml:space="preserve">For Aileen</t>
      </text>
    </comment>
    <comment authorId="0" ref="AF21">
      <text>
        <t xml:space="preserve">Seller Eric Jordan - Flex Seller</t>
      </text>
    </comment>
    <comment authorId="0" ref="G59">
      <text>
        <t xml:space="preserve">not found on CHT listing Board (VA-RV)</t>
      </text>
    </comment>
    <comment authorId="0" ref="AV3">
      <text>
        <t xml:space="preserve">1. Pending Splits (TC has verified commission/transaction fee/referral fees/concessions) add TS verified comment @isabel
2.Commission Disbursement- Dana approved splits; Commission Disbursement received; Commission breakdown sent to agent
3. Complete- payment remittance received; Isabel verifies correct payment</t>
      </text>
    </comment>
    <comment authorId="0" ref="AF13">
      <text>
        <t xml:space="preserve">past client, Zillow Organic </t>
      </text>
    </comment>
    <comment authorId="0" ref="X3">
      <text>
        <t xml:space="preserve">Please use both email and phone number if available.
</t>
      </text>
    </comment>
    <comment authorId="0" ref="M21">
      <text>
        <t xml:space="preserve">Seller Eric Jordan - OGL Nichole</t>
      </text>
    </comment>
    <comment authorId="0" ref="G45">
      <text>
        <t xml:space="preserve">not found on CHT listing board (VA-RV)</t>
      </text>
    </comment>
    <comment authorId="1" xr:uid="{056e47bc-0217-4d7a-8c1a-8f00943731ce}" ref="AB53">
      <text>
        <t xml:space="preserve">[Threaded comment]
 Your version of Excel allows you to read this threaded comment; however, any edits to it will get removed if the file is opened in a newer version of Excel. Learn more: https://go.microsoft.com/fwlink/?linkid=870924
Comment:
	This is a Buy/Sell - the sale fell out of escrow. The New Build extended COE for the seller to have time to try and get the sale property back into escrow.
</t>
      </text>
    </comment>
    <comment authorId="2" xr:uid="{127450c9-6091-4b44-b6be-a2a0c7a6f4cf}" ref="AK10">
      <text>
        <t xml:space="preserve">[Threaded comment]
 Your version of Excel allows you to read this threaded comment; however, any edits to it will get removed if the file is opened in a newer version of Excel. Learn more: https://go.microsoft.com/fwlink/?linkid=870924
Comment:
	$650.00
</t>
      </text>
    </comment>
    <comment authorId="3" xr:uid="{12d4e702-c75e-4dc4-b5bc-6194bb16b21a}" ref="AB11">
      <text>
        <t xml:space="preserve">[Threaded comment]
 Your version of Excel allows you to read this threaded comment; however, any edits to it will get removed if the file is opened in a newer version of Excel. Learn more: https://go.microsoft.com/fwlink/?linkid=870924
Comment:
	Upon the buyer’s delivery of property evidence or the removal of the Contingency of Purchase (COP 11.A &amp; B).
</t>
      </text>
    </comment>
    <comment authorId="4" xr:uid="{27ff81b6-db87-4a1d-9840-14684874e7bd}" ref="AB15">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upon the buyer’s delivery of property evidence or the removal of the Contingency of Purchase (COP 11.A).
</t>
      </text>
    </comment>
    <comment authorId="5" xr:uid="{33d82b96-059d-4ffa-b17c-686ac86f8e93}" ref="AX43">
      <text>
        <t xml:space="preserve">[Threaded comment]
 Your version of Excel allows you to read this threaded comment; however, any edits to it will get removed if the file is opened in a newer version of Excel. Learn more: https://go.microsoft.com/fwlink/?linkid=870924
Comment:
	27067 El Rancho Dr
AM verified.
@isabel@coryhometeam.com
@kenia@coryhometeam.com
4.3 CI sent to Escrow.
Assigned to isabel@coryhometeam.com
</t>
      </text>
    </comment>
    <comment authorId="6" xr:uid="{3aa5c310-964c-4b0c-8d7b-23345d649fd9}" ref="AX60">
      <text>
        <t xml:space="preserve">[Threaded comment]
 Your version of Excel allows you to read this threaded comment; however, any edits to it will get removed if the file is opened in a newer version of Excel. Learn more: https://go.microsoft.com/fwlink/?linkid=870924
Comment:
	8019 Caminito De Pizza #B
AM verified.
@isabel@coryhometeam.com
@kenia@coryhometeam.com
4.27 CI sent to Escrow.
Assigned to isabel@coryhometeam.com
</t>
      </text>
    </comment>
    <comment authorId="7" xr:uid="{415810eb-3f23-49d0-b6c9-7627c59b6199}" ref="AB56">
      <text>
        <t xml:space="preserve">[Threaded comment]
 Your version of Excel allows you to read this threaded comment; however, any edits to it will get removed if the file is opened in a newer version of Excel. Learn more: https://go.microsoft.com/fwlink/?linkid=870924
Comment:
	Estimated date only. This transaction is contingent on the sellers property.
</t>
      </text>
    </comment>
    <comment authorId="8" xr:uid="{49ee2421-9987-4de4-aa15-b3e2cf6eae17}" ref="AA11">
      <text>
        <t xml:space="preserve">[Threaded comment]
 Your version of Excel allows you to read this threaded comment; however, any edits to it will get removed if the file is opened in a newer version of Excel. Learn more: https://go.microsoft.com/fwlink/?linkid=870924
Comment:
	Upon the buyer’s delivery of property evidence or the removal of the Contingency of Purchase (COP 11.A &amp; B).
</t>
      </text>
    </comment>
    <comment authorId="9" xr:uid="{4f9868c1-beb6-493f-826c-eb1c725c1247}" ref="AA15">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upon the buyer’s delivery of property evidence or the removal of the Contingency of Purchase (COP 11.A).
</t>
      </text>
    </comment>
    <comment authorId="10" xr:uid="{502299f7-4975-486d-9bfb-4273f7e39213}" ref="AA57">
      <text>
        <t xml:space="preserve">[Threaded comment]
 Your version of Excel allows you to read this threaded comment; however, any edits to it will get removed if the file is opened in a newer version of Excel. Learn more: https://go.microsoft.com/fwlink/?linkid=870924
Comment:
	All timelines under this agreement shall commence the day after the Seller delivers written notice to the Buyer removing the Finding Replacement Property Contingency specified in Paragraph 1A.
</t>
      </text>
    </comment>
    <comment authorId="11" xr:uid="{5eec640b-2e51-4de1-8af6-33cb5dfd84dc}" ref="AV29">
      <text>
        <t xml:space="preserve">[Threaded comment]
 Your version of Excel allows you to read this threaded comment; however, any edits to it will get removed if the file is opened in a newer version of Excel. Learn more: https://go.microsoft.com/fwlink/?linkid=870924
Comment:
	N 10TH STREET @isabel@coryhometeam.com
VERIFIED
Assigned to isabel@coryhometeam.com
</t>
      </text>
    </comment>
    <comment authorId="12" xr:uid="{66813622-ba95-40bf-8ab1-e739530a5425}" ref="AX56">
      <text>
        <t xml:space="preserve">[Threaded comment]
 Your version of Excel allows you to read this threaded comment; however, any edits to it will get removed if the file is opened in a newer version of Excel. Learn more: https://go.microsoft.com/fwlink/?linkid=870924
Comment:
	1025 Dixie Dr
AM verified.
@isabel@coryhometeam.com
@kenia@coryhometeam.com
5.27 CI sent to Escrow.
Assigned to isabel@coryhometeam.com
</t>
      </text>
    </comment>
    <comment authorId="13" xr:uid="{75ea2810-746d-4fc7-90a8-d488b8383ef9}" ref="AV15">
      <text>
        <t xml:space="preserve">[Threaded comment]
 Your version of Excel allows you to read this threaded comment; however, any edits to it will get removed if the file is opened in a newer version of Excel. Learn more: https://go.microsoft.com/fwlink/?linkid=870924
Comment:
	MURRIETA RD #75 @isabel@coryhometeam.com
VERIFIED
Assigned to isabel@coryhometeam.com
</t>
      </text>
    </comment>
    <comment authorId="14" xr:uid="{82a5e466-22b9-4a81-a178-4f1eb853bbf9}" ref="AQ13">
      <text>
        <t xml:space="preserve">[Threaded comment]
 Your version of Excel allows you to read this threaded comment; however, any edits to it will get removed if the file is opened in a newer version of Excel. Learn more: https://go.microsoft.com/fwlink/?linkid=870924
Comment:
	@kenia@coryhometeam.com
Assigned to kenia@coryhometeam.com
</t>
      </text>
    </comment>
    <comment authorId="15" xr:uid="{83a8cb51-586e-4723-a058-a4c57d49d7e0}" ref="AV24">
      <text>
        <t xml:space="preserve">[Threaded comment]
 Your version of Excel allows you to read this threaded comment; however, any edits to it will get removed if the file is opened in a newer version of Excel. Learn more: https://go.microsoft.com/fwlink/?linkid=870924
Comment:
	VIA LA PRESA @isabel@coryhometeam.com
VERIFIED
Assigned to isabel@coryhometeam.com
</t>
      </text>
    </comment>
    <comment authorId="16" xr:uid="{87273a7a-b43e-4b53-b000-d368f5c9face}" ref="AX35">
      <text>
        <t xml:space="preserve">[Threaded comment]
 Your version of Excel allows you to read this threaded comment; however, any edits to it will get removed if the file is opened in a newer version of Excel. Learn more: https://go.microsoft.com/fwlink/?linkid=870924
Comment:
	17666 High Vista St
AM verified.
@isabel@coryhometeam.com
@kenia@coryhometeam.com
2.24 CI sent to Escrow.
Assigned to isabel@coryhometeam.com
</t>
      </text>
    </comment>
    <comment authorId="17" xr:uid="{8b0e57a0-0bc6-45b0-9e2d-7932be2a3fb2}" ref="AH22">
      <text>
        <t xml:space="preserve">[Threaded comment]
 Your version of Excel allows you to read this threaded comment; however, any edits to it will get removed if the file is opened in a newer version of Excel. Learn more: https://go.microsoft.com/fwlink/?linkid=870924
Comment:
	$589.00
</t>
      </text>
    </comment>
    <comment authorId="18" xr:uid="{90108c1b-ac9d-481a-9bd4-dedc02b67f01}" ref="AA16">
      <text>
        <t xml:space="preserve">[Threaded comment]
 Your version of Excel allows you to read this threaded comment; however, any edits to it will get removed if the file is opened in a newer version of Excel. Learn more: https://go.microsoft.com/fwlink/?linkid=870924
Comment:
	2.3 The date is an estimate only. This escrow is contingent on the buyers property.
</t>
      </text>
    </comment>
    <comment authorId="19" xr:uid="{910df1c7-04f9-4153-85f6-a51c6ccb2d7a}" ref="U27">
      <text>
        <t xml:space="preserve">[Threaded comment]
 Your version of Excel allows you to read this threaded comment; however, any edits to it will get removed if the file is opened in a newer version of Excel. Learn more: https://go.microsoft.com/fwlink/?linkid=870924
Comment:
	Instant NHD
</t>
      </text>
    </comment>
    <comment authorId="20" xr:uid="{92a62654-6a6d-4074-90b4-8075e458c9ba}" ref="AB57">
      <text>
        <t xml:space="preserve">[Threaded comment]
 Your version of Excel allows you to read this threaded comment; however, any edits to it will get removed if the file is opened in a newer version of Excel. Learn more: https://go.microsoft.com/fwlink/?linkid=870924
Comment:
	All timelines under this agreement shall commence the day after the Seller delivers written notice to the Buyer removing the Finding Replacement Property Contingency specified in Paragraph 1A.
</t>
      </text>
    </comment>
    <comment authorId="21" xr:uid="{97844e6b-15a9-4975-998c-11550d90c95e}" ref="AX42">
      <text>
        <t xml:space="preserve">[Threaded comment]
 Your version of Excel allows you to read this threaded comment; however, any edits to it will get removed if the file is opened in a newer version of Excel. Learn more: https://go.microsoft.com/fwlink/?linkid=870924
Comment:
	29225 Avenida De Las Flores
AM verified.
@isabel@coryhometeam.com
@kenia@coryhometeam.com
4.15 CI sent to Escrow.
Assigned to isabel@coryhometeam.com
</t>
      </text>
    </comment>
    <comment authorId="22" xr:uid="{a4800898-13b8-4d06-9fec-978e2196201f}" ref="AJ37">
      <text>
        <t xml:space="preserve">[Threaded comment]
 Your version of Excel allows you to read this threaded comment; however, any edits to it will get removed if the file is opened in a newer version of Excel. Learn more: https://go.microsoft.com/fwlink/?linkid=870924
Comment:
	to be paid by seller
</t>
      </text>
    </comment>
    <comment authorId="23" xr:uid="{a9f6928c-9ffd-4259-9721-f11b44f6daba}" ref="D18">
      <text>
        <t xml:space="preserve">[Threaded comment]
 Your version of Excel allows you to read this threaded comment; however, any edits to it will get removed if the file is opened in a newer version of Excel. Learn more: https://go.microsoft.com/fwlink/?linkid=870924
Comment:
	Buyer's CC
Adm. No.1 with supporting documents: Inspection Report, Termite Report, Termite Completion, Exhibit A - Roofing, Exhibit B - Evidence of Current Termite.
Buyer conducted standard and appropriate due diligence, including a general property inspection, roof evaluation, and independent termite inspection.
The resulting reports identified material conditions that were inconsistent with the documentation and certifications previously provided.
Among the more significant findings:
Cracked roof tiles and evidence of an active roof leak, despite a roof certification having been provided.
Active termite droppings, fungus, and evidence of infestation within the interior of the structure, specifically the attic space.
Indications that prior termite treatment and repair work may not have been fully completed.
Notably, the newly discovered termite findings in the attic were not reflected in the prior termite documentation. The presence of interior structural findings raises serious concerns regarding the completeness and reliability of the earlier report, as well as the potential impact on the structural integrity of the property.
Buyer incurred out-of-pocket expenses in reliance on the transaction. These expenses were incurred in good faith pursuant to Buyer’s contractual due diligence rights. We believe this request is reasonable under the circumstances.
</t>
      </text>
    </comment>
    <comment authorId="24" xr:uid="{ba16b000-6880-4a87-8ad4-8e366da2e70d}" ref="AB28">
      <text>
        <t xml:space="preserve">[Threaded comment]
 Your version of Excel allows you to read this threaded comment; however, any edits to it will get removed if the file is opened in a newer version of Excel. Learn more: https://go.microsoft.com/fwlink/?linkid=870924
Comment:
	Estimated COE only. This transaction is contingent on the sellers property.
</t>
      </text>
    </comment>
    <comment authorId="25" xr:uid="{bd75d907-e3e2-4a3a-a7cd-f53478128140}" ref="AV17">
      <text>
        <t xml:space="preserve">[Threaded comment]
 Your version of Excel allows you to read this threaded comment; however, any edits to it will get removed if the file is opened in a newer version of Excel. Learn more: https://go.microsoft.com/fwlink/?linkid=870924
Comment:
	JOAQUIN RIDGE DR @isabel@coryhometeam.com
VERIFIED
Assigned to isabel@coryhometeam.com
</t>
      </text>
    </comment>
    <comment authorId="26" xr:uid="{c13302e2-069b-4f64-b903-c8b5745a214f}" ref="AI53">
      <text>
        <t xml:space="preserve">[Threaded comment]
 Your version of Excel allows you to read this threaded comment; however, any edits to it will get removed if the file is opened in a newer version of Excel. Learn more: https://go.microsoft.com/fwlink/?linkid=870924
Comment:
	This is a flat rate commission.
</t>
      </text>
    </comment>
    <comment authorId="27" xr:uid="{cd505de7-07d5-4cdc-973b-df243e7663aa}" ref="AX38">
      <text>
        <t xml:space="preserve">[Threaded comment]
 Your version of Excel allows you to read this threaded comment; however, any edits to it will get removed if the file is opened in a newer version of Excel. Learn more: https://go.microsoft.com/fwlink/?linkid=870924
Comment:
	LILAC RD @isabel@coryhometeam.com
VERIFIED
Assigned to isabel@coryhometeam.com
</t>
      </text>
    </comment>
    <comment authorId="28" xr:uid="{cd8744f6-861f-413b-ba27-a895e8a7a0af}" ref="AA46">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upon the Seller delivering a written notice to the Buyer removing the Finding Replacement Property Contingency (SPRP 2.A).
Reply:
	CR-S #1 Finding Replacement Property issued on 03/20/26 - contract timeframes begin on this date.
</t>
      </text>
    </comment>
    <comment authorId="29" xr:uid="{ce78849c-ba95-4578-991a-dc7f8aee35f8}" ref="AM15">
      <text>
        <t xml:space="preserve">[Threaded comment]
 Your version of Excel allows you to read this threaded comment; however, any edits to it will get removed if the file is opened in a newer version of Excel. Learn more: https://go.microsoft.com/fwlink/?linkid=870924
Comment:
	Seller to additional fees as per BCO #1
</t>
      </text>
    </comment>
    <comment authorId="30" xr:uid="{d8ee5219-8927-4d93-b15f-4d5b65269fca}" ref="AB43">
      <text>
        <t xml:space="preserve">[Threaded comment]
 Your version of Excel allows you to read this threaded comment; however, any edits to it will get removed if the file is opened in a newer version of Excel. Learn more: https://go.microsoft.com/fwlink/?linkid=870924
Comment:
	4.13 COE moved to 5.19 as per ETA1.
</t>
      </text>
    </comment>
    <comment authorId="31" xr:uid="{da9a0653-fa38-49d6-9679-122a14262c12}" ref="AB35">
      <text>
        <t xml:space="preserve">[Threaded comment]
 Your version of Excel allows you to read this threaded comment; however, any edits to it will get removed if the file is opened in a newer version of Excel. Learn more: https://go.microsoft.com/fwlink/?linkid=870924
Comment:
	3.11 CR-S1 (SPRP) finding replacement property.
</t>
      </text>
    </comment>
    <comment authorId="32" xr:uid="{e5bb38b1-5f6c-4193-91ac-d407e18ddb77}" ref="AX44">
      <text>
        <t xml:space="preserve">[Threaded comment]
 Your version of Excel allows you to read this threaded comment; however, any edits to it will get removed if the file is opened in a newer version of Excel. Learn more: https://go.microsoft.com/fwlink/?linkid=870924
Comment:
	AMBERWOOD DR @isabel@coryhometeam.com
VERIFIED
Assigned to isabel@coryhometeam.com
</t>
      </text>
    </comment>
    <comment authorId="33" xr:uid="{ed50bc4f-bb0c-4b44-b7bc-a026023de18c}" ref="AV23">
      <text>
        <t xml:space="preserve">[Threaded comment]
 Your version of Excel allows you to read this threaded comment; however, any edits to it will get removed if the file is opened in a newer version of Excel. Learn more: https://go.microsoft.com/fwlink/?linkid=870924
Comment:
	23143 Canyon Estates Dr
AM verified.
@isabel@coryhometeam.com
@kenia@coryhometeam.com
3.2 CI sent to Escrow.
Assigned to isabel@coryhometeam.com
</t>
      </text>
    </comment>
    <comment authorId="34" xr:uid="{f36ace2d-492b-45e3-a83f-bb3b367275cc}" ref="AV16">
      <text>
        <t xml:space="preserve">[Threaded comment]
 Your version of Excel allows you to read this threaded comment; however, any edits to it will get removed if the file is opened in a newer version of Excel. Learn more: https://go.microsoft.com/fwlink/?linkid=870924
Comment:
	26639 Mehaffey St
AM verified.
@isabel@coryhometeam.com 
@kenia@coryhometeam.com
2.10 CI sent to Escrow.
Assigned to isabel@coryhometeam.com
</t>
      </text>
    </comment>
    <comment authorId="35" xr:uid="{f4f15f2a-feb5-435a-a9b0-3f88c8959fb5}" ref="AB46">
      <text>
        <t xml:space="preserve">[Threaded comment]
 Your version of Excel allows you to read this threaded comment; however, any edits to it will get removed if the file is opened in a newer version of Excel. Learn more: https://go.microsoft.com/fwlink/?linkid=870924
Comment:
	All time periods shall commence upon the Seller delivering a written notice to the Buyer removing the Finding Replacement Property Contingency (SPRP 2.A).
Reply:
	CR-S #1 Finding Replacement Property issued on 03/20/26 - contract timeframes begin on this date.
</t>
      </text>
    </comment>
    <comment authorId="36" xr:uid="{fe755907-3c02-474f-b11f-6a7e49686db0}" ref="AV18">
      <text>
        <t xml:space="preserve">[Threaded comment]
 Your version of Excel allows you to read this threaded comment; however, any edits to it will get removed if the file is opened in a newer version of Excel. Learn more: https://go.microsoft.com/fwlink/?linkid=870924
Comment:
	988 Rose Arbor Dr
AM verified.
@isabel@coryhometeam.com
@kenia@coryhometeam.com
2.19 CI sent to Escrow.
Assigned to isabel@coryhometeam.com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tc={38b41338-927b-4200-8b55-88eca305f001}</author>
  </authors>
  <commentList>
    <comment authorId="0" ref="AY1">
      <text>
        <t xml:space="preserve">leave $0 if no additional deduction
 amt</t>
      </text>
    </comment>
    <comment authorId="0" ref="AZ1">
      <text>
        <t xml:space="preserve">Calculated including VIP Fee
-upload into skyslope; input referral amount into skyslope
Opcity: ask eXp payment processor for agreement
Zillow Inc: pull referral agreement from PA app 
Homelight: 25%
HCO 25%
SoCalHomeBuyer: 30%
Outside Referral: ask Office Manager
OJO 
under $80,000 - 20%
$80,000 - $125,000 -25%
Over $125,000 - 35%</t>
      </text>
    </comment>
    <comment authorId="0" ref="BA1">
      <text>
        <t xml:space="preserve">Pending tab to reflect original advance amount + 1 month interest, closed tab to be updated with final due amount from seller. confirmed with comments.</t>
      </text>
    </comment>
    <comment authorId="0" ref="BE1">
      <text>
        <t xml:space="preserve">For Aileen</t>
      </text>
    </comment>
    <comment authorId="0" ref="AZ12">
      <text>
        <t xml:space="preserve">Zillow 4 yrs - no referral</t>
      </text>
    </comment>
    <comment authorId="0" ref="BG1">
      <text>
        <t xml:space="preserve">1. Pending Splits (TC has verified commission/transaction fee/referral fees/concessions) add TS verified comment @isabel
2.Commission Disbursement- Dana approved splits; Commission Disbursement received; Commission breakdown sent to agent
3. Complete- payment remittance received; Isabel verifies correct payment</t>
      </text>
    </comment>
    <comment authorId="0" ref="AQ33">
      <text>
        <t xml:space="preserve">Past Zillow Organic client</t>
      </text>
    </comment>
    <comment authorId="0" ref="AB1">
      <text>
        <t xml:space="preserve">Please use both email and phone number if available.
</t>
      </text>
    </comment>
    <comment authorId="1" xr:uid="{38b41338-927b-4200-8b55-88eca305f001}" ref="AY20">
      <text>
        <t xml:space="preserve">[Threaded comment]
 Your version of Excel allows you to read this threaded comment; however, any edits to it will get removed if the file is opened in a newer version of Excel. Learn more: https://go.microsoft.com/fwlink/?linkid=870924
Comment:
	Kathleen to pay for Home Owner's Warranty: Old Republic Home Warranty $740.00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tc={2fe1fca1-14cd-43ca-8f93-700194bc7dd5}</author>
    <author>tc={4742cda6-4e4a-4e76-97df-a1a80604e405}</author>
    <author>tc={57f239f7-a641-46a9-b9dd-cd95331fc725}</author>
    <author>tc={6ccad41b-99c6-4896-8854-a60db7b83d47}</author>
    <author>tc={7393eda3-b588-4456-baf9-092d9d1729f1}</author>
    <author>tc={7b78b8bd-208e-4fd5-bc07-82ab5ba867b4}</author>
    <author>tc={829dabe3-3c5c-4853-9101-1f02b1ee59e1}</author>
    <author>tc={843b4e15-bef2-4664-99c8-c054643dbc5c}</author>
    <author>tc={a0df0419-f20f-4fca-bcc1-1efd12f56b6c}</author>
    <author>tc={a2483f69-8981-47f1-8b87-8e8ab93523f6}</author>
    <author>tc={b086da53-25ca-42c7-b4a1-45dd3604d4a6}</author>
    <author>tc={f48d382c-509c-4650-99b9-b3843b5bdb28}</author>
    <author>tc={f68b81d7-d86d-41c2-83a3-65f5de7e285f}</author>
    <author>tc={fc962a32-99f4-4f45-9ac4-6f33df57dc66}</author>
    <author>tc={ff9090a1-6a52-42d1-a8df-1280566c3c43}</author>
  </authors>
  <commentList>
    <comment authorId="0" ref="F38">
      <text>
        <t xml:space="preserve">Nate schedule photos directly with Adriana for Sunday 05/31.</t>
      </text>
    </comment>
    <comment authorId="0" ref="F5">
      <text>
        <t xml:space="preserve">Gate Code *9571 </t>
      </text>
    </comment>
    <comment authorId="0" ref="F69">
      <text>
        <t xml:space="preserve">06/02/26
Per Connor, contractors have not started the interior remodel yet.</t>
      </text>
    </comment>
    <comment authorId="0" ref="F67">
      <text>
        <t xml:space="preserve">06/02/26
Per Robin sellers recently called into Zillow and got connected to Robin randomly and they were looking for a cash offer. No update since that call.
______________________________
04/15/26
Sent follow up EM to Robin for status on photo appt. 
______________________________
02/17/26
Per EM from Robin. Photos and Active date are being pushed out a month. New dates:
Photos 03/30
Active 04/01 (WEDS)
Open House 04/04
______________________________
Take Sheet
Photos 03/02
Active 03/04 (WEDS)
Open House 03/07</t>
      </text>
    </comment>
    <comment authorId="0" ref="N75">
      <text>
        <t xml:space="preserve">Base vacant lot $250
+Travel $100
+Processing fee $17.46</t>
      </text>
    </comment>
    <comment authorId="0" ref="N5">
      <text>
        <t xml:space="preserve">Works Package $450 + Travel $100 + Community Shots $100 + Staging $100 + Processing Fee $29.25</t>
      </text>
    </comment>
    <comment authorId="0" ref="N3">
      <text>
        <t xml:space="preserve">Package $350 + Amenities $50 + Processing Fee $19.96</t>
      </text>
    </comment>
    <comment authorId="0" ref="N32">
      <text>
        <t xml:space="preserve">Showcase Photos $364.40
Connor's Sign Rush Order $200
Cleaning $386.16
Staging $2,750
Showcase Token
</t>
      </text>
    </comment>
    <comment authorId="0" ref="F84">
      <text>
        <t xml:space="preserve">This one will be coming to us in June. We did early drone photos due to the blooming of flowers on the hillside.
06/10/25 - Be ready at end of the month for RLA to be sent
09/09/25 - Richard advised clients are in Europe and will not be ready for market until October.
10/06/25 - Sellers are planning to list after the New Year. Leaving on board pending photos cost resolution.
</t>
      </text>
    </comment>
    <comment authorId="0" ref="N92">
      <text>
        <t xml:space="preserve">Kiona to pay at closing 
Cleaning $150.60
Showcase Photos $
Sign/Lockbox Install $99</t>
      </text>
    </comment>
    <comment authorId="0" ref="F12">
      <text>
        <t xml:space="preserve">Photos 01/26/26
Active 01/29/26</t>
      </text>
    </comment>
    <comment authorId="0" ref="N20">
      <text>
        <t xml:space="preserve">Vacant lot Base $270
+Travel $100
+Processing fees$17.46</t>
      </text>
    </comment>
    <comment authorId="0" ref="N84">
      <text>
        <t xml:space="preserve">Aerial Shots during flower bloom before RLA signed $350 + Processing Fee $12.69</t>
      </text>
    </comment>
    <comment authorId="0" ref="F74">
      <text>
        <t xml:space="preserve">Per Take Sheet photos to be on 06/22/26 Active on 06/25/26</t>
      </text>
    </comment>
    <comment authorId="0" ref="N47">
      <text>
        <t xml:space="preserve">Showcase Photos $500
Sign/Lockbox Install $99</t>
      </text>
    </comment>
    <comment authorId="0" ref="F39">
      <text>
        <t xml:space="preserve">Photos 12/01 or 12/02
Active 12/04</t>
      </text>
    </comment>
    <comment authorId="0" ref="F4">
      <text>
        <t xml:space="preserve">Seller cancelled photo appt for 12/04 and asked to reschedule for the next week.
</t>
      </text>
    </comment>
    <comment authorId="0" ref="F68">
      <text>
        <t xml:space="preserve">06/02/26
Per Alexandra - Sellers are still working on their replacement property.
____________________________
04/15/26
Still working on their replacement property. </t>
      </text>
    </comment>
    <comment authorId="0" ref="E2">
      <text>
        <t xml:space="preserve">Definitions:
Pending- Under Contract/Projected to Close
Active- Listing that are active/Buyers that signed Buyers Rep
Pipeline- Hot Lead/Signed WFL/Sent RLA
Pre Signed- Listing that signed
Cancelled- Listings that have signed a COL
Sale Failed- if a buyer deal falls through
Hold-per seller or agent listing is on hold or at a standstill</t>
      </text>
    </comment>
    <comment authorId="0" ref="F33">
      <text>
        <t xml:space="preserve">04/15/26
Update EM from Alexandra
Seller still working on property updates, looking at mid-May for photos.
</t>
      </text>
    </comment>
    <comment authorId="0" ref="N6">
      <text>
        <t xml:space="preserve">Send store invoice at COE to Nate for cleaning service: $360</t>
      </text>
    </comment>
    <comment authorId="0" ref="A87">
      <text>
        <t xml:space="preserve">His Take Sheet says subscription but it has not been purchased yet.</t>
      </text>
    </comment>
    <comment authorId="0" ref="N2">
      <text>
        <t xml:space="preserve">Please leave a comment in the cell if this field is used to explain the misc cost and if this cost is to be collected at COE from agent to CHT or any other details needed at COE for splits</t>
      </text>
    </comment>
    <comment authorId="0" ref="F85">
      <text>
        <t xml:space="preserve">04/21/26
Update from Alexandra on whether the seller is ready to move forward:
She won’t move for a few months.</t>
      </text>
    </comment>
    <comment authorId="0" ref="U2">
      <text>
        <t xml:space="preserve">If title is held under a trust, what is the trust name?</t>
      </text>
    </comment>
    <comment authorId="0" ref="F50">
      <text>
        <t xml:space="preserve">04/15/26
Sent follow up EM to Myran to confirm dates on Take Sheet are still in line with preparing for market.</t>
      </text>
    </comment>
    <comment authorId="0" ref="F11">
      <text>
        <t xml:space="preserve">02/19/26
Per Alexandra's email, there were issues with the contractor paint work that needs to be corrected. Photos are being pushed to Mid March
_____________________________
02/09/26
Per Alexandra's text, photos on 02/25.
______________________________
01/09/26
Sellers will be back in the country in Feb, ready for photos on 02/17.
______________________________
TAKE SHEET
Photos mid November
Active / Coming Soon Last week of November.
11/17/25 - Per email from Alexandra: The Sellers at 27037 N Bay Lane in Menifee will be ready to list mid March. The government shutdown made things very difficult for them to obtain passports in time to relocate to France. 
</t>
      </text>
    </comment>
    <comment authorId="0" ref="F73">
      <text>
        <t xml:space="preserve">Per Take Sheet Photos to be on 06/18/26</t>
      </text>
    </comment>
    <comment authorId="0" ref="N15">
      <text>
        <t xml:space="preserve">Alicia to be billed from the store:
Showcase Photos $500</t>
      </text>
    </comment>
    <comment authorId="0" ref="F7">
      <text>
        <t xml:space="preserve">Gate Code 0326</t>
      </text>
    </comment>
    <comment authorId="0" ref="F71">
      <text>
        <t xml:space="preserve">Photos 06/15/26
Active 06/19/26
Open House 06/21/26</t>
      </text>
    </comment>
    <comment authorId="1" xr:uid="{2fe1fca1-14cd-43ca-8f93-700194bc7dd5}" ref="N54">
      <text>
        <t xml:space="preserve">[Threaded comment]
 Your version of Excel allows you to read this threaded comment; however, any edits to it will get removed if the file is opened in a newer version of Excel. Learn more: https://go.microsoft.com/fwlink/?linkid=870924
Comment:
	Kiona approved CHT to cover photo cost. Nate will be billed actual invoice + PayPal fees.
$288.42
</t>
      </text>
    </comment>
    <comment authorId="2" xr:uid="{4742cda6-4e4a-4e76-97df-a1a80604e405}" ref="M31">
      <text>
        <t xml:space="preserve">[Threaded comment]
 Your version of Excel allows you to read this threaded comment; however, any edits to it will get removed if the file is opened in a newer version of Excel. Learn more: https://go.microsoft.com/fwlink/?linkid=870924
Comment:
	Flat Rate - $10,000
</t>
      </text>
    </comment>
    <comment authorId="3" xr:uid="{57f239f7-a641-46a9-b9dd-cd95331fc725}" ref="N14">
      <text>
        <t xml:space="preserve">[Threaded comment]
 Your version of Excel allows you to read this threaded comment; however, any edits to it will get removed if the file is opened in a newer version of Excel. Learn more: https://go.microsoft.com/fwlink/?linkid=870924
Comment:
	Blake Ordered:
Showcase Photos
Showcase Token
Cleaning of Property $154.80
</t>
      </text>
    </comment>
    <comment authorId="4" xr:uid="{6ccad41b-99c6-4896-8854-a60db7b83d47}" ref="M47">
      <text>
        <t xml:space="preserve">[Threaded comment]
 Your version of Excel allows you to read this threaded comment; however, any edits to it will get removed if the file is opened in a newer version of Excel. Learn more: https://go.microsoft.com/fwlink/?linkid=870924
Comment:
	Flat Rate - $5,000
</t>
      </text>
    </comment>
    <comment authorId="5" xr:uid="{7393eda3-b588-4456-baf9-092d9d1729f1}" ref="N38">
      <text>
        <t xml:space="preserve">[Threaded comment]
 Your version of Excel allows you to read this threaded comment; however, any edits to it will get removed if the file is opened in a newer version of Excel. Learn more: https://go.microsoft.com/fwlink/?linkid=870924
Comment:
	Kiona approved CHT to cover photo cost. Nate will be billed actual invoice + PayPal fees.
$288.42
</t>
      </text>
    </comment>
    <comment authorId="6" xr:uid="{7b78b8bd-208e-4fd5-bc07-82ab5ba867b4}" ref="N51">
      <text>
        <t xml:space="preserve">[Threaded comment]
 Your version of Excel allows you to read this threaded comment; however, any edits to it will get removed if the file is opened in a newer version of Excel. Learn more: https://go.microsoft.com/fwlink/?linkid=870924
Comment:
	Blake Ordered:
Showcase Photos
Showcase Token
Cleaning of Property $225.10
</t>
      </text>
    </comment>
    <comment authorId="7" xr:uid="{829dabe3-3c5c-4853-9101-1f02b1ee59e1}" ref="N37">
      <text>
        <t xml:space="preserve">[Threaded comment]
 Your version of Excel allows you to read this threaded comment; however, any edits to it will get removed if the file is opened in a newer version of Excel. Learn more: https://go.microsoft.com/fwlink/?linkid=870924
Comment:
	Kiona approved CHT to cover photo cost. Nate will be billed actual invoice + PayPal fees.
$288.42
</t>
      </text>
    </comment>
    <comment authorId="8" xr:uid="{843b4e15-bef2-4664-99c8-c054643dbc5c}" ref="N31">
      <text>
        <t xml:space="preserve">[Threaded comment]
 Your version of Excel allows you to read this threaded comment; however, any edits to it will get removed if the file is opened in a newer version of Excel. Learn more: https://go.microsoft.com/fwlink/?linkid=870924
Comment:
	Blake Ordered:
Showcase Photos
Showcase Token
Cleaning of Property $145.60
</t>
      </text>
    </comment>
    <comment authorId="9" xr:uid="{a0df0419-f20f-4fca-bcc1-1efd12f56b6c}" ref="N94">
      <text>
        <t xml:space="preserve">[Threaded comment]
 Your version of Excel allows you to read this threaded comment; however, any edits to it will get removed if the file is opened in a newer version of Excel. Learn more: https://go.microsoft.com/fwlink/?linkid=870924
Comment:
	Kiona approved billing from store to agent at COE.
$700 total to be billed to Martin
$500 Showcase Photos
$100 ADU Photos
$100 Travel
Martin approved additional cost in phone call on 06/16 - email summary followed for files.
</t>
      </text>
    </comment>
    <comment authorId="10" xr:uid="{a2483f69-8981-47f1-8b87-8e8ab93523f6}" ref="N27">
      <text>
        <t xml:space="preserve">[Threaded comment]
 Your version of Excel allows you to read this threaded comment; however, any edits to it will get removed if the file is opened in a newer version of Excel. Learn more: https://go.microsoft.com/fwlink/?linkid=870924
Comment:
	CHT is covering cost of listing photos $300.
Agent to pay back at coe @dana@coryhometeam.com @isabel@coryhometeam.com
</t>
      </text>
    </comment>
    <comment authorId="11" xr:uid="{b086da53-25ca-42c7-b4a1-45dd3604d4a6}" ref="F32">
      <text>
        <t xml:space="preserve">[Threaded comment]
 Your version of Excel allows you to read this threaded comment; however, any edits to it will get removed if the file is opened in a newer version of Excel. Learn more: https://go.microsoft.com/fwlink/?linkid=870924
Comment:
	Lockbox 0429
</t>
      </text>
    </comment>
    <comment authorId="12" xr:uid="{f48d382c-509c-4650-99b9-b3843b5bdb28}" ref="X79">
      <text>
        <t xml:space="preserve">[Threaded comment]
 Your version of Excel allows you to read this threaded comment; however, any edits to it will get removed if the file is opened in a newer version of Excel. Learn more: https://go.microsoft.com/fwlink/?linkid=870924
Comment:
	2.10 To follow per Spencer.
</t>
      </text>
    </comment>
    <comment authorId="13" xr:uid="{f68b81d7-d86d-41c2-83a3-65f5de7e285f}" ref="N50">
      <text>
        <t xml:space="preserve">[Threaded comment]
 Your version of Excel allows you to read this threaded comment; however, any edits to it will get removed if the file is opened in a newer version of Excel. Learn more: https://go.microsoft.com/fwlink/?linkid=870924
Comment:
	Kiona approved via EM, agent pay at COE. Myrna to be billed through the store $500 for Showcase photos.
Reply:
	Mayra to be billed for Sign Install San Diego County South of Hwy 56 at $139
</t>
      </text>
    </comment>
    <comment authorId="14" xr:uid="{fc962a32-99f4-4f45-9ac4-6f33df57dc66}" ref="F14">
      <text>
        <t xml:space="preserve">[Threaded comment]
 Your version of Excel allows you to read this threaded comment; however, any edits to it will get removed if the file is opened in a newer version of Excel. Learn more: https://go.microsoft.com/fwlink/?linkid=870924
Comment:
	Gate Code 32838#
</t>
      </text>
    </comment>
    <comment authorId="15" xr:uid="{ff9090a1-6a52-42d1-a8df-1280566c3c43}" ref="N65">
      <text>
        <t xml:space="preserve">[Threaded comment]
 Your version of Excel allows you to read this threaded comment; however, any edits to it will get removed if the file is opened in a newer version of Excel. Learn more: https://go.microsoft.com/fwlink/?linkid=870924
Comment:
	Agent-Kiona to pay cost at COE.
-listing photos $380.00
-cleaning $232.80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tc={2005bd02-1458-447e-9311-262e9e9766ac}</author>
    <author>tc={7d0b9d22-3b7d-44a2-b2d7-16d7426a8f10}</author>
    <author>tc={8e9c5b52-c942-4013-b0b1-3ab07e01d837}</author>
    <author>tc={a3fc24d5-e5ed-4828-bbe9-e0d3ea502b35}</author>
    <author>tc={e3086a3e-596e-4847-9ca7-d83d36f0e0d7}</author>
  </authors>
  <commentList>
    <comment authorId="0" ref="G38">
      <text>
        <t xml:space="preserve">Gate code is 003</t>
      </text>
    </comment>
    <comment authorId="0" ref="O46">
      <text>
        <t xml:space="preserve">Showcase Photos $500
Sign Install $99</t>
      </text>
    </comment>
    <comment authorId="0" ref="G34">
      <text>
        <t xml:space="preserve">Gate Code #0725</t>
      </text>
    </comment>
    <comment authorId="0" ref="O42">
      <text>
        <t xml:space="preserve">Photo Package $500
Showcase Token $350
Sign Install $75</t>
      </text>
    </comment>
    <comment authorId="0" ref="O38">
      <text>
        <t xml:space="preserve">Photo Package $250 + Processing Fee $12.47 + Staging $40 + Tax $3.10</t>
      </text>
    </comment>
    <comment authorId="0" ref="G125">
      <text>
        <t xml:space="preserve">04/29/26
Client has multiple animals and is not willing to show the home except on weekends. Alexandra is trying to navigate it.</t>
      </text>
    </comment>
    <comment authorId="0" ref="G92">
      <text>
        <t xml:space="preserve">Billed to Blake for sign
</t>
      </text>
    </comment>
    <comment authorId="0" ref="G59">
      <text>
        <t xml:space="preserve">10/02/25
Needs to complete repairs to get the home ready for the market.Photos set for 10/13, Active on 10/16.</t>
      </text>
    </comment>
    <comment authorId="0" ref="O34">
      <text>
        <t xml:space="preserve">Works Package $450 + Added SqFt $75 + Staging $35 + Processing Fee $26.19 + Sales Tax $2.71</t>
      </text>
    </comment>
    <comment authorId="0" ref="G22">
      <text>
        <t xml:space="preserve">10/02/25
Techinically under contract - all parties agreed to leave ACTIVE in the MLS due to COP.</t>
      </text>
    </comment>
    <comment authorId="0" ref="O92">
      <text>
        <t xml:space="preserve">$500 was paid by CHT and is due from agent at COE
$75 Sign install was also paid by CHT on install</t>
      </text>
    </comment>
    <comment authorId="0" ref="G14">
      <text>
        <t xml:space="preserve">Lockbox/Door Code 4714
Seller needs to do a transfer of title before they can actively list on the MLS. This will take about 6-8 weeks.</t>
      </text>
    </comment>
    <comment authorId="0" ref="O22">
      <text>
        <t xml:space="preserve">Works package $450 + 
Oversize SF $450+ 
Staging $140 + 
Processing Fee $44.91
+No Show plus processing $105</t>
      </text>
    </comment>
    <comment authorId="0" ref="G43">
      <text>
        <t xml:space="preserve">Bill Cheryl for sign install at COE
</t>
      </text>
    </comment>
    <comment authorId="0" ref="G105">
      <text>
        <t xml:space="preserve">05/07/25 - Mario requested to push Coming Soon to 05/15/25. Cients will be out of town in Florida and need additional time to prepare for Open House</t>
      </text>
    </comment>
    <comment authorId="0" ref="G72">
      <text>
        <t xml:space="preserve">Photos 02/02
Active 02/06</t>
      </text>
    </comment>
    <comment authorId="0" ref="G39">
      <text>
        <t xml:space="preserve">Lockbox Code 2625</t>
      </text>
    </comment>
    <comment authorId="0" ref="H72">
      <text>
        <t xml:space="preserve">No sign on site when vendor went for removal.</t>
      </text>
    </comment>
    <comment authorId="0" ref="O14">
      <text>
        <t xml:space="preserve">Photo Package $250 + Oversized Sunday Funday $50  Processing Fee $14.97 + Staging $150 + Tax $11.63</t>
      </text>
    </comment>
    <comment authorId="0" ref="G101">
      <text>
        <t xml:space="preserve">02/24/26 - Nate will be speaking to them in March about going Active.
________________________________
12/18/25 - Seller requeted removal from MLS and they would like to relaunch in Spring 2026</t>
      </text>
    </comment>
    <comment authorId="0" ref="F2">
      <text>
        <t xml:space="preserve">Definitions:
Pending- Under Contract/Projected to Close
Active- Listing that are active/Buyers that signed Buyers Rep
Pipeline- Hot Lead/Signed WFL/Sent RLA
Pre Signed- Listing that signed
Cancelled- Listings that have signed a COL
Sale Failed- if a buyer deal falls through
Hold-per seller or agent listing is on hold or at a standstill</t>
      </text>
    </comment>
    <comment authorId="0" ref="G97">
      <text>
        <t xml:space="preserve">Photos are Friday 04/17</t>
      </text>
    </comment>
    <comment authorId="0" ref="O105">
      <text>
        <t xml:space="preserve">Works Package $450 + Travel $100 + Ammenities $100 + Staging $210 + $23.58</t>
      </text>
    </comment>
    <comment authorId="0" ref="N68">
      <text>
        <t xml:space="preserve">$589 - this is Blake's Listing</t>
      </text>
    </comment>
    <comment authorId="0" ref="O2">
      <text>
        <t xml:space="preserve">Please leave a comment in the cell if this field is used to explain the misc cost and if this cost is to be collected at COE from agent to CHT or any other details needed at COE for splits</t>
      </text>
    </comment>
    <comment authorId="0" ref="G122">
      <text>
        <t xml:space="preserve">02/24/26
Photos this weekend or Monday.
_____________________________
02/09/26
Text from Nate - Sellers are not ready. Taking an advance to work on home to prepare for market.</t>
      </text>
    </comment>
    <comment authorId="0" ref="G85">
      <text>
        <t xml:space="preserve">01/08/26
Mel has advised she setup photos to be done 01/09
___________________________
Per Take Sheet
Photos 01/09
Active 01/15</t>
      </text>
    </comment>
    <comment authorId="0" ref="V2">
      <text>
        <t xml:space="preserve">If title is held under a trust, what is the trust name?</t>
      </text>
    </comment>
    <comment authorId="0" ref="O27">
      <text>
        <t xml:space="preserve">Works Package $450 + Oversized SqFt $150 + Processing Fee $21.76
Photo Staging $160 + Tax $12.40</t>
      </text>
    </comment>
    <comment authorId="0" ref="G48">
      <text>
        <t xml:space="preserve">09/13/25 - Take sheet shows photos and Active to be mid October.
Photos scheduled for 10/28 - Active 10/30</t>
      </text>
    </comment>
    <comment authorId="0" ref="G110">
      <text>
        <t xml:space="preserve">03/23/26
EM from Robin, pushing Active date out another month.
______________________________
02/24/26
Divorce situation - photos possibley next week.
______________________________
02/02/26
Per text - Nate is working on Seller advance to prepare home for market.</t>
      </text>
    </comment>
    <comment authorId="0" ref="G77">
      <text>
        <t xml:space="preserve">01/05/26 - Photos have been requested for 01/13/26 with Active 01/15/26</t>
      </text>
    </comment>
    <comment authorId="0" ref="G40">
      <text>
        <t xml:space="preserve">10/02/25
Needs to complete repairs to get the home ready for the market. Still in the works on which way we are moving, cash offer also a possibility.</t>
      </text>
    </comment>
    <comment authorId="0" ref="O48">
      <text>
        <t xml:space="preserve">Photo Package $450 + Community $100 + Processing Fee $27.44</t>
      </text>
    </comment>
    <comment authorId="0" ref="O77">
      <text>
        <t xml:space="preserve">Photo Package $500
Showcase Token $350
Sign Install $75</t>
      </text>
    </comment>
    <comment authorId="0" ref="G3">
      <text>
        <t xml:space="preserve">Photos 11/20
Active 12/4</t>
      </text>
    </comment>
    <comment authorId="0" ref="G28">
      <text>
        <t xml:space="preserve">Per Take Sheet photos last week of December
Photos were pushed to 01/07/26
Active 01/08/26 </t>
      </text>
    </comment>
    <comment authorId="0" ref="O94">
      <text>
        <t xml:space="preserve">Base $450
+Travel $150
+Amenities $100
+Fees 34.93
Total $734.93</t>
      </text>
    </comment>
    <comment authorId="0" ref="G20">
      <text>
        <t xml:space="preserve">10/02/25
Needs to complete repairs to get the home ready for the market. Still in the works on which way we are moving, cash offer also a possibility.</t>
      </text>
    </comment>
    <comment authorId="0" ref="G82">
      <text>
        <t xml:space="preserve">01/05/26 - Double ended deal with seller and tenants fell through in 12/2025. Seller now needs time for tenants to relocate so they can list the home.</t>
      </text>
    </comment>
    <comment authorId="0" ref="G49">
      <text>
        <t xml:space="preserve">Photos 11/24
Active 11/26
Oversight on Sellers Coverage order. Email sent to Nikki to add coverage was sent on 12/19.</t>
      </text>
    </comment>
    <comment authorId="0" ref="G16">
      <text>
        <t xml:space="preserve">10/02/25
Offer out, hoping to open escrow tomorrow.
</t>
      </text>
    </comment>
    <comment authorId="0" ref="O119">
      <text>
        <t xml:space="preserve">Base $450
+Amenities$100
+Fees $27.44
+Staging $105
Total $690.58</t>
      </text>
    </comment>
    <comment authorId="0" ref="G78">
      <text>
        <t xml:space="preserve">Per Take Sheet
Photos end of February
Active first week of March</t>
      </text>
    </comment>
    <comment authorId="0" ref="G45">
      <text>
        <t xml:space="preserve">09/04/25 - Seller requested to hold off on listing the home until January</t>
      </text>
    </comment>
    <comment authorId="0" ref="B70">
      <text>
        <t xml:space="preserve">His Take Sheet says Subscription but it has not been purchased yet.</t>
      </text>
    </comment>
    <comment authorId="0" ref="G41">
      <text>
        <t xml:space="preserve">10/02/25
Vacant - Price reduction done 09/30. Nothing needed as of date of this note.</t>
      </text>
    </comment>
    <comment authorId="0" ref="O49">
      <text>
        <t xml:space="preserve">$370 was paid on 12/01/25 on Dana's CC.
Sign install was also paid by CHT on install</t>
      </text>
    </comment>
    <comment authorId="0" ref="O16">
      <text>
        <t xml:space="preserve">Base $250
+Travel $100
+Amenities $5
+fess $22.45
+Twiligh $26.25
Total $448.70</t>
      </text>
    </comment>
    <comment authorId="0" ref="R82">
      <text>
        <t xml:space="preserve">No listing period. RLA straight to escrow.</t>
      </text>
    </comment>
    <comment authorId="0" ref="G37">
      <text>
        <t xml:space="preserve">Photos first 2 weeks in Dec
Active first week of January</t>
      </text>
    </comment>
    <comment authorId="0" ref="G4">
      <text>
        <t xml:space="preserve">Photos 11/19
Active 11/20</t>
      </text>
    </comment>
    <comment authorId="0" ref="O41">
      <text>
        <t xml:space="preserve">-Reschedule-Photographer arrived and property not ready to shoot $105
Works Packet $450
+Processing Fee $22.45
+Staging $100.00</t>
      </text>
    </comment>
    <comment authorId="0" ref="R107">
      <text>
        <t xml:space="preserve">Approved by Mel. Home is a complete gut and remodel required.</t>
      </text>
    </comment>
    <comment authorId="0" ref="G62">
      <text>
        <t xml:space="preserve">Combo 1906</t>
      </text>
    </comment>
    <comment authorId="0" ref="O4">
      <text>
        <t xml:space="preserve">Photos paid by CHT 11/26/25, due from agent at COE $500
Sign install paid by CHT, due from agent at COE $75</t>
      </text>
    </comment>
    <comment authorId="0" ref="G91">
      <text>
        <t xml:space="preserve">TAKE SHEET
Photos 01/22
Active 01/29
</t>
      </text>
    </comment>
    <comment authorId="0" ref="G120">
      <text>
        <t xml:space="preserve">10/02/25
Active, showings still being booked. Nothing to do as of this note.</t>
      </text>
    </comment>
    <comment authorId="0" ref="G54">
      <text>
        <t xml:space="preserve">Photos 11/18
Active 11/20</t>
      </text>
    </comment>
    <comment authorId="0" ref="O29">
      <text>
        <t xml:space="preserve">Photo Package $375 + Processing Fee $18.71</t>
      </text>
    </comment>
    <comment authorId="0" ref="O91">
      <text>
        <t xml:space="preserve">Showcase Photos $500
Sign Install $75</t>
      </text>
    </comment>
    <comment authorId="0" ref="G50">
      <text>
        <t xml:space="preserve">10/02/25
Christian Dahlin's parents home - went Active 2 weeks ago. Nothing needed at this time.</t>
      </text>
    </comment>
    <comment authorId="0" ref="C75">
      <text>
        <t xml:space="preserve">Opendoor is not a Listing Showcase. Showcase token is needed for Showcase on this listing.</t>
      </text>
    </comment>
    <comment authorId="0" ref="C42">
      <text>
        <t xml:space="preserve">
</t>
      </text>
    </comment>
    <comment authorId="0" ref="G46">
      <text>
        <t xml:space="preserve">EM from Myrna 01/19/26
6173 N Indigo Ave, San Bernardino will be pushed back to 1/27/26, active date 1/29/26 and open house 1/31/26. The seller called last night and they are not ready for pictures yet. 
</t>
      </text>
    </comment>
    <comment authorId="0" ref="G13">
      <text>
        <t xml:space="preserve">10/02/25
Owner is pending possibly out of country marriage, Nate is waiting in the wings for next steps.</t>
      </text>
    </comment>
    <comment authorId="0" ref="O21">
      <text>
        <t xml:space="preserve">Photo Package $450 + Processing Fee $22.45</t>
      </text>
    </comment>
    <comment authorId="0" ref="O83">
      <text>
        <t xml:space="preserve">04/22/26
Seller requested to Cancel. Mario is collecting a $1,000 cancellation fee to cover these cost.
_________________________________
Showcase Photos $500
Showcase Token $350
Sign Order $75 (He put his lockbox in)</t>
      </text>
    </comment>
    <comment authorId="0" ref="G42">
      <text>
        <t xml:space="preserve">Photos completed 01/02/26
Active 01/08/26</t>
      </text>
    </comment>
    <comment authorId="0" ref="O17">
      <text>
        <t xml:space="preserve">basic packet $250
+amenities $50
+processing fee $14.92
</t>
      </text>
    </comment>
    <comment authorId="1" xr:uid="{2005bd02-1458-447e-9311-262e9e9766ac}" ref="G88">
      <text>
        <t xml:space="preserve">[Threaded comment]
 Your version of Excel allows you to read this threaded comment; however, any edits to it will get removed if the file is opened in a newer version of Excel. Learn more: https://go.microsoft.com/fwlink/?linkid=870924
Comment:
	Agent opted out of Listing Add on 
I requested the Listing Take Sheet. Pending receipt
</t>
      </text>
    </comment>
    <comment authorId="2" xr:uid="{7d0b9d22-3b7d-44a2-b2d7-16d7426a8f10}" ref="N88">
      <text>
        <t xml:space="preserve">[Threaded comment]
 Your version of Excel allows you to read this threaded comment; however, any edits to it will get removed if the file is opened in a newer version of Excel. Learn more: https://go.microsoft.com/fwlink/?linkid=870924
Comment:
	@dana@coryhometeam.com Jeff said he negotiated at joining his personal Listing to be 0% commission w $1500 flat fee. 
But he added the $1500 as Admin on the RLA just wanted to check/give you heads up if this is correct? @isabel@coryhometeam.com
Assigned to dana@coryhometeam.com
Reply:
	@dana@coryhometeam.com  please see above
</t>
      </text>
    </comment>
    <comment authorId="3" xr:uid="{8e9c5b52-c942-4013-b0b1-3ab07e01d837}" ref="H87">
      <text>
        <t xml:space="preserve">[Threaded comment]
 Your version of Excel allows you to read this threaded comment; however, any edits to it will get removed if the file is opened in a newer version of Excel. Learn more: https://go.microsoft.com/fwlink/?linkid=870924
Comment:
	Carmen advised she installed her own signpost and lockbox
</t>
      </text>
    </comment>
    <comment authorId="4" xr:uid="{a3fc24d5-e5ed-4828-bbe9-e0d3ea502b35}" ref="O78">
      <text>
        <t xml:space="preserve">[Threaded comment]
 Your version of Excel allows you to read this threaded comment; however, any edits to it will get removed if the file is opened in a newer version of Excel. Learn more: https://go.microsoft.com/fwlink/?linkid=870924
Comment:
	Mel to be billed from store $500 at COE for photos. Approved by Kiona
</t>
      </text>
    </comment>
    <comment authorId="5" xr:uid="{e3086a3e-596e-4847-9ca7-d83d36f0e0d7}" ref="G89">
      <text>
        <t xml:space="preserve">[Threaded comment]
 Your version of Excel allows you to read this threaded comment; however, any edits to it will get removed if the file is opened in a newer version of Excel. Learn more: https://go.microsoft.com/fwlink/?linkid=870924
Comment:
	Agent opted out of Listing Add on I requested the Listing Take Sheet. Pending receipt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tc={50cbe010-e9fa-4a3c-8402-c49c262dc6ac}</author>
    <author>tc={55c46857-a9bd-4a2b-a2e0-c8754f40c6b3}</author>
    <author>tc={9f52a5e9-2911-40dd-9ce6-cb8a70d5fc11}</author>
    <author>tc={a1a5b8ef-5d73-472d-94d5-771806d7099c}</author>
    <author>tc={c5bd9dd2-9868-4cf5-8abd-3cbc227d809d}</author>
    <author>tc={d0a1c609-769e-44c2-af27-2710ea36e53f}</author>
    <author>tc={d20c0197-4459-431c-a6f6-697f6963108c}</author>
    <author>tc={e7a5d951-f36b-40ef-b12c-b5ef37163ba8}</author>
  </authors>
  <commentList>
    <comment authorId="0" ref="G3">
      <text>
        <t xml:space="preserve">If an agent didnt request the referral; put InHouse</t>
      </text>
    </comment>
    <comment authorId="0" ref="M25">
      <text>
        <t xml:space="preserve">Referring agent
</t>
      </text>
    </comment>
    <comment authorId="0" ref="C13">
      <text>
        <t xml:space="preserve">This is also in Closed tab</t>
      </text>
    </comment>
    <comment authorId="0" ref="M21">
      <text>
        <t xml:space="preserve">Referring agent</t>
      </text>
    </comment>
    <comment authorId="0" ref="O23">
      <text>
        <t xml:space="preserve">The potential buyer never got back to us, so we never met for a showing! </t>
      </text>
    </comment>
    <comment authorId="0" ref="AE3">
      <text>
        <t xml:space="preserve">All commission adjustments must have approval from Melissa Mantz in writing
use "agent pay" drop down if not approved by Mel
Always clarify with the agent if they need approval to take it off the top or if they are paying out of their split</t>
      </text>
    </comment>
    <comment authorId="0" ref="AF3">
      <text>
        <t xml:space="preserve">1. Pending Splits (TC has verified commission/transaction fee/referral fees/concessions) add TS verified comment @isabel
2.Commission Disbursement- Dana approved splits; Commission Disbursement received; Commission breakdown sent to agent
3. Complete- payment remittance received; Isabel verifies correct payment</t>
      </text>
    </comment>
    <comment authorId="0" ref="AG3">
      <text>
        <t xml:space="preserve">CDA Requested- TC verified commission/additions/referrals/concessions; Commission/concessions are added into skyslope correctly; CDA is requested from eXP
CDA sent to escrow- TC verifies CDA is correct and sends to escrow; requesting copies of checks upon disbursement
Complete- verify splits are entered; copies of checks/final statement is uploaded into skyslope; payment release is requested to eXp</t>
      </text>
    </comment>
    <comment authorId="0" ref="W24">
      <text>
        <t xml:space="preserve">30% to Zillow</t>
      </text>
    </comment>
    <comment authorId="1" xr:uid="{50cbe010-e9fa-4a3c-8402-c49c262dc6ac}" ref="C38">
      <text>
        <t xml:space="preserve">[Threaded comment]
 Your version of Excel allows you to read this threaded comment; however, any edits to it will get removed if the file is opened in a newer version of Excel. Learn more: https://go.microsoft.com/fwlink/?linkid=870924
Comment:
	REF-Trailzend splits now ready @dana@coryhometeam.com
</t>
      </text>
    </comment>
    <comment authorId="2" xr:uid="{55c46857-a9bd-4a2b-a2e0-c8754f40c6b3}" ref="C22">
      <text>
        <t xml:space="preserve">[Threaded comment]
 Your version of Excel allows you to read this threaded comment; however, any edits to it will get removed if the file is opened in a newer version of Excel. Learn more: https://go.microsoft.com/fwlink/?linkid=870924
Comment:
	W Wind Song Ave @dana@coryhometeam.com 100% to Blake, ready for approval. Thank you!
</t>
      </text>
    </comment>
    <comment authorId="3" xr:uid="{9f52a5e9-2911-40dd-9ce6-cb8a70d5fc11}" ref="W20">
      <text>
        <t xml:space="preserve">[Threaded comment]
 Your version of Excel allows you to read this threaded comment; however, any edits to it will get removed if the file is opened in a newer version of Excel. Learn more: https://go.microsoft.com/fwlink/?linkid=870924
Comment:
	This was a cancellation fee collected for the cancellation of their listing after services were provided.
</t>
      </text>
    </comment>
    <comment authorId="4" xr:uid="{a1a5b8ef-5d73-472d-94d5-771806d7099c}" ref="C20">
      <text>
        <t xml:space="preserve">[Threaded comment]
 Your version of Excel allows you to read this threaded comment; however, any edits to it will get removed if the file is opened in a newer version of Excel. Learn more: https://go.microsoft.com/fwlink/?linkid=870924
Comment:
	@dana@coryhometeam.com this is the cancellation fee on a canceled listing. I put 100% to Team.
Reply:
	Listing cancellation fees collected will go 100% to the agent.
</t>
      </text>
    </comment>
    <comment authorId="5" xr:uid="{c5bd9dd2-9868-4cf5-8abd-3cbc227d809d}" ref="C27">
      <text>
        <t xml:space="preserve">[Threaded comment]
 Your version of Excel allows you to read this threaded comment; however, any edits to it will get removed if the file is opened in a newer version of Excel. Learn more: https://go.microsoft.com/fwlink/?linkid=870924
Comment:
	Partridge Way#903: $1,000 hold back collected, no Zillow, 60/40 splits now ready for approval. Thank you! @dana@coryhometeam.com
</t>
      </text>
    </comment>
    <comment authorId="6" xr:uid="{d0a1c609-769e-44c2-af27-2710ea36e53f}" ref="AA33">
      <text>
        <t xml:space="preserve">[Threaded comment]
 Your version of Excel allows you to read this threaded comment; however, any edits to it will get removed if the file is opened in a newer version of Excel. Learn more: https://go.microsoft.com/fwlink/?linkid=870924
Comment:
	100% to Kendra, cancellation of listing
</t>
      </text>
    </comment>
    <comment authorId="7" xr:uid="{d20c0197-4459-431c-a6f6-697f6963108c}" ref="C32">
      <text>
        <t xml:space="preserve">[Threaded comment]
 Your version of Excel allows you to read this threaded comment; however, any edits to it will get removed if the file is opened in a newer version of Excel. Learn more: https://go.microsoft.com/fwlink/?linkid=870924
Comment:
	REF - 624 Hacienda Place
Ready for Payment: 100% to Richard (SOI) @dana@coryhometeam.com
</t>
      </text>
    </comment>
    <comment authorId="8" xr:uid="{e7a5d951-f36b-40ef-b12c-b5ef37163ba8}" ref="C35">
      <text>
        <t xml:space="preserve">[Threaded comment]
 Your version of Excel allows you to read this threaded comment; however, any edits to it will get removed if the file is opened in a newer version of Excel. Learn more: https://go.microsoft.com/fwlink/?linkid=870924
Comment:
	REF - 3820 N HAIGHT AVE
splits ready, thank you! @dana@coryhometeam.com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5">
      <text>
        <t xml:space="preserve">Showcase Photos $500
Showcase Token $350
Sign Order $75 (He put his lockbox in)</t>
      </text>
    </comment>
    <comment authorId="0" ref="D24">
      <text>
        <t xml:space="preserve">Showcase Photos $500
Sign Install $75</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tc={08ba9e89-7b77-4b54-81bf-d3ccad4af980}</author>
    <author>tc={0b40ad6e-a43b-449d-820c-a2e56db99ee9}</author>
    <author>tc={120ec1d5-cefc-4493-90b4-294e113c9eb9}</author>
    <author>tc={17d21eda-67d0-43dc-8067-1e087cc6d336}</author>
    <author>tc={18fd06c7-ef63-4610-970f-aa6fc48845f1}</author>
    <author>tc={1cac94a3-7748-4fa7-8004-cdee8f19d962}</author>
    <author>tc={267331ac-f19c-4a58-9b1e-1480fdbd3393}</author>
    <author>tc={2cc62d11-c2ec-4fe3-a13d-74a3e0ae2537}</author>
    <author>tc={3bba9253-8fab-417b-a58e-97a561c33321}</author>
    <author>tc={41cf4d99-a6e3-44ea-aef8-6bd378e7803d}</author>
    <author>tc={4270cd0c-1246-4db9-bef0-abb2619fc1f7}</author>
    <author>tc={4d89416e-a588-4bd6-9a8d-fff07b6f43b5}</author>
    <author>tc={547c9abb-81ed-421f-9e9b-5e3111e88922}</author>
    <author>tc={6603d026-6c0b-4efd-8d16-77a5e4f3809f}</author>
    <author>tc={661a9067-e5db-410e-934e-ff22f16e3d29}</author>
    <author>tc={689f9714-b133-4415-ad08-547b3443c553}</author>
    <author>tc={68b4b410-3b7d-41c7-980b-2896b273dbb8}</author>
    <author>tc={76010fa7-ce5a-4118-bdb9-a037a475a646}</author>
    <author>tc={7796c436-a943-4f80-b32a-ecc1636c70d7}</author>
    <author>tc={7c8950b3-4f7b-4ee7-8ed3-9a6acdf75bc1}</author>
    <author>tc={7ed51e4f-355f-4dc5-923a-9eb94f21c6e6}</author>
    <author>tc={864028ab-8e84-4117-ae83-e79e1246b5ad}</author>
    <author>tc={8d2d5fa4-3b81-4441-8130-1631cf0b0797}</author>
    <author>tc={96a54190-7864-402e-8f2b-c51ac14541a0}</author>
    <author>tc={a9754baf-a982-48d7-813d-5d60996bf7f9}</author>
    <author>tc={aba1dd34-8a7e-4ac4-816e-44109582d544}</author>
    <author>tc={af037bc2-6ebe-4f46-af50-a398de50df44}</author>
    <author>tc={b0b2ecde-efdb-422d-8ee3-f625ce045426}</author>
    <author>tc={bd5b2815-90cd-4f19-a25b-58154b25d0d7}</author>
    <author>tc={bf6ec1c1-cb2f-4c30-9d9a-8327b6ad856c}</author>
    <author>tc={c60a9179-7834-4cdd-b61c-1a7f7acac48d}</author>
    <author>tc={c6784928-6f7a-4993-821b-57c9434f2f82}</author>
    <author>tc={c7e866cd-5ecc-415e-9c30-81ce294ae1bd}</author>
    <author>tc={d8d1aa69-fe22-4edd-acbf-c93fa61cab17}</author>
    <author>tc={dfc23b5d-e2c6-4c29-8260-840cb6557692}</author>
    <author>tc={e2e35ffd-ee35-4b1e-87de-1b6af36bdf04}</author>
    <author>tc={e614a2b6-38d0-45ae-9e6c-d3cd8f100cbf}</author>
    <author>tc={e982a75d-57f6-4680-ba22-bef85b88f42a}</author>
    <author>tc={ed6d5dff-ceeb-4635-a882-62d582ce5367}</author>
    <author>tc={faf7d1a7-c480-4ced-8521-d7ec03599b10}</author>
  </authors>
  <commentList>
    <comment authorId="0" ref="J9">
      <text>
        <t xml:space="preserve">Richard Luizzi
12/2025 - 33573 Azalea Ln  $1,625.00
12/2025 - 33220 Wilson St  $2,030.00
12/2025 - 8614 Kendra Ln  $3,000.00
01/2026 - 2364 Summerwind Pl   $3,548
01/2026 - 27992 Whisperwood Dr  $1,000
02-2026 - 43745 Rassle Dr  $717.50
2041 Woodland Glen $1,080.00
705 Sungold Way $2,497.50
5713 Canoe Dr $3,360.00</t>
      </text>
    </comment>
    <comment authorId="0" ref="O44">
      <text>
        <t xml:space="preserve">1 - 36329 Albus Ave
2 - 2640 W Rialto Ave # 20
3 - 19145 Oak St</t>
      </text>
    </comment>
    <comment authorId="0" ref="L38">
      <text>
        <t xml:space="preserve">George under Kiona
George under Mario 4/1/2026</t>
      </text>
    </comment>
    <comment authorId="0" ref="J34">
      <text>
        <t xml:space="preserve">Ansar Khan
11/2025 - 3375 Fuchsia St - $5,720.00</t>
      </text>
    </comment>
    <comment authorId="0" ref="L36">
      <text>
        <t xml:space="preserve">Isy under Bridget/Kiona
Isy under Mario 4/1/2026</t>
      </text>
    </comment>
    <comment authorId="0" ref="K1">
      <text>
        <t xml:space="preserve">first 3 closings: $500 to referring agent from team split</t>
      </text>
    </comment>
    <comment authorId="0" ref="O36">
      <text>
        <t xml:space="preserve">1  22960 Penasco Cir
2  22813 Via Santana
3  27565 Boston Dr
4 16667 Snowdrop Ln #2
5 681 Parkview Dr</t>
      </text>
    </comment>
    <comment authorId="0" ref="J28">
      <text>
        <t xml:space="preserve">Kathy Zumaya
10/2025 - 322 G St. - $5,602.50</t>
      </text>
    </comment>
    <comment authorId="0" ref="J24">
      <text>
        <t xml:space="preserve">Rosalina Williams
12/2025 - 383 Honeysuckle Way $4,200.00</t>
      </text>
    </comment>
    <comment authorId="0" ref="O28">
      <text>
        <t xml:space="preserve">Closed EA 10% to Bridget
1) 322 G St
2) 4368  Nautilus Way #3</t>
      </text>
    </comment>
    <comment authorId="0" ref="O78">
      <text>
        <t xml:space="preserve">Closed EA Program
1) 432 Edgehill Ln #134
2) 22813 Mirileste Dr
3) 33140 Hill St 
4) 31382 Water Oak Dr
5) 2823 Moonshimmer St</t>
      </text>
    </comment>
    <comment authorId="0" ref="L41">
      <text>
        <t xml:space="preserve">Diane under Kiona
Diane under Mel 4/1/20026</t>
      </text>
    </comment>
    <comment authorId="0" ref="J103">
      <text>
        <t xml:space="preserve">Dana Garcia
12/2025 - 801 Buttercup Dr $4,248.00
01/2025 - 2739 Calle Colima #102  $2,722.5</t>
      </text>
    </comment>
    <comment authorId="0" ref="O43">
      <text>
        <t xml:space="preserve">1	42951 Virgo Ct
2	1010 Terrace Rd # 52</t>
      </text>
    </comment>
    <comment authorId="0" ref="L39">
      <text>
        <t xml:space="preserve">Spencer under Kiona
Spencer under Mel 4/1/20026</t>
      </text>
    </comment>
    <comment authorId="0" ref="K33">
      <text>
        <t xml:space="preserve">27250 Murrieta Rd #304
23304 Copa De Oro Court
31561 Anzio Circle</t>
      </text>
    </comment>
    <comment authorId="0" ref="L33">
      <text>
        <t xml:space="preserve">Renee under Mario
Renee moved to Blake/Kiona 2/23</t>
      </text>
    </comment>
    <comment authorId="0" ref="J31">
      <text>
        <t xml:space="preserve">Cheree Moore-Zarty
12/2025 - 26847 Calle Celia   $4,117.50
01/2026 - 33340 Breighton Wood St.  $3,720</t>
      </text>
    </comment>
    <comment authorId="0" ref="J95">
      <text>
        <t xml:space="preserve">Kathleen Allen
13022 Cypress Ave. $4,170.00</t>
      </text>
    </comment>
    <comment authorId="0" ref="K31">
      <text>
        <t xml:space="preserve">Cheree
1 - 26847 Calle Celia
2 - 33340 Breighton Wood St. 
3 - 350 San Jacinto Ave. #40</t>
      </text>
    </comment>
    <comment authorId="0" ref="S6">
      <text>
        <t xml:space="preserve">$450 - Calilookbook#1701</t>
      </text>
    </comment>
    <comment authorId="0" ref="J29">
      <text>
        <t xml:space="preserve">Mercedes Torres
12-2025  0 Hattie Ave  $54.96</t>
      </text>
    </comment>
    <comment authorId="0" ref="L31">
      <text>
        <t xml:space="preserve">Cheree under Bridget/Mario
Cheree under Mario 4/1/2026</t>
      </text>
    </comment>
    <comment authorId="0" ref="O31">
      <text>
        <t xml:space="preserve">3956 Lavine Way #110 - X need PCC
3075 Desiree Drive
2830 Banyan Tree Ln
26830 Oakmont Dr.
68916 H ST. #59 
68916 H St #65
</t>
      </text>
    </comment>
    <comment authorId="0" ref="O95">
      <text>
        <t xml:space="preserve">10% EA to CHT
2160 W Rialto Ave # 122
13022 Cypress Ave.</t>
      </text>
    </comment>
    <comment authorId="0" ref="J25">
      <text>
        <t xml:space="preserve">Kay Patel
12/2025 - 3549 Paseo De Francisco #224    $4,162.50</t>
      </text>
    </comment>
    <comment authorId="0" ref="J21">
      <text>
        <t xml:space="preserve">Alexandra Haro
11/2025 - 975 Horatio Ave. - $5,850.00</t>
      </text>
    </comment>
    <comment authorId="0" ref="J79">
      <text>
        <t xml:space="preserve">Nicole Shettleroe
12/2025 - 501 Lotus Dr.   $8,629.50</t>
      </text>
    </comment>
    <comment authorId="0" ref="K79">
      <text>
        <t xml:space="preserve">Nicole
1 - 501 Lotus Dr.
2 - 31364 Osage Trail Ct 
3 - 831 Santa Teresa Way</t>
      </text>
    </comment>
    <comment authorId="0" ref="J13">
      <text>
        <t xml:space="preserve">Mario Munoz
11/2025 - 822 W 4th St - $1,470
01/2026 - 41979 Rondo Street, #1106  -  $1,000</t>
      </text>
    </comment>
    <comment authorId="1" xr:uid="{08ba9e89-7b77-4b54-81bf-d3ccad4af980}" ref="O28">
      <text>
        <t xml:space="preserve">[Threaded comment]
 Your version of Excel allows you to read this threaded comment; however, any edits to it will get removed if the file is opened in a newer version of Excel. Learn more: https://go.microsoft.com/fwlink/?linkid=870924
Comment:
	kathy- allowing her to stay on old EA pay- 10% off 4368 Nautilus Way #3 goes to the company, she was assisted by Kay, 10% of 2nd deal goes to Bridget (or if 1st deal falls out, then 2 will go to Bridget) Bridget began assisting Kathy this week that shes back from vacation
</t>
      </text>
    </comment>
    <comment authorId="2" xr:uid="{0b40ad6e-a43b-449d-820c-a2e56db99ee9}" ref="A89">
      <text>
        <t xml:space="preserve">[Threaded comment]
 Your version of Excel allows you to read this threaded comment; however, any edits to it will get removed if the file is opened in a newer version of Excel. Learn more: https://go.microsoft.com/fwlink/?linkid=870924
Comment:
	received exit agreement from exp 3/20
</t>
      </text>
    </comment>
    <comment authorId="3" xr:uid="{120ec1d5-cefc-4493-90b4-294e113c9eb9}" ref="A83">
      <text>
        <t xml:space="preserve">[Threaded comment]
 Your version of Excel allows you to read this threaded comment; however, any edits to it will get removed if the file is opened in a newer version of Excel. Learn more: https://go.microsoft.com/fwlink/?linkid=870924
Comment:
	Kiona released from team 4/17/26
</t>
      </text>
    </comment>
    <comment authorId="4" xr:uid="{17d21eda-67d0-43dc-8067-1e087cc6d336}" ref="A105">
      <text>
        <t xml:space="preserve">[Threaded comment]
 Your version of Excel allows you to read this threaded comment; however, any edits to it will get removed if the file is opened in a newer version of Excel. Learn more: https://go.microsoft.com/fwlink/?linkid=870924
Comment:
	per nichole Mariana changed her mind about joining the team; pending follow up
</t>
      </text>
    </comment>
    <comment authorId="5" xr:uid="{18fd06c7-ef63-4610-970f-aa6fc48845f1}" ref="A104">
      <text>
        <t xml:space="preserve">[Threaded comment]
 Your version of Excel allows you to read this threaded comment; however, any edits to it will get removed if the file is opened in a newer version of Excel. Learn more: https://go.microsoft.com/fwlink/?linkid=870924
Comment:
	never moved on after signing contract; Blake is researching.
</t>
      </text>
    </comment>
    <comment authorId="6" xr:uid="{1cac94a3-7748-4fa7-8004-cdee8f19d962}" ref="A69">
      <text>
        <t xml:space="preserve">[Threaded comment]
 Your version of Excel allows you to read this threaded comment; however, any edits to it will get removed if the file is opened in a newer version of Excel. Learn more: https://go.microsoft.com/fwlink/?linkid=870924
Comment:
	had to leave early, coming in tuesday to meet with Kiona
Reply:
	wants to wait until she moves to get started, shes going to reach out to Nichole when shes ready
</t>
      </text>
    </comment>
    <comment authorId="7" xr:uid="{267331ac-f19c-4a58-9b1e-1480fdbd3393}" ref="P42">
      <text>
        <t xml:space="preserve">[Threaded comment]
 Your version of Excel allows you to read this threaded comment; however, any edits to it will get removed if the file is opened in a newer version of Excel. Learn more: https://go.microsoft.com/fwlink/?linkid=870924
Comment:
	set at the discounted $499 subscription
</t>
      </text>
    </comment>
    <comment authorId="8" xr:uid="{2cc62d11-c2ec-4fe3-a13d-74a3e0ae2537}" ref="A85">
      <text>
        <t xml:space="preserve">[Threaded comment]
 Your version of Excel allows you to read this threaded comment; however, any edits to it will get removed if the file is opened in a newer version of Excel. Learn more: https://go.microsoft.com/fwlink/?linkid=870924
Comment:
	Kiona decided not a fit
</t>
      </text>
    </comment>
    <comment authorId="9" xr:uid="{3bba9253-8fab-417b-a58e-97a561c33321}" ref="A50">
      <text>
        <t xml:space="preserve">[Threaded comment]
 Your version of Excel allows you to read this threaded comment; however, any edits to it will get removed if the file is opened in a newer version of Excel. Learn more: https://go.microsoft.com/fwlink/?linkid=870924
Comment:
	see payment notes for 1st closing
</t>
      </text>
    </comment>
    <comment authorId="10" xr:uid="{41cf4d99-a6e3-44ea-aef8-6bd378e7803d}" ref="A90">
      <text>
        <t xml:space="preserve">[Threaded comment]
 Your version of Excel allows you to read this threaded comment; however, any edits to it will get removed if the file is opened in a newer version of Excel. Learn more: https://go.microsoft.com/fwlink/?linkid=870924
Comment:
	Kiona released from team 4/17/26
</t>
      </text>
    </comment>
    <comment authorId="11" xr:uid="{4270cd0c-1246-4db9-bef0-abb2619fc1f7}" ref="A91">
      <text>
        <t xml:space="preserve">[Threaded comment]
 Your version of Excel allows you to read this threaded comment; however, any edits to it will get removed if the file is opened in a newer version of Excel. Learn more: https://go.microsoft.com/fwlink/?linkid=870924
Comment:
	apart of exp of so cal, transferred license today, pending exp
</t>
      </text>
    </comment>
    <comment authorId="12" xr:uid="{4d89416e-a588-4bd6-9a8d-fff07b6f43b5}" ref="A95">
      <text>
        <t xml:space="preserve">[Threaded comment]
 Your version of Excel allows you to read this threaded comment; however, any edits to it will get removed if the file is opened in a newer version of Excel. Learn more: https://go.microsoft.com/fwlink/?linkid=870924
Comment:
	per Kiona we are exiting 11/19, has a listing &amp; pending transaction. Not yet removing email or zipforms.
</t>
      </text>
    </comment>
    <comment authorId="13" xr:uid="{547c9abb-81ed-421f-9e9b-5e3111e88922}" ref="H43">
      <text>
        <t xml:space="preserve">[Threaded comment]
 Your version of Excel allows you to read this threaded comment; however, any edits to it will get removed if the file is opened in a newer version of Excel. Learn more: https://go.microsoft.com/fwlink/?linkid=870924
Comment:
	@mark@coryhometeam.com and @dana@coryhometeam.com can you update Jamie's exp contract signed date. Also, when we have Diane's, please add date.
Assigned to mark@coryhometeam.com
</t>
      </text>
    </comment>
    <comment authorId="14" xr:uid="{6603d026-6c0b-4efd-8d16-77a5e4f3809f}" ref="P39">
      <text>
        <t xml:space="preserve">[Threaded comment]
 Your version of Excel allows you to read this threaded comment; however, any edits to it will get removed if the file is opened in a newer version of Excel. Learn more: https://go.microsoft.com/fwlink/?linkid=870924
Comment:
	set at the discounted $499 subscription
</t>
      </text>
    </comment>
    <comment authorId="15" xr:uid="{661a9067-e5db-410e-934e-ff22f16e3d29}" ref="A97">
      <text>
        <t xml:space="preserve">[Threaded comment]
 Your version of Excel allows you to read this threaded comment; however, any edits to it will get removed if the file is opened in a newer version of Excel. Learn more: https://go.microsoft.com/fwlink/?linkid=870924
Comment:
	Blake and Kiona decided he is not a fit for the team
</t>
      </text>
    </comment>
    <comment authorId="16" xr:uid="{689f9714-b133-4415-ad08-547b3443c553}" ref="P14">
      <text>
        <t xml:space="preserve">[Threaded comment]
 Your version of Excel allows you to read this threaded comment; however, any edits to it will get removed if the file is opened in a newer version of Excel. Learn more: https://go.microsoft.com/fwlink/?linkid=870924
Comment:
	set at the discounted $499 subscription
</t>
      </text>
    </comment>
    <comment authorId="17" xr:uid="{68b4b410-3b7d-41c7-980b-2896b273dbb8}" ref="A88">
      <text>
        <t xml:space="preserve">[Threaded comment]
 Your version of Excel allows you to read this threaded comment; however, any edits to it will get removed if the file is opened in a newer version of Excel. Learn more: https://go.microsoft.com/fwlink/?linkid=870924
Comment:
	is on hold
</t>
      </text>
    </comment>
    <comment authorId="18" xr:uid="{76010fa7-ce5a-4118-bdb9-a037a475a646}" ref="A103">
      <text>
        <t xml:space="preserve">[Threaded comment]
 Your version of Excel allows you to read this threaded comment; however, any edits to it will get removed if the file is opened in a newer version of Excel. Learn more: https://go.microsoft.com/fwlink/?linkid=870924
Comment:
	Kiona released from the team
</t>
      </text>
    </comment>
    <comment authorId="19" xr:uid="{7796c436-a943-4f80-b32a-ecc1636c70d7}" ref="A93">
      <text>
        <t xml:space="preserve">[Threaded comment]
 Your version of Excel allows you to read this threaded comment; however, any edits to it will get removed if the file is opened in a newer version of Excel. Learn more: https://go.microsoft.com/fwlink/?linkid=870924
Comment:
	didnt complete onboarding
</t>
      </text>
    </comment>
    <comment authorId="20" xr:uid="{7c8950b3-4f7b-4ee7-8ed3-9a6acdf75bc1}" ref="O1">
      <text>
        <t xml:space="preserve">[Threaded comment]
 Your version of Excel allows you to read this threaded comment; however, any edits to it will get removed if the file is opened in a newer version of Excel. Learn more: https://go.microsoft.com/fwlink/?linkid=870924
Comment:
	Add a Comment to list the addresses for the EA collection, upon closing of the 5th transaction, add PM name and current date.
</t>
      </text>
    </comment>
    <comment authorId="21" xr:uid="{7ed51e4f-355f-4dc5-923a-9eb94f21c6e6}" ref="P6">
      <text>
        <t xml:space="preserve">[Threaded comment]
 Your version of Excel allows you to read this threaded comment; however, any edits to it will get removed if the file is opened in a newer version of Excel. Learn more: https://go.microsoft.com/fwlink/?linkid=870924
Comment:
	set at the discounted $499 subscription
</t>
      </text>
    </comment>
    <comment authorId="22" xr:uid="{864028ab-8e84-4117-ae83-e79e1246b5ad}" ref="A101">
      <text>
        <t xml:space="preserve">[Threaded comment]
 Your version of Excel allows you to read this threaded comment; however, any edits to it will get removed if the file is opened in a newer version of Excel. Learn more: https://go.microsoft.com/fwlink/?linkid=870924
Comment:
	decided not to join
</t>
      </text>
    </comment>
    <comment authorId="23" xr:uid="{8d2d5fa4-3b81-4441-8130-1631cf0b0797}" ref="A84">
      <text>
        <t xml:space="preserve">[Threaded comment]
 Your version of Excel allows you to read this threaded comment; however, any edits to it will get removed if the file is opened in a newer version of Excel. Learn more: https://go.microsoft.com/fwlink/?linkid=870924
Comment:
	Kiona released from team 4/17/26
</t>
      </text>
    </comment>
    <comment authorId="24" xr:uid="{96a54190-7864-402e-8f2b-c51ac14541a0}" ref="A106">
      <text>
        <t xml:space="preserve">[Threaded comment]
 Your version of Excel allows you to read this threaded comment; however, any edits to it will get removed if the file is opened in a newer version of Excel. Learn more: https://go.microsoft.com/fwlink/?linkid=870924
Comment:
	text Blake 6/5 to quit
</t>
      </text>
    </comment>
    <comment authorId="25" xr:uid="{a9754baf-a982-48d7-813d-5d60996bf7f9}" ref="L22">
      <text>
        <t xml:space="preserve">[Threaded comment]
 Your version of Excel allows you to read this threaded comment; however, any edits to it will get removed if the file is opened in a newer version of Excel. Learn more: https://go.microsoft.com/fwlink/?linkid=870924
Comment:
	Joe was with Mario from 6/5/25-3/2/26. Reassigned to Blake/Kiona 3/2/26
</t>
      </text>
    </comment>
    <comment authorId="26" xr:uid="{aba1dd34-8a7e-4ac4-816e-44109582d544}" ref="A80">
      <text>
        <t xml:space="preserve">[Threaded comment]
 Your version of Excel allows you to read this threaded comment; however, any edits to it will get removed if the file is opened in a newer version of Excel. Learn more: https://go.microsoft.com/fwlink/?linkid=870924
Comment:
	removed from exp for not paying board dues, he wants to focus on her W2. emailed mark to exit 3/27, he doesnt wish to keep any leads
</t>
      </text>
    </comment>
    <comment authorId="27" xr:uid="{af037bc2-6ebe-4f46-af50-a398de50df44}" ref="J1">
      <text>
        <t xml:space="preserve">[Threaded comment]
 Your version of Excel allows you to read this threaded comment; however, any edits to it will get removed if the file is opened in a newer version of Excel. Learn more: https://go.microsoft.com/fwlink/?linkid=870924
Comment:
	Update upon closings
Reply:
	@isabel@coryhometeam.com can you update this column with the team total amount of SOI closings from their cht contract effective date. Once they hit $20k they receive 100% of their soi transaction.
</t>
      </text>
    </comment>
    <comment authorId="28" xr:uid="{b0b2ecde-efdb-422d-8ee3-f625ce045426}" ref="P22">
      <text>
        <t xml:space="preserve">[Threaded comment]
 Your version of Excel allows you to read this threaded comment; however, any edits to it will get removed if the file is opened in a newer version of Excel. Learn more: https://go.microsoft.com/fwlink/?linkid=870924
Comment:
	set at the discounted $499 subscription
</t>
      </text>
    </comment>
    <comment authorId="29" xr:uid="{bd5b2815-90cd-4f19-a25b-58154b25d0d7}" ref="P13">
      <text>
        <t xml:space="preserve">[Threaded comment]
 Your version of Excel allows you to read this threaded comment; however, any edits to it will get removed if the file is opened in a newer version of Excel. Learn more: https://go.microsoft.com/fwlink/?linkid=870924
Comment:
	set at the discounted $499 subscription
</t>
      </text>
    </comment>
    <comment authorId="30" xr:uid="{bf6ec1c1-cb2f-4c30-9d9a-8327b6ad856c}" ref="P26">
      <text>
        <t xml:space="preserve">[Threaded comment]
 Your version of Excel allows you to read this threaded comment; however, any edits to it will get removed if the file is opened in a newer version of Excel. Learn more: https://go.microsoft.com/fwlink/?linkid=870924
Comment:
	set at the discounted $499 subscription
</t>
      </text>
    </comment>
    <comment authorId="31" xr:uid="{c60a9179-7834-4cdd-b61c-1a7f7acac48d}" ref="G44">
      <text>
        <t xml:space="preserve">[Threaded comment]
 Your version of Excel allows you to read this threaded comment; however, any edits to it will get removed if the file is opened in a newer version of Excel. Learn more: https://go.microsoft.com/fwlink/?linkid=870924
Comment:
	update SOI addendum sent, SOI review to be completed and due by next: 5/6/27
</t>
      </text>
    </comment>
    <comment authorId="32" xr:uid="{c6784928-6f7a-4993-821b-57c9434f2f82}" ref="P21">
      <text>
        <t xml:space="preserve">[Threaded comment]
 Your version of Excel allows you to read this threaded comment; however, any edits to it will get removed if the file is opened in a newer version of Excel. Learn more: https://go.microsoft.com/fwlink/?linkid=870924
Comment:
	set at the discounted $499 subscription
</t>
      </text>
    </comment>
    <comment authorId="33" xr:uid="{c7e866cd-5ecc-415e-9c30-81ce294ae1bd}" ref="I47">
      <text>
        <t xml:space="preserve">[Threaded comment]
 Your version of Excel allows you to read this threaded comment; however, any edits to it will get removed if the file is opened in a newer version of Excel. Learn more: https://go.microsoft.com/fwlink/?linkid=870924
Comment:
	Onboarding will be complete prior to exp contract being signed as Tyler is renewing his license
</t>
      </text>
    </comment>
    <comment authorId="34" xr:uid="{d8d1aa69-fe22-4edd-acbf-c93fa61cab17}" ref="N91">
      <text>
        <t xml:space="preserve">[Threaded comment]
 Your version of Excel allows you to read this threaded comment; however, any edits to it will get removed if the file is opened in a newer version of Excel. Learn more: https://go.microsoft.com/fwlink/?linkid=870924
Comment:
	david wants to join as of 4/27/26
</t>
      </text>
    </comment>
    <comment authorId="35" xr:uid="{dfc23b5d-e2c6-4c29-8260-840cb6557692}" ref="M27">
      <text>
        <t xml:space="preserve">[Threaded comment]
 Your version of Excel allows you to read this threaded comment; however, any edits to it will get removed if the file is opened in a newer version of Excel. Learn more: https://go.microsoft.com/fwlink/?linkid=870924
Comment:
	Previous PM Kay- as of 2/2 Ronda is in the EA program w Bridget
</t>
      </text>
    </comment>
    <comment authorId="36" xr:uid="{e2e35ffd-ee35-4b1e-87de-1b6af36bdf04}" ref="O95">
      <text>
        <t xml:space="preserve">[Threaded comment]
 Your version of Excel allows you to read this threaded comment; however, any edits to it will get removed if the file is opened in a newer version of Excel. Learn more: https://go.microsoft.com/fwlink/?linkid=870924
Comment:
	we are collecting 10% off her next 2, waived off her first closing- paid to company not Bridget
</t>
      </text>
    </comment>
    <comment authorId="37" xr:uid="{e614a2b6-38d0-45ae-9e6c-d3cd8f100cbf}" ref="A60">
      <text>
        <t xml:space="preserve">[Threaded comment]
 Your version of Excel allows you to read this threaded comment; however, any edits to it will get removed if the file is opened in a newer version of Excel. Learn more: https://go.microsoft.com/fwlink/?linkid=870924
Comment:
	once confirmed she will join exp she needs intro to bridget
</t>
      </text>
    </comment>
    <comment authorId="38" xr:uid="{e982a75d-57f6-4680-ba22-bef85b88f42a}" ref="P2">
      <text>
        <t xml:space="preserve">[Threaded comment]
 Your version of Excel allows you to read this threaded comment; however, any edits to it will get removed if the file is opened in a newer version of Excel. Learn more: https://go.microsoft.com/fwlink/?linkid=870924
Comment:
	Bridget is set at the discounted $499 subscription
</t>
      </text>
    </comment>
    <comment authorId="39" xr:uid="{ed6d5dff-ceeb-4635-a882-62d582ce5367}" ref="A78">
      <text>
        <t xml:space="preserve">[Threaded comment]
 Your version of Excel allows you to read this threaded comment; however, any edits to it will get removed if the file is opened in a newer version of Excel. Learn more: https://go.microsoft.com/fwlink/?linkid=870924
Comment:
	signed release contract 5/22
</t>
      </text>
    </comment>
    <comment authorId="40" xr:uid="{faf7d1a7-c480-4ced-8521-d7ec03599b10}" ref="D78">
      <text>
        <t xml:space="preserve">[Threaded comment]
 Your version of Excel allows you to read this threaded comment; however, any edits to it will get removed if the file is opened in a newer version of Excel. Learn more: https://go.microsoft.com/fwlink/?linkid=870924
Comment:
	keep this date, note that Carmen will have an updated contract signed 9/25 that is a correction of her SOI split
</t>
      </text>
    </comment>
  </commentList>
</comments>
</file>

<file path=xl/sharedStrings.xml><?xml version="1.0" encoding="utf-8"?>
<sst xmlns="http://schemas.openxmlformats.org/spreadsheetml/2006/main" count="13950" uniqueCount="3572">
  <si>
    <t xml:space="preserve"> </t>
  </si>
  <si>
    <t>COE Month</t>
  </si>
  <si>
    <t>Buyer, Seller</t>
  </si>
  <si>
    <t>Property Address</t>
  </si>
  <si>
    <t>City</t>
  </si>
  <si>
    <t>Zip Code</t>
  </si>
  <si>
    <t>County</t>
  </si>
  <si>
    <t>Agent Name</t>
  </si>
  <si>
    <t>PM</t>
  </si>
  <si>
    <t>ISA</t>
  </si>
  <si>
    <t>TC</t>
  </si>
  <si>
    <t>Client Name</t>
  </si>
  <si>
    <t>Client Phone Numbers</t>
  </si>
  <si>
    <t>Email</t>
  </si>
  <si>
    <t>Escrow/New Build Contact</t>
  </si>
  <si>
    <t>Lender</t>
  </si>
  <si>
    <t>Home Warranty</t>
  </si>
  <si>
    <t>NHD</t>
  </si>
  <si>
    <t xml:space="preserve">Title </t>
  </si>
  <si>
    <t>Other Agent Name      (Non-CHT)</t>
  </si>
  <si>
    <t>Other Agent Contact (Non-CHT)</t>
  </si>
  <si>
    <t>Quarter Accepted</t>
  </si>
  <si>
    <t>Acceptance Date</t>
  </si>
  <si>
    <t>Contract COE</t>
  </si>
  <si>
    <t>Closing Date</t>
  </si>
  <si>
    <t>Quarter Closed</t>
  </si>
  <si>
    <t>Type</t>
  </si>
  <si>
    <t>Lead Source</t>
  </si>
  <si>
    <t>Purchase Price $</t>
  </si>
  <si>
    <t>Commission %</t>
  </si>
  <si>
    <t>GCI $</t>
  </si>
  <si>
    <t>Transaction Fee</t>
  </si>
  <si>
    <t>TC Fee</t>
  </si>
  <si>
    <t>Listing Add-On</t>
  </si>
  <si>
    <t>Agent Fee Collected</t>
  </si>
  <si>
    <t>Additional Deduction</t>
  </si>
  <si>
    <t>Referral amt</t>
  </si>
  <si>
    <t>Seller Advance</t>
  </si>
  <si>
    <t>Commission Type</t>
  </si>
  <si>
    <t>Gross Total</t>
  </si>
  <si>
    <t>Team Total</t>
  </si>
  <si>
    <t>Agent Estimate</t>
  </si>
  <si>
    <t>CLOSING NOTES</t>
  </si>
  <si>
    <t>Agent Commission</t>
  </si>
  <si>
    <t>Metrics Notes</t>
  </si>
  <si>
    <t>VA:Boomtown/FUB Update</t>
  </si>
  <si>
    <t>May</t>
  </si>
  <si>
    <t>Buyer</t>
  </si>
  <si>
    <t>32359 Peters St</t>
  </si>
  <si>
    <t>Menifee</t>
  </si>
  <si>
    <t>RVSD</t>
  </si>
  <si>
    <t>Rachele Lacey</t>
  </si>
  <si>
    <t>Kiona</t>
  </si>
  <si>
    <t>N/A</t>
  </si>
  <si>
    <t>Kenia</t>
  </si>
  <si>
    <t xml:space="preserve">Latyjera Del Jessica Hunt </t>
  </si>
  <si>
    <t xml:space="preserve"> 951-514-0648</t>
  </si>
  <si>
    <t>taradhunt@gmail.com</t>
  </si>
  <si>
    <t>Phoenix Escrow Group</t>
  </si>
  <si>
    <t>Zillow Home Loans, LLC</t>
  </si>
  <si>
    <t>ORHW_Nikki</t>
  </si>
  <si>
    <t>myNHD_Other</t>
  </si>
  <si>
    <t>Anastasia Busse</t>
  </si>
  <si>
    <t>anastasia@silverstarrealtyca.com, 951-941-9300</t>
  </si>
  <si>
    <t>Q1 2026</t>
  </si>
  <si>
    <t>Resale</t>
  </si>
  <si>
    <t>Zillow Flex (Connection)</t>
  </si>
  <si>
    <t>Pending Splits</t>
  </si>
  <si>
    <t xml:space="preserve">4/22 (P) </t>
  </si>
  <si>
    <t>Complete - Pending</t>
  </si>
  <si>
    <t>1060 Saltbush Ln</t>
  </si>
  <si>
    <t>Hemet</t>
  </si>
  <si>
    <t>Dana Garcia</t>
  </si>
  <si>
    <t>Melissa</t>
  </si>
  <si>
    <t>KellyL</t>
  </si>
  <si>
    <t xml:space="preserve">Jorge Garduno, Jesus Vielma </t>
  </si>
  <si>
    <t>JG:909-977-1330</t>
  </si>
  <si>
    <t>jorge17garduno@gmail.com, vielma2011@live.com</t>
  </si>
  <si>
    <t>Inter Valley Escrow</t>
  </si>
  <si>
    <t>Lawyers Title</t>
  </si>
  <si>
    <t>Sem Gulinyan</t>
  </si>
  <si>
    <t>SemGulinyanRE@gmail.com, 747-255-8182</t>
  </si>
  <si>
    <t>$</t>
  </si>
  <si>
    <t>4/28 (P)</t>
  </si>
  <si>
    <t>Seller</t>
  </si>
  <si>
    <t>4901 Siesta Dr</t>
  </si>
  <si>
    <t>Oceanside</t>
  </si>
  <si>
    <t>SD</t>
  </si>
  <si>
    <t>Spencer Salter</t>
  </si>
  <si>
    <t>KellyM</t>
  </si>
  <si>
    <t>Javier Caro, Maria De Guzman</t>
  </si>
  <si>
    <t>760-687-3139</t>
  </si>
  <si>
    <t>EBS Escrow_Jacquie Williams</t>
  </si>
  <si>
    <t>Waived</t>
  </si>
  <si>
    <t>USA National Title</t>
  </si>
  <si>
    <t>Susannah Levicki</t>
  </si>
  <si>
    <t>susannahsellsrealestate@gmail.com, 951-691-2048</t>
  </si>
  <si>
    <t>4/17 (P)</t>
  </si>
  <si>
    <t>June</t>
  </si>
  <si>
    <t>15929 La Verida Dr.</t>
  </si>
  <si>
    <t>Victorville</t>
  </si>
  <si>
    <t>SB</t>
  </si>
  <si>
    <t>Alexandra Haro</t>
  </si>
  <si>
    <t>Alexis</t>
  </si>
  <si>
    <t>Albin Garcia</t>
  </si>
  <si>
    <t>OSNational Escrow</t>
  </si>
  <si>
    <t>OpenDoor</t>
  </si>
  <si>
    <t>SNAP_Other</t>
  </si>
  <si>
    <t>OSNational</t>
  </si>
  <si>
    <t>Q2 2026</t>
  </si>
  <si>
    <t>Opendoor</t>
  </si>
  <si>
    <t>Subscribed</t>
  </si>
  <si>
    <t>reminder there is an RFA to a remax agent and potentially Open Door</t>
  </si>
  <si>
    <t>6/2 (P) CHT Listing Board-not found; Opendoor status: EXPIRED, cannot be updated. Reminder to each out to support for assistance once closed</t>
  </si>
  <si>
    <t>See Notes</t>
  </si>
  <si>
    <t>59620 Grandon Road</t>
  </si>
  <si>
    <t>Anza</t>
  </si>
  <si>
    <t>Joe Rodriguez</t>
  </si>
  <si>
    <t>​Jovelita Ballejos</t>
  </si>
  <si>
    <t>562​-544-9556</t>
  </si>
  <si>
    <t>​Khalvhie@gmail.com</t>
  </si>
  <si>
    <t>Statewide Funding</t>
  </si>
  <si>
    <t>​Michael Valerio</t>
  </si>
  <si>
    <t>​realestatemvp@yahoo.com, Leslie@AssuredTM.com</t>
  </si>
  <si>
    <t>Manu</t>
  </si>
  <si>
    <t>6/3 (P)</t>
  </si>
  <si>
    <t>29757 Northshore St</t>
  </si>
  <si>
    <t xml:space="preserve">Latyjera D Hunt </t>
  </si>
  <si>
    <t>951-514-6048</t>
  </si>
  <si>
    <t>Taradhunt@gmail.com</t>
  </si>
  <si>
    <t>Menifee Valley Escrow, Inc</t>
  </si>
  <si>
    <t>The Mortgage Finders</t>
  </si>
  <si>
    <t>myNHD</t>
  </si>
  <si>
    <t>Harold Vanegas Romero</t>
  </si>
  <si>
    <t>vanegasagent@gmail.com, 858-231-6913</t>
  </si>
  <si>
    <t xml:space="preserve">$3250 is coming from Rachele's commission </t>
  </si>
  <si>
    <t>6/2 (P)</t>
  </si>
  <si>
    <t>1240 Ave Rosa Mundi</t>
  </si>
  <si>
    <t>San Jacinto</t>
  </si>
  <si>
    <t>Nate Bunnell</t>
  </si>
  <si>
    <t>Stratton Lux LLC (Michael Wickman - Managing Member)</t>
  </si>
  <si>
    <t>951-219-9203</t>
  </si>
  <si>
    <t>michael@coryhometeam.com</t>
  </si>
  <si>
    <t>ALL CASH</t>
  </si>
  <si>
    <t>FSBO</t>
  </si>
  <si>
    <t>Flex Sellers</t>
  </si>
  <si>
    <t>6/2 (P) Stratton Luxx (not in FUB)</t>
  </si>
  <si>
    <t>1040 Sapphire Ln</t>
  </si>
  <si>
    <t>Corona</t>
  </si>
  <si>
    <t>Kiona Grantham</t>
  </si>
  <si>
    <t xml:space="preserve">Kimberly D Bohnisch </t>
  </si>
  <si>
    <t xml:space="preserve">951-519-4155 </t>
  </si>
  <si>
    <t>bohnischkimberly@gmail.com</t>
  </si>
  <si>
    <t>School First Federal Credit Union</t>
  </si>
  <si>
    <t>Candice Reed</t>
  </si>
  <si>
    <t>candice@providentrealestate.com, 951-255-5701</t>
  </si>
  <si>
    <t>Zillow Premier</t>
  </si>
  <si>
    <t>32882 Pepper Dr</t>
  </si>
  <si>
    <t>Lake Elsinore</t>
  </si>
  <si>
    <t>Bridget Sisco</t>
  </si>
  <si>
    <t xml:space="preserve">Brenda Diane Essy Yanoschik, James David Yanoschik </t>
  </si>
  <si>
    <t>B:951-265-7994, J:951-265-7195</t>
  </si>
  <si>
    <t>yanolaw@pcpeople.com, jyanoschik@peoplepc.com</t>
  </si>
  <si>
    <t>The Local Escrow, Inc.</t>
  </si>
  <si>
    <t>First American</t>
  </si>
  <si>
    <t>Nikki Aguirre</t>
  </si>
  <si>
    <t>yourbrokernikki@gmail.com, 951-970-0542</t>
  </si>
  <si>
    <t>SOI</t>
  </si>
  <si>
    <t>SOI 90</t>
  </si>
  <si>
    <t>34711 Myrtle Court</t>
  </si>
  <si>
    <t>Winchester</t>
  </si>
  <si>
    <t>Cheree Moore-Zarty</t>
  </si>
  <si>
    <t>Mario</t>
  </si>
  <si>
    <t>Edwin LaBlue Jr, Gloria Jean Sanchez</t>
  </si>
  <si>
    <t>E:​760-906-3600 G:​619-318-9087</t>
  </si>
  <si>
    <t>jrlablue33@gmail.com, ​dsanchez1004@gmail.com</t>
  </si>
  <si>
    <t>Inland Empire Escrow</t>
  </si>
  <si>
    <t>Secure Choice Lending</t>
  </si>
  <si>
    <t>Ticor Title</t>
  </si>
  <si>
    <t>Tracy Andrews</t>
  </si>
  <si>
    <t xml:space="preserve">rebrokertracy@gmail.com, 951-906-6355  </t>
  </si>
  <si>
    <t>6/4 (P)</t>
  </si>
  <si>
    <t>25462 Clovelly Ct.</t>
  </si>
  <si>
    <t>Moreno Valley</t>
  </si>
  <si>
    <t>Richard Luizzi</t>
  </si>
  <si>
    <t>Outside</t>
  </si>
  <si>
    <t>Annette Harvey, Henry Harvey</t>
  </si>
  <si>
    <t>951-616-9280</t>
  </si>
  <si>
    <t>morganharveya@yahoo.com</t>
  </si>
  <si>
    <t>Option One Lending</t>
  </si>
  <si>
    <t>Mary Lou Martinez</t>
  </si>
  <si>
    <t>marylou@teammarylou.com, 949-690-7149</t>
  </si>
  <si>
    <t>15524 Louise St.</t>
  </si>
  <si>
    <t>Maria Flores</t>
  </si>
  <si>
    <t>(714)697-0063</t>
  </si>
  <si>
    <t>2004exterra@gmail.com</t>
  </si>
  <si>
    <t>Celar Mortgage</t>
  </si>
  <si>
    <t>See Comment</t>
  </si>
  <si>
    <t xml:space="preserve"> Property ID</t>
  </si>
  <si>
    <t>Amber Zepeda Orndorf</t>
  </si>
  <si>
    <t xml:space="preserve">amber.z@realestateponce.com, </t>
  </si>
  <si>
    <t>Referral</t>
  </si>
  <si>
    <t>SOI 70</t>
  </si>
  <si>
    <t>There is a referral due to Cheree's previous broker.</t>
  </si>
  <si>
    <t>30602 Willow Village Dr.</t>
  </si>
  <si>
    <t>Tony Zablah</t>
  </si>
  <si>
    <t>(949)331-8385</t>
  </si>
  <si>
    <t>zfalafel@hotmail.com</t>
  </si>
  <si>
    <t>Generations Escrow</t>
  </si>
  <si>
    <t>Statewide Funding Inc.</t>
  </si>
  <si>
    <t>Denise Munoz</t>
  </si>
  <si>
    <t>denisemunozrealtor@gmail.com</t>
  </si>
  <si>
    <t>SOI 80</t>
  </si>
  <si>
    <t>3839 S Vista Campana # 6</t>
  </si>
  <si>
    <t>Jenna Melendez</t>
  </si>
  <si>
    <t>Kimberly</t>
  </si>
  <si>
    <t xml:space="preserve">Scott David Kimrey, Pamela Sue Kimery </t>
  </si>
  <si>
    <t>573-705-2939, 573-210-7875</t>
  </si>
  <si>
    <t xml:space="preserve">scott.kimrey1@gmail.com, pam.kimrey1@gmail.com </t>
  </si>
  <si>
    <t>California Preferred Escrow Inc.</t>
  </si>
  <si>
    <t>First American Title Company</t>
  </si>
  <si>
    <t>Aldo Vides</t>
  </si>
  <si>
    <t>aldo@realtynational.com, 818-730-1433</t>
  </si>
  <si>
    <t>5/5 (P)</t>
  </si>
  <si>
    <t>1717 Tara Way</t>
  </si>
  <si>
    <t>San Marcos</t>
  </si>
  <si>
    <t>Cavin Quintanilla</t>
  </si>
  <si>
    <t>Alexander Tuttle</t>
  </si>
  <si>
    <t>917-804-6495</t>
  </si>
  <si>
    <t>atuttle44@gmail.com</t>
  </si>
  <si>
    <t>Maritime Escrow, Inc.</t>
  </si>
  <si>
    <t>lana Huff</t>
  </si>
  <si>
    <t xml:space="preserve"> escrowTC@fraziergrouprealty.com,yvonne@villpar.com</t>
  </si>
  <si>
    <t>6/9 (P)</t>
  </si>
  <si>
    <t>738 E 5th Avenue</t>
  </si>
  <si>
    <t>Escondido</t>
  </si>
  <si>
    <t>Romany Abskharon</t>
  </si>
  <si>
    <t>616-304-4673</t>
  </si>
  <si>
    <t xml:space="preserve">RNN2222@yahoo.com </t>
  </si>
  <si>
    <t>New Venture Escrow</t>
  </si>
  <si>
    <t>First Citizens Banks</t>
  </si>
  <si>
    <t>Erik Braceland</t>
  </si>
  <si>
    <t>erik@bracelandhomes.com, 619-947-3560</t>
  </si>
  <si>
    <t>15128 Versailles St</t>
  </si>
  <si>
    <t xml:space="preserve">Kevin Cabada </t>
  </si>
  <si>
    <t>714-574-3758</t>
  </si>
  <si>
    <t>kcabada13@yahoo.com</t>
  </si>
  <si>
    <t>First American Title</t>
  </si>
  <si>
    <t>US Bank</t>
  </si>
  <si>
    <t>First American HW</t>
  </si>
  <si>
    <t>Kenneth Keithly</t>
  </si>
  <si>
    <t>ken@keithlycapital.com,  714-365-8931</t>
  </si>
  <si>
    <t>6/17 (P)</t>
  </si>
  <si>
    <t>1404 Peacock Blvd</t>
  </si>
  <si>
    <t xml:space="preserve"> Oceanside</t>
  </si>
  <si>
    <t>Blake Cory</t>
  </si>
  <si>
    <t>Blake</t>
  </si>
  <si>
    <t>The Martin Family Trust</t>
  </si>
  <si>
    <t>(619) 857-6224‬</t>
  </si>
  <si>
    <t>Miker44@cox.net</t>
  </si>
  <si>
    <t>Bern McGovern</t>
  </si>
  <si>
    <t xml:space="preserve">bern@offthe56.com,stephanie@theturnkeytc.com,  858-900-1797  </t>
  </si>
  <si>
    <t>Personal</t>
  </si>
  <si>
    <t>27601 Sun City #318</t>
  </si>
  <si>
    <t>Rudy Vaca</t>
  </si>
  <si>
    <t>(925) 434-7341</t>
  </si>
  <si>
    <t>No Email, Wet Signature</t>
  </si>
  <si>
    <t>Teresa Relvas</t>
  </si>
  <si>
    <t>trelvas1@gmail.com,owensbarbaraj@yahoo.com, 209 620-0793</t>
  </si>
  <si>
    <t>7428 Orien Ave.</t>
  </si>
  <si>
    <t>La Mesa</t>
  </si>
  <si>
    <t>Margaret Powell Revocable Living Trust</t>
  </si>
  <si>
    <t>951-243-4479</t>
  </si>
  <si>
    <t>mkp5958@gmail.com</t>
  </si>
  <si>
    <t>First California Funding</t>
  </si>
  <si>
    <t>Beau Tricky</t>
  </si>
  <si>
    <t>brtrickey@hotmail.com, 858-334-3019</t>
  </si>
  <si>
    <t>SOI 100</t>
  </si>
  <si>
    <t>6874 Raspberry Ct</t>
  </si>
  <si>
    <t>Roberta Burke</t>
  </si>
  <si>
    <t>951-264-3341</t>
  </si>
  <si>
    <t>wabers@sbcglobal.net</t>
  </si>
  <si>
    <t>Pacific Lending</t>
  </si>
  <si>
    <t>Esmeralda Magallon</t>
  </si>
  <si>
    <t>esmemagsrealty@gmail.com, 951-582-1306</t>
  </si>
  <si>
    <t>Homelight</t>
  </si>
  <si>
    <t>6/18 (P)</t>
  </si>
  <si>
    <t>23820 Ironwood Ave #160</t>
  </si>
  <si>
    <t>Robin Tapia</t>
  </si>
  <si>
    <t>Jason Johnson</t>
  </si>
  <si>
    <t>(951)232-0321</t>
  </si>
  <si>
    <t>californiajj@yahoo.com</t>
  </si>
  <si>
    <t>Rose Cerda</t>
  </si>
  <si>
    <t>familyrealtyhomes@gmail.com, 951-264-5974</t>
  </si>
  <si>
    <t>Henry L. Harvey, Annette Morgan Harvey</t>
  </si>
  <si>
    <t>H: 951-616-9280</t>
  </si>
  <si>
    <t>Vantage Funding</t>
  </si>
  <si>
    <t>Kelsie Saulsberry</t>
  </si>
  <si>
    <t>kelsie@powerreteam.com, 310 - 695-8795</t>
  </si>
  <si>
    <t>167 Avenida Del Gado</t>
  </si>
  <si>
    <t>Larry Randolph</t>
  </si>
  <si>
    <t xml:space="preserve">Joshua Michael Hayes, Morgan Paige Foster </t>
  </si>
  <si>
    <t>J:(909) 534-5168, M:(949)370-1795</t>
  </si>
  <si>
    <t>Joshuahayes34joshua@gmail.com, Fostermorgann7@gmail.com</t>
  </si>
  <si>
    <t>Corinthian Title Company</t>
  </si>
  <si>
    <t>Arbor Financial Group</t>
  </si>
  <si>
    <t>Michelle English</t>
  </si>
  <si>
    <t>Michelle.onpointrealty@gmail.com,tcshilohhayes@gmail.com (310)951-2023</t>
  </si>
  <si>
    <t>28356 Long Meadow Dr</t>
  </si>
  <si>
    <t>Mary Simpson, William Simpson</t>
  </si>
  <si>
    <t>M:440-567-1481</t>
  </si>
  <si>
    <t>maryelizsimpson@gmail.com, william.simpson@me.com</t>
  </si>
  <si>
    <t>Oakwood Escrow</t>
  </si>
  <si>
    <t>Colleen Nichols</t>
  </si>
  <si>
    <t xml:space="preserve">bern@offthe56.com, stephanie@theturnkeytc.com,  858-900-1797  </t>
  </si>
  <si>
    <t>34121 Kensington St</t>
  </si>
  <si>
    <t>Murrieta</t>
  </si>
  <si>
    <t xml:space="preserve">Zachary Pate, Kristi Pate </t>
  </si>
  <si>
    <t>Z:951-595-0841, K:951-889-7225</t>
  </si>
  <si>
    <t xml:space="preserve">Zpate@ymail.com, kleonhard812@gmail.com </t>
  </si>
  <si>
    <t>21st Century Escrow</t>
  </si>
  <si>
    <t xml:space="preserve">Tiffainy Casey </t>
  </si>
  <si>
    <t>tiffainy.realtor@gmail.com, 619-393-3466</t>
  </si>
  <si>
    <t>6/1 (P)</t>
  </si>
  <si>
    <t>27306 Sweetspire Terrace Pl</t>
  </si>
  <si>
    <t>Erick Ayala, Elizabet Ayala</t>
  </si>
  <si>
    <t>818-274-1542, 818-331-3109</t>
  </si>
  <si>
    <t xml:space="preserve">Erickrayala@gmail.com, Eayl122@gmail.com </t>
  </si>
  <si>
    <t>Your Escrow Company, Inc.</t>
  </si>
  <si>
    <t>Scott Gormley</t>
  </si>
  <si>
    <t>scottghomes@gmail.com, 951-445-3420</t>
  </si>
  <si>
    <t>3129 San Helena Drive</t>
  </si>
  <si>
    <t>Myrna Peterson</t>
  </si>
  <si>
    <t xml:space="preserve">Michael Grieg, Ranae Grieg            </t>
  </si>
  <si>
    <t xml:space="preserve">M: (858)354-3181, R: (760)473-3768 </t>
  </si>
  <si>
    <t>mjgreig17@gmail.com, athun@sbcglobal.net</t>
  </si>
  <si>
    <t>​CMG Mortgage, Inc</t>
  </si>
  <si>
    <t>​Donna Klinge​ &amp; Jim Klinge​</t>
  </si>
  <si>
    <t xml:space="preserve">klingerealty@gmail.com, donna.klinge@compass.com, ​lisa.belasco@compass.com, ​lisa@Alchemytc.com, klingerealty@gmail.com </t>
  </si>
  <si>
    <t>31396 Pine Oak Rd</t>
  </si>
  <si>
    <t xml:space="preserve">Winchester </t>
  </si>
  <si>
    <t>Rosalina Williams</t>
  </si>
  <si>
    <t>Eliza Saguiped</t>
  </si>
  <si>
    <t>New Build</t>
  </si>
  <si>
    <t>Zillow Flex (Nurture)</t>
  </si>
  <si>
    <t>15592 Red Oak Way</t>
  </si>
  <si>
    <t>Jasmine</t>
  </si>
  <si>
    <t>Michael Barraquio, Fatima Barraquio</t>
  </si>
  <si>
    <t>M: (760) 217-8600</t>
  </si>
  <si>
    <t>mrbarraquio@gmail.com, rayabarraquioo8@gmail.com</t>
  </si>
  <si>
    <t>Mark1 Mortgage</t>
  </si>
  <si>
    <t>ORHW</t>
  </si>
  <si>
    <t>Zahira Pivaral</t>
  </si>
  <si>
    <t>zahira@topproducingbroker.com,sara@topproducingbroker.com</t>
  </si>
  <si>
    <t>5/28 (P)</t>
  </si>
  <si>
    <t>26652 Viola Way</t>
  </si>
  <si>
    <t>Michael Roda Barraquio</t>
  </si>
  <si>
    <t>(760) 217-8600</t>
  </si>
  <si>
    <t>boorain77@gmail.com</t>
  </si>
  <si>
    <t>NEW BUILD</t>
  </si>
  <si>
    <t>July</t>
  </si>
  <si>
    <t>31048 Waterton Court</t>
  </si>
  <si>
    <t>Renée Keeling</t>
  </si>
  <si>
    <t xml:space="preserve">Nicolas W Smith,Brooke Smith </t>
  </si>
  <si>
    <t>N: 909-205-2949, B:909-648-5192</t>
  </si>
  <si>
    <t>Nickcedarglen@gmail.com, Brookeasmith81@gmail.com</t>
  </si>
  <si>
    <t>ESCROW 321</t>
  </si>
  <si>
    <t>Navy Federal Credit Uniion</t>
  </si>
  <si>
    <t>Jordona Hertz</t>
  </si>
  <si>
    <t xml:space="preserve">  jordona@jordonayourrealtor.com,  sara@jordonayourrealtor.com, blharris2323@gmail.com</t>
  </si>
  <si>
    <t>37701 Oxford Dr.</t>
  </si>
  <si>
    <t>Nichole</t>
  </si>
  <si>
    <t>Ryan Lieberman, Grace Lieberman</t>
  </si>
  <si>
    <t>R: (312) 952-7770 G:(312) 547-9000</t>
  </si>
  <si>
    <t>ryanlieberman1@gmail.com, liebermangrace@gmail.com</t>
  </si>
  <si>
    <t>Ylopo</t>
  </si>
  <si>
    <t>Alexis Cassidy</t>
  </si>
  <si>
    <t>​Nicky Francisco</t>
  </si>
  <si>
    <t xml:space="preserve">818​-554-1744
</t>
  </si>
  <si>
    <t>​franciscox3@sbcglobal.net</t>
  </si>
  <si>
    <t>6220 45th St</t>
  </si>
  <si>
    <t xml:space="preserve">Jurupa Valley  </t>
  </si>
  <si>
    <t>Cory Real Estate Partners, LLC (​Blake Cory, Managing Member)</t>
  </si>
  <si>
    <t>949-668-473</t>
  </si>
  <si>
    <t>blake@coryhometeam.com</t>
  </si>
  <si>
    <t>iCore Lending, Inc.</t>
  </si>
  <si>
    <t>​​Armando Minjares</t>
  </si>
  <si>
    <t>minjaresrealty@gmail.com, 626-319-0875</t>
  </si>
  <si>
    <t>757 Nob Circle</t>
  </si>
  <si>
    <t>Vista</t>
  </si>
  <si>
    <t>Stephanie Carson</t>
  </si>
  <si>
    <t>Laura Melton</t>
  </si>
  <si>
    <t>760-213-1091</t>
  </si>
  <si>
    <t>Lmelton64@outlook.com</t>
  </si>
  <si>
    <t>All Set Escrow</t>
  </si>
  <si>
    <t>​Debbie York</t>
  </si>
  <si>
    <r>
      <rPr>
        <rFont val="Arial"/>
        <b val="0"/>
        <color theme="1"/>
      </rPr>
      <t xml:space="preserve">​deborah.york@exprealty.com, </t>
    </r>
    <r>
      <rPr>
        <rFont val="Arial"/>
        <b/>
        <color theme="1"/>
      </rPr>
      <t>​</t>
    </r>
    <r>
      <rPr>
        <rFont val="Arial"/>
        <b val="0"/>
        <color theme="1"/>
      </rPr>
      <t>760-505-6474</t>
    </r>
  </si>
  <si>
    <t xml:space="preserve">32870 Virgo Way </t>
  </si>
  <si>
    <t>Wildomar</t>
  </si>
  <si>
    <t>Alicia Good</t>
  </si>
  <si>
    <t xml:space="preserve">Dennis Samuel Guerrero II, Angelica Garcia-Guerrero      </t>
  </si>
  <si>
    <t xml:space="preserve">  A: (323) 972-1752        </t>
  </si>
  <si>
    <t>dsguerreroii@gmail.com, Agarcia@prpsn.org</t>
  </si>
  <si>
    <t>Kyle Andrew Roath, Ida Catherine Roath,Eric C Roath</t>
  </si>
  <si>
    <t>K: 951-973-3438</t>
  </si>
  <si>
    <t>Kailenew@gmail.com,Iroath@rivco.org,Roath@juno.com</t>
  </si>
  <si>
    <t>33700 Willow Haven Ln #101</t>
  </si>
  <si>
    <t>Christine Van Hyning</t>
  </si>
  <si>
    <t xml:space="preserve">​Malvin Amaseshi, ​Rachael Amaseshi    </t>
  </si>
  <si>
    <t>808-773-4512</t>
  </si>
  <si>
    <t>malvin.amaeshi@gmail.com</t>
  </si>
  <si>
    <t>Foundation Escrow</t>
  </si>
  <si>
    <t>Briyanna Mead</t>
  </si>
  <si>
    <t>briyanna@theauerteam.com, tcshilohhayes@gmail.com</t>
  </si>
  <si>
    <t>Condo</t>
  </si>
  <si>
    <t>7596 Arcadia Ave</t>
  </si>
  <si>
    <t>Hesperia</t>
  </si>
  <si>
    <t xml:space="preserve">Tammy Rena Jacobson </t>
  </si>
  <si>
    <t>760-963-6948</t>
  </si>
  <si>
    <t xml:space="preserve">ovesuks1969@yahoo.com </t>
  </si>
  <si>
    <t>Franklin Loan Center</t>
  </si>
  <si>
    <t xml:space="preserve">Alana Suarez </t>
  </si>
  <si>
    <t>agent.alana@realestatecometrue.com, 626-589-2749</t>
  </si>
  <si>
    <t>28675 Suffolk Downs Way</t>
  </si>
  <si>
    <t>Edward Kaveney "Eddie"</t>
  </si>
  <si>
    <t xml:space="preserve">Arthur Saldana, Barbara Saldana </t>
  </si>
  <si>
    <t>B:951-616-8568</t>
  </si>
  <si>
    <t>saldana7777.as@gmail.com, barbara1saldana@gmail.com</t>
  </si>
  <si>
    <t>Custom Home Loans</t>
  </si>
  <si>
    <t>Brent Blay</t>
  </si>
  <si>
    <t>brentblay@parkregency.com, 909-641-8751</t>
  </si>
  <si>
    <t>17671 Big Sky Cir</t>
  </si>
  <si>
    <t>Perris</t>
  </si>
  <si>
    <t>John A. Weber, Jennifer L. Weber</t>
  </si>
  <si>
    <t>John: (951)314-3737</t>
  </si>
  <si>
    <t>jawbww@gmail.com, weberjennifer293@gmail.com</t>
  </si>
  <si>
    <t>PRMG</t>
  </si>
  <si>
    <t>Kari Janikowski</t>
  </si>
  <si>
    <t>KariJanikowski1@gmail.com,951-283-4736</t>
  </si>
  <si>
    <t>August</t>
  </si>
  <si>
    <t>394 Knotgrass St</t>
  </si>
  <si>
    <t>Stephen Raul Caudillo, Marisela Martinez-Cedillo</t>
  </si>
  <si>
    <t>619-993-0550, 619-993-0550</t>
  </si>
  <si>
    <t>caudillostephen@yahoo.com</t>
  </si>
  <si>
    <t>Richmond American</t>
  </si>
  <si>
    <t>15417 Tobarra Rd.</t>
  </si>
  <si>
    <t>Fontana</t>
  </si>
  <si>
    <t>Justin Shane Curtis</t>
  </si>
  <si>
    <t>(909) 485-4641</t>
  </si>
  <si>
    <t>sweettriplec@gmail.com</t>
  </si>
  <si>
    <t>​Icore Lending Inc</t>
  </si>
  <si>
    <t>​Jani Cervantes</t>
  </si>
  <si>
    <t>cervjan9214@gmail.com, 562​-824-9185</t>
  </si>
  <si>
    <t>28867 Peach Springs Dr.</t>
  </si>
  <si>
    <t>Margaret K Powell ,  Charles E Simpson Jr</t>
  </si>
  <si>
    <t>C: 619-218-4873, M:951-243-4479</t>
  </si>
  <si>
    <t>mkp5958@gmail.com, csimpsonjr@gmail.com</t>
  </si>
  <si>
    <t>Steve Wetherbee</t>
  </si>
  <si>
    <t>wethergagemanagement@gmail.com, (949) 380-1323</t>
  </si>
  <si>
    <t>27073 N Bay Lane</t>
  </si>
  <si>
    <t>Philippe P. Labat, Deborah M. Koegel</t>
  </si>
  <si>
    <t>P:(319)940-4142, D:(310)347-8525</t>
  </si>
  <si>
    <t>labatome@yahoo.com, deborah_koegel@yahoo.com</t>
  </si>
  <si>
    <t>Point Mortgage Corporation</t>
  </si>
  <si>
    <t>Monica Soyosa</t>
  </si>
  <si>
    <t>mosoyosarealty@gmail.com, 909-904-6584</t>
  </si>
  <si>
    <t>1566 Vista Del Mar Way #3</t>
  </si>
  <si>
    <t>​​Michael Greig, ​​Renae Greig</t>
  </si>
  <si>
    <t>M:858-354-3181 R:​760-473-3768</t>
  </si>
  <si>
    <t>​mjgreig17@gmail.com, ​​renaegreig@hotmail.com</t>
  </si>
  <si>
    <t>​All Set Escrow</t>
  </si>
  <si>
    <t>CHASE</t>
  </si>
  <si>
    <t>Fidelty Title</t>
  </si>
  <si>
    <t>Gini De Armas</t>
  </si>
  <si>
    <t>ginidearmas@gmail.com, tcbydalila@gmail.co​m</t>
  </si>
  <si>
    <t>1826 West 19th Street # 11</t>
  </si>
  <si>
    <t>San Bernandino</t>
  </si>
  <si>
    <t>Samantha Gonzales</t>
  </si>
  <si>
    <t>Frank Rivera</t>
  </si>
  <si>
    <t>323-579-5090</t>
  </si>
  <si>
    <t>ponchofrank232@gmail.com</t>
  </si>
  <si>
    <t>Prime Time Escrow Inc</t>
  </si>
  <si>
    <t>Patriot Pacific Financial Corp</t>
  </si>
  <si>
    <t>Sandy Hernandez</t>
  </si>
  <si>
    <t>brokersandyhernandez@yahoo.com.team@homesweethometc.net</t>
  </si>
  <si>
    <t>Voicepad</t>
  </si>
  <si>
    <t>November</t>
  </si>
  <si>
    <t>33535 Mission Trl #0103</t>
  </si>
  <si>
    <t>Erskine Bonilla</t>
  </si>
  <si>
    <t>Elizabeth Vicky Camacho, Beatriz Camacho</t>
  </si>
  <si>
    <t xml:space="preserve">E:951-331-5846, B:95-396-9895 </t>
  </si>
  <si>
    <t>elizabeth.cama94@gmail.com, bettycamacho7070@gmail.com</t>
  </si>
  <si>
    <t>The Escrow Specialists, Inc.</t>
  </si>
  <si>
    <t>Universal Lending Corp.</t>
  </si>
  <si>
    <t>CeCe Guyana</t>
  </si>
  <si>
    <t>cguyatt@risewellhomes.com, 951-592-3400</t>
  </si>
  <si>
    <t>42850 Via Gandia</t>
  </si>
  <si>
    <t>Temecula</t>
  </si>
  <si>
    <t>Anthony Kriakin, Katie Hill-Kriakin</t>
  </si>
  <si>
    <t>A:714-860-8514, K:262-505-0458</t>
  </si>
  <si>
    <t>akriakin@gmail.com, katiemhill0710@gmail.com</t>
  </si>
  <si>
    <t>I E SOLD, Inc.</t>
  </si>
  <si>
    <t>Chris Murray</t>
  </si>
  <si>
    <t>chris@inlandempiresold.com, 951-487-7007</t>
  </si>
  <si>
    <t>3317 Banyon Cir</t>
  </si>
  <si>
    <t xml:space="preserve">Lake Elsinore </t>
  </si>
  <si>
    <t>Wilson Tengnguyen, Rachelle Rae Bendo</t>
  </si>
  <si>
    <t>W: (415) 299-2159</t>
  </si>
  <si>
    <t>warteng@comcast.net, rrnbendo@gmail.com</t>
  </si>
  <si>
    <t>Brian Montanez</t>
  </si>
  <si>
    <t>brian@finkoy.com - 909-921-4939</t>
  </si>
  <si>
    <t>17182 Dante St</t>
  </si>
  <si>
    <t>Jason A McHenry</t>
  </si>
  <si>
    <t>909-223-6606</t>
  </si>
  <si>
    <t>destinydaniel@hotmail.com</t>
  </si>
  <si>
    <t>Real Consultants Mortgage and Real Estate Services Inc</t>
  </si>
  <si>
    <t>James Robledo</t>
  </si>
  <si>
    <t>jamesshowshomes@gmail.com, crystalcleartc1@gmail.com</t>
  </si>
  <si>
    <t>39638 Bayonne Place</t>
  </si>
  <si>
    <t>​​Edward J. Kaveney (Gordon​ Graham, POA)</t>
  </si>
  <si>
    <t>​ggrahamhomes@msn.com</t>
  </si>
  <si>
    <t>Pauline Woelky</t>
  </si>
  <si>
    <t>​sales@paulinewoelky.com,kasey@unitedonerealty.com,BayonnePlace396381@skyslope.com</t>
  </si>
  <si>
    <t>3035 Sherry Dr</t>
  </si>
  <si>
    <t>Barbara Saldana</t>
  </si>
  <si>
    <t>951-616-8568</t>
  </si>
  <si>
    <t>Barbara1Saldana@gmail.com</t>
  </si>
  <si>
    <t>Benjamin Hitchins</t>
  </si>
  <si>
    <t>ben.h@mainstay.io, 213-320-3292</t>
  </si>
  <si>
    <t>32956 Kevin Pl.</t>
  </si>
  <si>
    <t>Irvin M. Byrd</t>
  </si>
  <si>
    <t>(951)704-9605</t>
  </si>
  <si>
    <t>24.7mtm@gmail.com</t>
  </si>
  <si>
    <t>24/7 Mortgage</t>
  </si>
  <si>
    <t>Alina Lewis</t>
  </si>
  <si>
    <t>alinalifestyles@gmail.com,MaggieGamesterTC@gmail.com</t>
  </si>
  <si>
    <t>1536 S State St. #147</t>
  </si>
  <si>
    <t>Ryan Steven Collier, Erika Dale Shaw</t>
  </si>
  <si>
    <t>R:(951)331-6442, E:(951)331-6443</t>
  </si>
  <si>
    <t>xxRSCxx89@gmail.com, erikashaw414@yahoo.com</t>
  </si>
  <si>
    <t>Connor McClurg</t>
  </si>
  <si>
    <t>41896 Zafra St</t>
  </si>
  <si>
    <t>Martin Gomez</t>
  </si>
  <si>
    <t xml:space="preserve">Nicholas Thomas Mccluney, Holly Jean Mccluney </t>
  </si>
  <si>
    <t>N:951-973-9221, H:310-770-6140</t>
  </si>
  <si>
    <t xml:space="preserve">nmccluney2015@gmail.com, hollyjmb@yahoo.com </t>
  </si>
  <si>
    <t>Escrow321</t>
  </si>
  <si>
    <t>American Mortgage Leaders</t>
  </si>
  <si>
    <t>WFG Title</t>
  </si>
  <si>
    <t>Lisa Theobalt</t>
  </si>
  <si>
    <t>ltheobalt@verizon.net, 951-764-8819</t>
  </si>
  <si>
    <t>Open House</t>
  </si>
  <si>
    <t>SOI 85</t>
  </si>
  <si>
    <t>0 Olive St</t>
  </si>
  <si>
    <t>Jacob Isai Velasquez Castrejon, Abidan Velasquez Lopez,​Aidan Caleb Velasquez, ​Midiam Castrejon Reyes</t>
  </si>
  <si>
    <t xml:space="preserve">951-515-2187 </t>
  </si>
  <si>
    <t>midiamc@sbcglobal.net</t>
  </si>
  <si>
    <t>​​WFG National ​Title Company</t>
  </si>
  <si>
    <t>Vacant Land</t>
  </si>
  <si>
    <t>Raj Sharma</t>
  </si>
  <si>
    <t>info@legacyhomesrealty.com,JSharmaREO@yahoo.com</t>
  </si>
  <si>
    <t>Zillow-Past Sale</t>
  </si>
  <si>
    <t>Review Action Plan Sent</t>
  </si>
  <si>
    <t>March</t>
  </si>
  <si>
    <t>2525 Woodlands Way</t>
  </si>
  <si>
    <t>Joseph Fitzgerald, Kathryn Fitzgerald</t>
  </si>
  <si>
    <t>​josephfitzgerald62@gmail.com,​kathfitz00@gmail.com</t>
  </si>
  <si>
    <t>United American Mortgage Corporation</t>
  </si>
  <si>
    <t>Brent Foster</t>
  </si>
  <si>
    <t>brentfosterrealestate@gmail.com,helen@sandiegotransactionsolutions.com</t>
  </si>
  <si>
    <t>Complete</t>
  </si>
  <si>
    <t>4/2 (C)</t>
  </si>
  <si>
    <t>Complete - Closed</t>
  </si>
  <si>
    <t>1777 Amethyst Dr</t>
  </si>
  <si>
    <t>George Folia</t>
  </si>
  <si>
    <t>Octavio Garcia, Maria Guadalupe Oropeza</t>
  </si>
  <si>
    <t>562-706-2683</t>
  </si>
  <si>
    <t>classicgarcia.og@gmail.com, mariagoropeza5@gmail.com</t>
  </si>
  <si>
    <t>Success Escroq</t>
  </si>
  <si>
    <t>Pacific Coast Title</t>
  </si>
  <si>
    <t>Alfredo Galban</t>
  </si>
  <si>
    <t>alfredgc21pt@gmail.com,aaron@yourgototc.com</t>
  </si>
  <si>
    <t>Mobile</t>
  </si>
  <si>
    <t>January</t>
  </si>
  <si>
    <t>30254 Blue Cedar Dr.</t>
  </si>
  <si>
    <t>Drew Zeller</t>
  </si>
  <si>
    <t>(951) 662-3782</t>
  </si>
  <si>
    <t>ddz1992@gmail.com</t>
  </si>
  <si>
    <t xml:space="preserve"> Vector Escrow Team</t>
  </si>
  <si>
    <t>Patriot Pacific Financial Corp_Christian Dahln</t>
  </si>
  <si>
    <t>Monarch Title Company</t>
  </si>
  <si>
    <t>Annette Harris</t>
  </si>
  <si>
    <t>netsells4u@yahoo.com</t>
  </si>
  <si>
    <t>Q3 2025</t>
  </si>
  <si>
    <t>1/16 (C)</t>
  </si>
  <si>
    <t>1550 Rimpau Ave., #186</t>
  </si>
  <si>
    <t xml:space="preserve">Corona </t>
  </si>
  <si>
    <t>Jelani Tivon Robinson</t>
  </si>
  <si>
    <t>562-335-8618</t>
  </si>
  <si>
    <t>jelaniiii@msn.com</t>
  </si>
  <si>
    <t xml:space="preserve">New Venture Escrow
</t>
  </si>
  <si>
    <t xml:space="preserve">CrossCountry Mortgage
</t>
  </si>
  <si>
    <t>HCD</t>
  </si>
  <si>
    <t xml:space="preserve">Michelle Talley </t>
  </si>
  <si>
    <t>mmtalley@sbcglobal.net, 951-313-5203</t>
  </si>
  <si>
    <t>Q4 2025</t>
  </si>
  <si>
    <t>1/15 (C)</t>
  </si>
  <si>
    <t>RV1/26</t>
  </si>
  <si>
    <t>29257 Summerset Dr.</t>
  </si>
  <si>
    <t>​Florida Schwestka</t>
  </si>
  <si>
    <t>​619​-820-3491</t>
  </si>
  <si>
    <t>​fschwestka@gmail.com</t>
  </si>
  <si>
    <t>​A​ngel City Financial</t>
  </si>
  <si>
    <t>​R​ose Hernandez</t>
  </si>
  <si>
    <t>​marketsavvyrealtor@gmail.com- ​951-264-7795</t>
  </si>
  <si>
    <t>4/3 (C) Not found on CHT Listing Board</t>
  </si>
  <si>
    <t>2364 Summerwind Pl</t>
  </si>
  <si>
    <t>Carlsbad</t>
  </si>
  <si>
    <t>The Nicotera Trust   ( Richard Nicotera Trustee ,   Tracy Nicotera Trustee)</t>
  </si>
  <si>
    <t>760-  458-3468, 858-361-4804</t>
  </si>
  <si>
    <t>rick.nicotera@gmail.com, tkranzy@aol.com</t>
  </si>
  <si>
    <t>Disclosure Source</t>
  </si>
  <si>
    <t>1/17 (C)</t>
  </si>
  <si>
    <t>checked past sales-not found 1/31</t>
  </si>
  <si>
    <t>236 E Manchester Ln</t>
  </si>
  <si>
    <t xml:space="preserve"> San Bernardino </t>
  </si>
  <si>
    <t>Eric Shelton</t>
  </si>
  <si>
    <t>(951) 708-1061</t>
  </si>
  <si>
    <t>boostmd@gmail.com</t>
  </si>
  <si>
    <t>Cecilia Montano</t>
  </si>
  <si>
    <t>CeciliaM.remax@gmail.com;homesbysonya@yahoo.com</t>
  </si>
  <si>
    <t>zillow -  need 2 step verification 1/31</t>
  </si>
  <si>
    <t>4465 Topaz Ln</t>
  </si>
  <si>
    <t>Mercedes Torres</t>
  </si>
  <si>
    <t>Gary Zarandona</t>
  </si>
  <si>
    <t>​714​-307-9960</t>
  </si>
  <si>
    <t>​gzaar@mail.com</t>
  </si>
  <si>
    <t>​O​RCHARD ESCROW OF CALIFORNIA</t>
  </si>
  <si>
    <t>Jim Johnston</t>
  </si>
  <si>
    <t>jim.johnston@orchard.com,katie.larson@orchard.com,chelsea.trout@orchard.com,mallory.king@orchard.com</t>
  </si>
  <si>
    <t>41979 Rondo Street, #1106</t>
  </si>
  <si>
    <t>Mario Muñoz</t>
  </si>
  <si>
    <t>​​Aurora Sahagun, Erika Sahagun</t>
  </si>
  <si>
    <t>562-631-5226</t>
  </si>
  <si>
    <t>​abriles2762@gmail.com, ericaisabella@aol.com</t>
  </si>
  <si>
    <t>Navy Federal Credit Union</t>
  </si>
  <si>
    <t>Kendra Jo Harlan</t>
  </si>
  <si>
    <t>Eric Colabewala, Jessica Colabewala</t>
  </si>
  <si>
    <t>E:714-853-0581</t>
  </si>
  <si>
    <t>ecolabewala@gmail.com, Jessica17_6393@yahoo.com</t>
  </si>
  <si>
    <t xml:space="preserve">33340 Breighton Wood St. </t>
  </si>
  <si>
    <t>David Thacker</t>
  </si>
  <si>
    <t>213-559-7159</t>
  </si>
  <si>
    <t>guitardave63@yahoo.com</t>
  </si>
  <si>
    <t>california preferred</t>
  </si>
  <si>
    <t>Natalie Fernandez</t>
  </si>
  <si>
    <t>Kelly Bonelli</t>
  </si>
  <si>
    <t>kellybo.realtor@gmail.com- 619-992-6914</t>
  </si>
  <si>
    <t>18294 Saltbush Ct</t>
  </si>
  <si>
    <t>San Bernardino</t>
  </si>
  <si>
    <t xml:space="preserve">Joseph Goodwin Cuberos </t>
  </si>
  <si>
    <t>541-226-1065</t>
  </si>
  <si>
    <t>joecuberos@hotmail.com</t>
  </si>
  <si>
    <t>Empire Properties</t>
  </si>
  <si>
    <t>Fidelity HW</t>
  </si>
  <si>
    <t xml:space="preserve"> Paul Romero </t>
  </si>
  <si>
    <t>paulromerorealtor@gmail.com, 909-758-3800</t>
  </si>
  <si>
    <t>20750 Burl Oaks Ct</t>
  </si>
  <si>
    <t>Stephen Martz,Carol Martz</t>
  </si>
  <si>
    <t>951-378-0603</t>
  </si>
  <si>
    <t>Sfmartz@gmail.com,c.liz.martz@gmail.com</t>
  </si>
  <si>
    <t>Your One NHD</t>
  </si>
  <si>
    <t>Chicago Title</t>
  </si>
  <si>
    <t>Kayla Nebeker</t>
  </si>
  <si>
    <t>nebekerproperties@gmail.com,ashleythomastc@gmail.com</t>
  </si>
  <si>
    <t>1/21 (C)</t>
  </si>
  <si>
    <t>37432 Hydrus Pl.</t>
  </si>
  <si>
    <t>Jeffrey Scott Chiappetta Irrevocable Trust and Mark Anthony Chiappetta Irrevocable Trust (Gina De La Cerda, Trustee)</t>
  </si>
  <si>
    <t>​gina.delacerda@gmail.com</t>
  </si>
  <si>
    <t>​Barrett Financial</t>
  </si>
  <si>
    <t>NA</t>
  </si>
  <si>
    <t>SOI 60</t>
  </si>
  <si>
    <t>Sameh Samaan</t>
  </si>
  <si>
    <t>sam8982507@gmail.com</t>
  </si>
  <si>
    <t>Agent Pay</t>
  </si>
  <si>
    <t>601 N Kirby St Spc 524</t>
  </si>
  <si>
    <t xml:space="preserve"> Hemet</t>
  </si>
  <si>
    <t>Scott McDougall/ Family Trust of Linda J Welshime</t>
  </si>
  <si>
    <t>623-329-7243</t>
  </si>
  <si>
    <t>mcmediafilms@gmail.com</t>
  </si>
  <si>
    <t>EBS Escrow_Lyda Fobbs</t>
  </si>
  <si>
    <t>4/3 (C) NOT FOUND ON THE 2026 LISTING BOARD</t>
  </si>
  <si>
    <t>64550 Pierson Boulevard #25</t>
  </si>
  <si>
    <t xml:space="preserve"> Desert Hot Springs </t>
  </si>
  <si>
    <t>Reginald Stewart</t>
  </si>
  <si>
    <t>​​951​-712​-7231</t>
  </si>
  <si>
    <t>registewpi@gmail.com</t>
  </si>
  <si>
    <t xml:space="preserve">​Oasis Housing Opportunity Program (OHOP) </t>
  </si>
  <si>
    <t>​Veronica Perez</t>
  </si>
  <si>
    <t xml:space="preserve">vperez75.vp@gmail.com;760-396-7737  </t>
  </si>
  <si>
    <t>Stratton Lux Referral</t>
  </si>
  <si>
    <t>8252 Ivy Springs Court</t>
  </si>
  <si>
    <t>Eastvale</t>
  </si>
  <si>
    <t>Vipul Gajera,Hetal Gajera</t>
  </si>
  <si>
    <t>562-832-2232</t>
  </si>
  <si>
    <t>vipulgajera@hotmail.com;vips_g@yahoo.com</t>
  </si>
  <si>
    <t>We Trust Escrow</t>
  </si>
  <si>
    <t>Oredered By Other</t>
  </si>
  <si>
    <t>Orange Coast Title</t>
  </si>
  <si>
    <t xml:space="preserve">        Yuanyuan Lu (Catherine)</t>
  </si>
  <si>
    <t>cahomesale@gmail.com;homesbymhlee@gmail.com</t>
  </si>
  <si>
    <t>29770 Avenida De Real</t>
  </si>
  <si>
    <t>Brian Escobedo</t>
  </si>
  <si>
    <t>760-504-1204</t>
  </si>
  <si>
    <t>customelectric@gmail</t>
  </si>
  <si>
    <t xml:space="preserve">Anchor Funding </t>
  </si>
  <si>
    <t>Elizabeth Alvarado</t>
  </si>
  <si>
    <t>elizabethalvarado@whisselrealty.com, 619-375-4913</t>
  </si>
  <si>
    <t>31382 Water Oak Dr</t>
  </si>
  <si>
    <t>Carmen Avalos</t>
  </si>
  <si>
    <t>Xavier Cortez Martinez</t>
  </si>
  <si>
    <t xml:space="preserve">559-507-4817 </t>
  </si>
  <si>
    <t>cortezmartinezxavier@gmail.com</t>
  </si>
  <si>
    <t>DR Horton</t>
  </si>
  <si>
    <t>2739 Calle Colima #102</t>
  </si>
  <si>
    <t>West Covina</t>
  </si>
  <si>
    <t>LA</t>
  </si>
  <si>
    <t>Denae N. Garcia, Eric C. Scott</t>
  </si>
  <si>
    <t>D:859-907-4007, E:513-675-9730</t>
  </si>
  <si>
    <t>garcia.denae18@gmail.com, scottec9@gmail.com</t>
  </si>
  <si>
    <t xml:space="preserve">All Western Mortgage
</t>
  </si>
  <si>
    <t xml:space="preserve">Martin Cueva </t>
  </si>
  <si>
    <t>martin@martincueva.com, 714-240-2559</t>
  </si>
  <si>
    <t>1362 Yorktown Circle</t>
  </si>
  <si>
    <t>Seller of ​Record - Mary Vallejo</t>
  </si>
  <si>
    <t>​951-391-7689</t>
  </si>
  <si>
    <t>lmhvallejo@icloud.com</t>
  </si>
  <si>
    <t>HWA</t>
  </si>
  <si>
    <t>​Janet Lynn Wile​y</t>
  </si>
  <si>
    <t>lynnwileysells@gmail.com;cashoyos@yahoo.com</t>
  </si>
  <si>
    <t>1/26 (C)</t>
  </si>
  <si>
    <t xml:space="preserve">31364 Osage Trail Ct </t>
  </si>
  <si>
    <t>Nicole Shettleroe</t>
  </si>
  <si>
    <t>Ethan Rider Howie,Lauren Elizabeth Howie</t>
  </si>
  <si>
    <t xml:space="preserve">E:760-877-7724 L:760-877-7725 </t>
  </si>
  <si>
    <t>EthanHowie2019@gmail.com;LaurenHowie9@gmail.com</t>
  </si>
  <si>
    <t>Fidelity National Title Company</t>
  </si>
  <si>
    <t>Richmond American Homes</t>
  </si>
  <si>
    <t>Jeff Dixon</t>
  </si>
  <si>
    <t>Jeff.Dixon@richmondamericanhomes.com - 951-768-3216</t>
  </si>
  <si>
    <t>1/29 (C)</t>
  </si>
  <si>
    <t>4561 Brookview Ct</t>
  </si>
  <si>
    <t>Chino HIlls</t>
  </si>
  <si>
    <t>Robert Jensen, Stephanie Jensen</t>
  </si>
  <si>
    <t>626-242-5584</t>
  </si>
  <si>
    <t>robbyjensen17@yahoo.com, s_m_alvarado@yahoo.com</t>
  </si>
  <si>
    <t>Jack Holwahjian</t>
  </si>
  <si>
    <t>Nick Zomdjian</t>
  </si>
  <si>
    <t>Nick@nickzrealty.com</t>
  </si>
  <si>
    <t>27992 Whisperwood Dr</t>
  </si>
  <si>
    <t xml:space="preserve"> Menifee</t>
  </si>
  <si>
    <t xml:space="preserve"> Norma Meck , David Ray , Diane Ray</t>
  </si>
  <si>
    <t>707-853-2010    909-262-4751</t>
  </si>
  <si>
    <t>njmeck@aol.com, dmmx909@gmail.com, dcraerae4@yahoo.com</t>
  </si>
  <si>
    <t>1/31(C)</t>
  </si>
  <si>
    <t>Nancy P Aljens Revocable Liviing Trust</t>
  </si>
  <si>
    <t>909-262-9646</t>
  </si>
  <si>
    <t>allyson.evors63@gmail</t>
  </si>
  <si>
    <t>32249 Cour Meyney</t>
  </si>
  <si>
    <t xml:space="preserve">Temecula </t>
  </si>
  <si>
    <t>Jessica Franz, Michael Franz</t>
  </si>
  <si>
    <t>619-259-8799, 619-259-4229</t>
  </si>
  <si>
    <t>jessica.franz@live.com, Bowtiebritches@hotmail.com</t>
  </si>
  <si>
    <t>Bank Of America</t>
  </si>
  <si>
    <t>​Lorena Kelder</t>
  </si>
  <si>
    <t>​lo​relise@sbcglobal.net;mist1179@yahoo.com</t>
  </si>
  <si>
    <t>RV1/31/26</t>
  </si>
  <si>
    <t>24450 Malaga Rd</t>
  </si>
  <si>
    <t>Doy Mallard</t>
  </si>
  <si>
    <t>951-907-9010</t>
  </si>
  <si>
    <t>doyduck@aol.com</t>
  </si>
  <si>
    <t>​EquitySmart Home Loans</t>
  </si>
  <si>
    <t>​L​uis Arce</t>
  </si>
  <si>
    <t>luisadrian@sd-pmi.com;tccentral87@gmail.com</t>
  </si>
  <si>
    <t>Seller 60/40</t>
  </si>
  <si>
    <t>3401 Broadmoor Blvd</t>
  </si>
  <si>
    <t>Stratton Lux LLC</t>
  </si>
  <si>
    <t>951.219.9203</t>
  </si>
  <si>
    <t>Ryan Bunse</t>
  </si>
  <si>
    <t>ryan@tncrealtor.com, vanessatcpro@gmail.com</t>
  </si>
  <si>
    <t>Company Lead</t>
  </si>
  <si>
    <t>4/3: Client is Startton Lux;  Not in FUB; The Seller of 3401 Broadmoor Blvd is Laurel Gunn (Flex Seller) not found in the CHT Transaction report.</t>
  </si>
  <si>
    <t>X</t>
  </si>
  <si>
    <t>4000 Pierce St. #197</t>
  </si>
  <si>
    <t>Riverside</t>
  </si>
  <si>
    <t>Nader Ayaz</t>
  </si>
  <si>
    <t>(949) 769-1106</t>
  </si>
  <si>
    <t>Ayaznader6@gmail.com</t>
  </si>
  <si>
    <t>Guild Mortgage</t>
  </si>
  <si>
    <t>​William Quanstrom</t>
  </si>
  <si>
    <t>​will@ritashaw.net;Mytc_kristina@precisiontcservices.com</t>
  </si>
  <si>
    <t>Google Business Page</t>
  </si>
  <si>
    <t>3/4 (C)</t>
  </si>
  <si>
    <t>February</t>
  </si>
  <si>
    <t>245 Bass Ct.</t>
  </si>
  <si>
    <t>Nitra Williams</t>
  </si>
  <si>
    <t>951-897-7642</t>
  </si>
  <si>
    <t>XStream Home Loans Inc</t>
  </si>
  <si>
    <t>Eva Luz Icabalceta</t>
  </si>
  <si>
    <t>homesbyevaluz@gmail.com, 951-867-0504</t>
  </si>
  <si>
    <t>3/26 (C) Not on the listing board</t>
  </si>
  <si>
    <t>31637 Meadow Ln</t>
  </si>
  <si>
    <t>Melissa Mantz</t>
  </si>
  <si>
    <t>Alexander Lopez, Cheryl Burke</t>
  </si>
  <si>
    <t>A: (840) 242-7440, C: (951) 491-9256</t>
  </si>
  <si>
    <t>​alexsapple70@gmail.com​; gennaxander@gmail.com</t>
  </si>
  <si>
    <t>​N​ew American Funding</t>
  </si>
  <si>
    <t>​Alfredo Mayoral</t>
  </si>
  <si>
    <t>​alfredomayoral8@gmail.com;​empiretransactionservices@gmail.com</t>
  </si>
  <si>
    <t>4/3 (C)</t>
  </si>
  <si>
    <t>4852 S. Jordan Avenue</t>
  </si>
  <si>
    <t xml:space="preserve">Ontario </t>
  </si>
  <si>
    <t>Tito Echeverria,Karla Isabeli Echeverria</t>
  </si>
  <si>
    <t>T:  714-473-4624 K: 714-396-1858</t>
  </si>
  <si>
    <t>techeverria14@gmail.com,romero.k90@gmail.com</t>
  </si>
  <si>
    <t>Pure Logic Escrow</t>
  </si>
  <si>
    <t>Zillow Home Loans</t>
  </si>
  <si>
    <t>Sabrina Yang</t>
  </si>
  <si>
    <t>sabrina.yang888@hotmail.com,818-966-3666</t>
  </si>
  <si>
    <t>3/26 (C)</t>
  </si>
  <si>
    <t>43745 Rassle Dr</t>
  </si>
  <si>
    <t>Credit Human Federal Credit Union, Tracy Madison</t>
  </si>
  <si>
    <t>new american funding</t>
  </si>
  <si>
    <t>leo guerrera</t>
  </si>
  <si>
    <t>4/3/2026 Not found in CHT Listing Board</t>
  </si>
  <si>
    <t>6220 45th Street</t>
  </si>
  <si>
    <t>Jurupa Valley</t>
  </si>
  <si>
    <t>adow</t>
  </si>
  <si>
    <t>3/26 (C) Not in FUB; Stratton Lux</t>
  </si>
  <si>
    <t xml:space="preserve">41985 Kaffirboom Ct </t>
  </si>
  <si>
    <t>Cheryl Shaw</t>
  </si>
  <si>
    <t xml:space="preserve">​Kennedy Kierlan Shaw  </t>
  </si>
  <si>
    <t>​951-704-0964</t>
  </si>
  <si>
    <t>​kennedyshaw901@gmail.com</t>
  </si>
  <si>
    <t>Safeguard Escrow Inc</t>
  </si>
  <si>
    <t>Damian Jara</t>
  </si>
  <si>
    <t>damian@jaralegacyinvestments.com;kathy@conciergetc.com</t>
  </si>
  <si>
    <t>32970 Ethlene Dr</t>
  </si>
  <si>
    <t xml:space="preserve">Sadie Brianna Garay, Jacob Job Garay </t>
  </si>
  <si>
    <t>S:423-316-9115, J:318-762-5328</t>
  </si>
  <si>
    <t>saydalva@gmail.com, jacobjobgaray@yahoo.com</t>
  </si>
  <si>
    <t xml:space="preserve">Western Capital Mortgage
</t>
  </si>
  <si>
    <t xml:space="preserve">Eva Perez </t>
  </si>
  <si>
    <t>evarealestate01@gmail.com, 909-226-4090</t>
  </si>
  <si>
    <t>50720 Panorama Dr</t>
  </si>
  <si>
    <t>Morongo Valley</t>
  </si>
  <si>
    <t>Erick Robert Cre​ss,​Shannon Snow Houts</t>
  </si>
  <si>
    <t>E:(951) 241-3992, S:(909) 528-5295</t>
  </si>
  <si>
    <t>Erick.Cress11@gmail.com;​Shannon@giamedical.com</t>
  </si>
  <si>
    <t>Fidelity National Title</t>
  </si>
  <si>
    <t>Allison Gaunder</t>
  </si>
  <si>
    <t>allisongaunder@gmail.com-760 822-9329</t>
  </si>
  <si>
    <t>2915 Cottage Lane</t>
  </si>
  <si>
    <t>Paso Robles</t>
  </si>
  <si>
    <t>SLO</t>
  </si>
  <si>
    <t>Lane Allen Luis,Mikayla Joy Luis</t>
  </si>
  <si>
    <t>​laneluis7@gmail.com,​mikaylajluis@gmail.com</t>
  </si>
  <si>
    <t>Amanda Brown</t>
  </si>
  <si>
    <t>amandabrown805@kw.com,tiffanyg@kw.com,tiffanygraytc@gmail.com</t>
  </si>
  <si>
    <t>4/1 (C)</t>
  </si>
  <si>
    <t>29239 Sweetbrier Ct</t>
  </si>
  <si>
    <t xml:space="preserve">Brent Peterson, Deidre Peterson             </t>
  </si>
  <si>
    <t xml:space="preserve">B: (951) 334-5427   </t>
  </si>
  <si>
    <t xml:space="preserve"> brent1025@gmail.com, Ddp725@hotmail.com</t>
  </si>
  <si>
    <t>​Crosscountry Mortgage</t>
  </si>
  <si>
    <t>​Nicole Correa</t>
  </si>
  <si>
    <t>​nicolethehomegirl@gmail.com,sandythetc@gmail.com</t>
  </si>
  <si>
    <t>39678 Columbia Union Drive #A</t>
  </si>
  <si>
    <t>Tera Cobb, Marcus Amezcua</t>
  </si>
  <si>
    <t>T: 951-775-0024, M:760-271-9907</t>
  </si>
  <si>
    <t>TeraCobb@proton.me, marcusamezcua@yahoo.com</t>
  </si>
  <si>
    <t>Escrow Options</t>
  </si>
  <si>
    <t>Amy Clark</t>
  </si>
  <si>
    <t>amyclarkdreamrealtor@gmail.com,rebecca@yourfavoritetc.com</t>
  </si>
  <si>
    <t>3/16 (C)</t>
  </si>
  <si>
    <t>2823 Moonshimmer St</t>
  </si>
  <si>
    <t>Yi Song, Younghee Song-Chun</t>
  </si>
  <si>
    <t>Yi:562-810-3456</t>
  </si>
  <si>
    <t>tiffanyysongg2gmail.com, chunyounghee248@gmail.com</t>
  </si>
  <si>
    <t>California Coast Escrow</t>
  </si>
  <si>
    <t>PSG Home Loans</t>
  </si>
  <si>
    <t>Jennifer Edwards</t>
  </si>
  <si>
    <t>hello@therealmikeandjenn.com, 858-727-4566</t>
  </si>
  <si>
    <t>123 Jasper St. SPC 12</t>
  </si>
  <si>
    <t>Encinitas</t>
  </si>
  <si>
    <t>Kerry White</t>
  </si>
  <si>
    <t>512-925-1927</t>
  </si>
  <si>
    <t>kerry@housewineaustin.com</t>
  </si>
  <si>
    <t>American Home Sheild</t>
  </si>
  <si>
    <t>​Raven Cervantes</t>
  </si>
  <si>
    <t>info@thejosephrealtyteam.com,LITSA@selecttc.com - 760-317-6874</t>
  </si>
  <si>
    <t>Past Client</t>
  </si>
  <si>
    <t>2/18 (C)</t>
  </si>
  <si>
    <t>Richard 3/2</t>
  </si>
  <si>
    <t>43400 Corte Benavente</t>
  </si>
  <si>
    <t>The Purple Rain 95 Trust dated 11/13/2023        Steve Todd Schaefer, Haydee Lee Schaefer</t>
  </si>
  <si>
    <t>(973)879-3406</t>
  </si>
  <si>
    <t>my1976elite@gmail.com, haydeeschaefer@gmail.com</t>
  </si>
  <si>
    <t>​Miller Group Home Loans Inc.</t>
  </si>
  <si>
    <t>Sergio Ruezga</t>
  </si>
  <si>
    <t>​sruezga@gmail.com;​dionemarie.escrows@gmail.com</t>
  </si>
  <si>
    <t>4/10/26 (C)</t>
  </si>
  <si>
    <t>5253 Yosemite Dr.</t>
  </si>
  <si>
    <t xml:space="preserve">blake@coryhometeam.com </t>
  </si>
  <si>
    <t>Optimum First Mortgage</t>
  </si>
  <si>
    <t>​Frank J. Gonzales</t>
  </si>
  <si>
    <t>​MrWorldRealtor@Gmail.com - 626​-488-4527</t>
  </si>
  <si>
    <t>4/2 (C) Not in FUB; Stratton Lux</t>
  </si>
  <si>
    <t>2172 Falcon Crest Dr.</t>
  </si>
  <si>
    <t>Aditya Saxena</t>
  </si>
  <si>
    <t>510-896-9887</t>
  </si>
  <si>
    <t>aditya.saxena1@outlook.com</t>
  </si>
  <si>
    <t>Vintage Lending</t>
  </si>
  <si>
    <t>Tiffany Wallace</t>
  </si>
  <si>
    <t>tiffany@tiffanywallacegroup.com, (951) 202-1789</t>
  </si>
  <si>
    <t>4/1/26 (C)</t>
  </si>
  <si>
    <t>42535 Saladin Dr</t>
  </si>
  <si>
    <t>Palm Desert</t>
  </si>
  <si>
    <t>Jeffrey Cottingham</t>
  </si>
  <si>
    <t>JCK Investments LLC</t>
  </si>
  <si>
    <t>951 813-7889</t>
  </si>
  <si>
    <t xml:space="preserve">jeffc221@gmail.com </t>
  </si>
  <si>
    <t>Todd Rous</t>
  </si>
  <si>
    <t>todd.rous@compass.com, 760-333-8993</t>
  </si>
  <si>
    <t>4/2 (C); Jeff's company?</t>
  </si>
  <si>
    <t>1303 Center Ave</t>
  </si>
  <si>
    <t xml:space="preserve">Stacey Voye Hanna, Gabriel Hernandez </t>
  </si>
  <si>
    <t>S:760-453-1243, G:520-678-0408</t>
  </si>
  <si>
    <t>staceyhanna76@gmail.com, aghernandez@gmail.com</t>
  </si>
  <si>
    <t>ServiceLink</t>
  </si>
  <si>
    <t>USAA Federal Savings Bank</t>
  </si>
  <si>
    <t xml:space="preserve">Celestina Uriarte  </t>
  </si>
  <si>
    <t>celestina@ureginc.com, 760-845-2390</t>
  </si>
  <si>
    <t>350 San Jacinto Ave. #40</t>
  </si>
  <si>
    <t>Cheree More-Zarty</t>
  </si>
  <si>
    <t>Donna Welch</t>
  </si>
  <si>
    <t>d62856094@gmail.com</t>
  </si>
  <si>
    <t>Paramount Escrow Services, Inc</t>
  </si>
  <si>
    <t>Aleyda Mendoza</t>
  </si>
  <si>
    <t>ale.mobilehomes@gmail.com-714-290-4977</t>
  </si>
  <si>
    <t>29877 Gifhorn Ct</t>
  </si>
  <si>
    <t>Allyson Valfre, Kristal McDonald</t>
  </si>
  <si>
    <t>A:951-205-6666, K:951-836-7468</t>
  </si>
  <si>
    <t>allysonvalfre@gmail.com, kristalmcdonald12@gmail.com</t>
  </si>
  <si>
    <t>Patriot Escrow</t>
  </si>
  <si>
    <t>Freshta Shalikar</t>
  </si>
  <si>
    <t>fshalikar@gmail.com, 951-348-7878</t>
  </si>
  <si>
    <t xml:space="preserve"> 831 Santa Teresa Way</t>
  </si>
  <si>
    <t>Aloysius Alunen De Vera, Harlika Galinato De Vera</t>
  </si>
  <si>
    <t>A:951-807-2757 H:951-434-0596</t>
  </si>
  <si>
    <t>m.bicera2011@gmail.com, Harlika58@gmail.com</t>
  </si>
  <si>
    <t>Elite Advantage Escrow, Inc.</t>
  </si>
  <si>
    <t xml:space="preserve">21st Mortgage </t>
  </si>
  <si>
    <t>WFG National Title Company</t>
  </si>
  <si>
    <t>James Lee</t>
  </si>
  <si>
    <t>james@jleehomes.com,Vickie@vickieforbes.com</t>
  </si>
  <si>
    <t>40705 Mountain Pride Dr</t>
  </si>
  <si>
    <t>​The Trang Thi Bich Tran Revocable Living Trust, dated 06/13/2023</t>
  </si>
  <si>
    <t>​714​-264-9281</t>
  </si>
  <si>
    <t>​bichtrangspring3069@gmail.com</t>
  </si>
  <si>
    <t>​Eren Melendez</t>
  </si>
  <si>
    <t>erenm@sunshineprops.net,yourdreamtc@gmail.com - ​760-622-1644</t>
  </si>
  <si>
    <t>3616 Del Paso Ct.</t>
  </si>
  <si>
    <t>Emanuel Andres Ramirez, Laura Xinghua Sturley</t>
  </si>
  <si>
    <t>(619) 916-8451</t>
  </si>
  <si>
    <t>eramirezcatapano@gmail.com,lxsturley@outlook.com</t>
  </si>
  <si>
    <t>West Coast Escrow</t>
  </si>
  <si>
    <t>​Jennie Knox</t>
  </si>
  <si>
    <t>jennieknoxsdrealty@gmail.com,nicole@nextleveltransactions.com</t>
  </si>
  <si>
    <t>13751 Powers Rd</t>
  </si>
  <si>
    <t>Poway</t>
  </si>
  <si>
    <t>Ron Prunty</t>
  </si>
  <si>
    <t xml:space="preserve">Nickolaus T Schlegel, You Jin Lee </t>
  </si>
  <si>
    <t>N:480-773-5870, Y:480-417-1879</t>
  </si>
  <si>
    <t>nschlegel10@gmail.com, youjin1519@gmail.com</t>
  </si>
  <si>
    <t>Foothills Escrow Ltd</t>
  </si>
  <si>
    <t>Michael Najar</t>
  </si>
  <si>
    <t>Mnajarkw@gmail.com, 619-277-1230</t>
  </si>
  <si>
    <t>913 S Grand Ave # 172</t>
  </si>
  <si>
    <t xml:space="preserve">Andrea Grajeda, Estanislao Soria </t>
  </si>
  <si>
    <t>A:951-591-5107</t>
  </si>
  <si>
    <t>andreatany@yahoo.com, soriatany@gmail.com</t>
  </si>
  <si>
    <t xml:space="preserve">Deborah Welch </t>
  </si>
  <si>
    <t>debi@forestfalls.com, 909-794-2518</t>
  </si>
  <si>
    <t>3/9 (C)</t>
  </si>
  <si>
    <t>24471 Saradella Court</t>
  </si>
  <si>
    <t>​Teresa C Solorzano, Henry Solorzano</t>
  </si>
  <si>
    <t>​954​-516-3800</t>
  </si>
  <si>
    <t>​yomayan@yahoo.com,henry.solo@yahoo.com</t>
  </si>
  <si>
    <t>Prominet Escrow</t>
  </si>
  <si>
    <t>Wendy Connole</t>
  </si>
  <si>
    <t>connole12@msn.com,Mishelle@whitehornhomes.com - 951-818-7124</t>
  </si>
  <si>
    <t>3/2 (C)</t>
  </si>
  <si>
    <t>36351 Elizabeth Ln. #17101</t>
  </si>
  <si>
    <t>Alias Saadat, Zohra Sadat</t>
  </si>
  <si>
    <t xml:space="preserve">(905) 995-2541 </t>
  </si>
  <si>
    <t>asaadat5@gmail.com; zslayla@gmail.com</t>
  </si>
  <si>
    <t>PGS Home Loans, Inc.</t>
  </si>
  <si>
    <t>​Lance Decker Trinidad</t>
  </si>
  <si>
    <t>​lance@luxteam.com,​​amandadtc@gmail.com</t>
  </si>
  <si>
    <t>23260 Joaquin Ridge Dr</t>
  </si>
  <si>
    <t>Hannifa Marie Mayar, Josef Michael Mayar</t>
  </si>
  <si>
    <t xml:space="preserve">516-790-3928      </t>
  </si>
  <si>
    <t>nmayar@opsmca.com; jmayar@opsmca.com</t>
  </si>
  <si>
    <t>Western Capital Mortgage</t>
  </si>
  <si>
    <t>Elena Robles</t>
  </si>
  <si>
    <t>​elenasdrealtor@gmail.com,​Itzel@overhaultc.com</t>
  </si>
  <si>
    <t>Searchcaliforniahomes.net</t>
  </si>
  <si>
    <t>38275 Sevilla Ave</t>
  </si>
  <si>
    <t xml:space="preserve">Beryalai Nazari         </t>
  </si>
  <si>
    <t xml:space="preserve">310-902-1068       </t>
  </si>
  <si>
    <t>bnazar90@yahoo.com</t>
  </si>
  <si>
    <t>Franky Fang</t>
  </si>
  <si>
    <t>irvinefranky@gmail.co​m,​619-248-6434</t>
  </si>
  <si>
    <t>8215 Tamarind Ln</t>
  </si>
  <si>
    <t>James Fred Tannery, Lura Dell Tannery</t>
  </si>
  <si>
    <t>(951) 840-6699</t>
  </si>
  <si>
    <t>jman29801@yahoo.com, jtann4039@gmail.com</t>
  </si>
  <si>
    <t>BASA Realty &amp; Mortgage</t>
  </si>
  <si>
    <t>​Sergio Salazar</t>
  </si>
  <si>
    <t>ssalazar77@gmail.com,paulamrealtor@gmail.com</t>
  </si>
  <si>
    <t>33341 Rusty Ct</t>
  </si>
  <si>
    <t xml:space="preserve"> Winchester</t>
  </si>
  <si>
    <t>Beryalai Nazari, Soondus Yammout Nazari</t>
  </si>
  <si>
    <t>B: 310-902-1068 S:714-365-3002</t>
  </si>
  <si>
    <t>bnazar90@yahoo.com, luxsoo92@gmail.com</t>
  </si>
  <si>
    <t>Chris Hein</t>
  </si>
  <si>
    <t>chein@taylormorrison.com, 858-775-4346</t>
  </si>
  <si>
    <t>622 Clarence Muse Loop</t>
  </si>
  <si>
    <t>Keith Wayne Lewis, Jessica Michelle Lewis</t>
  </si>
  <si>
    <t>K:951-447-2507, J:951-447-5710</t>
  </si>
  <si>
    <t>kthlewis3@gmail.com, Jmlewis0503@gmail.com</t>
  </si>
  <si>
    <t>Richmond</t>
  </si>
  <si>
    <t>120 Zermat Dr.</t>
  </si>
  <si>
    <t>Crestline</t>
  </si>
  <si>
    <t>Robert A. Hankin, Peggy F. Hankin</t>
  </si>
  <si>
    <t>hankinb54@msn.com, Mysticalforest4@msn.com</t>
  </si>
  <si>
    <t>705 Sungold Way</t>
  </si>
  <si>
    <t>Justin Nixon,  Sasha Nixon</t>
  </si>
  <si>
    <t>760-546-8481</t>
  </si>
  <si>
    <t>bignix72@yahoo.com, sing_760@hotmail.com</t>
  </si>
  <si>
    <t>Corinthian Title</t>
  </si>
  <si>
    <t>Penny Mac</t>
  </si>
  <si>
    <t>Michelle Martinez</t>
  </si>
  <si>
    <t>858-568-0059, michellesdhome@gmail</t>
  </si>
  <si>
    <t>27701 Murrieta Rd #38</t>
  </si>
  <si>
    <t>Joseph Bird</t>
  </si>
  <si>
    <t>360-409-6688</t>
  </si>
  <si>
    <t>joebird806@gmail.com</t>
  </si>
  <si>
    <t>Porch Light Escrow</t>
  </si>
  <si>
    <t>candice@providentrealestate.com,listingmanager@providentrealestate.com</t>
  </si>
  <si>
    <t>Zillow Organic</t>
  </si>
  <si>
    <t>3/5 (C)</t>
  </si>
  <si>
    <t>12011 Reche Canyon</t>
  </si>
  <si>
    <t xml:space="preserve"> Colton</t>
  </si>
  <si>
    <t>Ronda Bryce</t>
  </si>
  <si>
    <t>Mike Yoon</t>
  </si>
  <si>
    <t>808-220-8472</t>
  </si>
  <si>
    <t>mhy82754@gmail.com</t>
  </si>
  <si>
    <t>​T​OWN &amp; COUNTRY ESCROW CORP.</t>
  </si>
  <si>
    <t>James Powell</t>
  </si>
  <si>
    <t>jp@jimpowellteam.com, megan.retc4u@gmail.com,951-733-2911</t>
  </si>
  <si>
    <t>5164 Indian Ct</t>
  </si>
  <si>
    <t>Diane Caddy</t>
  </si>
  <si>
    <t xml:space="preserve">Reid Family Revocable Living Trust (Susan Reid) </t>
  </si>
  <si>
    <t>909-772-3315</t>
  </si>
  <si>
    <t xml:space="preserve">reidsonthelake@verizon.net </t>
  </si>
  <si>
    <t>Chicago Title Company</t>
  </si>
  <si>
    <t>Doug Thompson</t>
  </si>
  <si>
    <t>doug@pacificcoastre.net, 760-807-2850</t>
  </si>
  <si>
    <t>5713 Canoe Dr</t>
  </si>
  <si>
    <t>William R Willougby</t>
  </si>
  <si>
    <t>951-317-3915</t>
  </si>
  <si>
    <t>willoughbyb@yahoo.com</t>
  </si>
  <si>
    <t>Ken Shah</t>
  </si>
  <si>
    <t>ken@kenshah.com, 909-803-7676</t>
  </si>
  <si>
    <t>39195 Avenida Antonovich</t>
  </si>
  <si>
    <t>Kay Patel</t>
  </si>
  <si>
    <t>Lisa Pearl Ritter, Ronald Herwin Ritter</t>
  </si>
  <si>
    <t>L:858-449-4141</t>
  </si>
  <si>
    <t>designerlifeco@gmail.com, geeks.computerpro@gmail.com</t>
  </si>
  <si>
    <t>Arbor Financial Gruop</t>
  </si>
  <si>
    <t>Kimberly Ingram</t>
  </si>
  <si>
    <t>greatbuy4u@live.com, teamingram951@outlook.com, 951-733-2825</t>
  </si>
  <si>
    <t>1544 La Vine</t>
  </si>
  <si>
    <t>Everhouse Home And Design (Ashley Cleary, Signer , Bryan Cleary, Signer)</t>
  </si>
  <si>
    <t>951-397-1431</t>
  </si>
  <si>
    <t>mrsashcleary@gmail.com, bryanc9488@gmail.com</t>
  </si>
  <si>
    <t>Nova Home Loans</t>
  </si>
  <si>
    <t>Kaitlin Kaiser</t>
  </si>
  <si>
    <t>kaitlin.kaiser@compass.com, (858)692-3350</t>
  </si>
  <si>
    <t>25202 Jutland Dr</t>
  </si>
  <si>
    <t>Ricardo Rocha Valenzuela, Esmeralda Gomez Murillo</t>
  </si>
  <si>
    <t>ricardorochav760@gmail.com,​esmeralda25842@gmail.com</t>
  </si>
  <si>
    <t>OSN Escrow</t>
  </si>
  <si>
    <t>OSN Title</t>
  </si>
  <si>
    <t>Jessica Nieto</t>
  </si>
  <si>
    <t>Jessica@JessicaNieto.com,tcteam@thetchouse.com</t>
  </si>
  <si>
    <t>2041 Woodland Glen</t>
  </si>
  <si>
    <t>Pinky Minerva</t>
  </si>
  <si>
    <t>619-985-4802, pinky@deanaguilargroup.com</t>
  </si>
  <si>
    <t>6173 Indigo Pl</t>
  </si>
  <si>
    <t>Cristian Torres, Yessyca Reyes Lopez</t>
  </si>
  <si>
    <t>C: (818​)462-3699​, Y​: (909​)462-2214</t>
  </si>
  <si>
    <t>cristnyes55@gmail.com, tyessi02@gmail.com</t>
  </si>
  <si>
    <t>Louis Atoui</t>
  </si>
  <si>
    <t>​louisatoui3@yahoo.com,carealtytransaction@gmail.com - ​714-801-9831</t>
  </si>
  <si>
    <t>3500 Buchanan St. #30</t>
  </si>
  <si>
    <t>Monique Lewis</t>
  </si>
  <si>
    <t>Ambariana Blanco &amp; Armando Blanco Ocon</t>
  </si>
  <si>
    <t>714-605-3854</t>
  </si>
  <si>
    <t>amberblanco1167@gmail.com, amber.blanco67@icloud.com</t>
  </si>
  <si>
    <t>17 Yarnall Place</t>
  </si>
  <si>
    <t>Redwood</t>
  </si>
  <si>
    <t>3/9 (C) Clients info-name, phone, email not provided, cannot serach from FUB</t>
  </si>
  <si>
    <t xml:space="preserve">1670 Alta Vista Drive </t>
  </si>
  <si>
    <t>The John Mearns and Cynthia Best Revocable Living Trust (John Mearns, Trustee - Cynthia Mearns, Trustee)</t>
  </si>
  <si>
    <t>714-615-6080</t>
  </si>
  <si>
    <t>john@yknotranch.net,cynthiabest007@gmail.com</t>
  </si>
  <si>
    <t>Elvira Salazar</t>
  </si>
  <si>
    <t>elvida.myagent@gmail.com,crystal.transactionmonster@gmail.com</t>
  </si>
  <si>
    <t>3075 Desiree Drive</t>
  </si>
  <si>
    <t>Oscar Guillermo Barrera Navarro</t>
  </si>
  <si>
    <t>820-234-6692</t>
  </si>
  <si>
    <t>neko730513@icloud.com</t>
  </si>
  <si>
    <t>Caryn Burroughs</t>
  </si>
  <si>
    <t>Howard Norton</t>
  </si>
  <si>
    <t>24897 Basel Dr</t>
  </si>
  <si>
    <t>Jeanette Simms</t>
  </si>
  <si>
    <t>Michelle Avila</t>
  </si>
  <si>
    <t>818-618-9078</t>
  </si>
  <si>
    <t xml:space="preserve">M.Avila106@outlook.com </t>
  </si>
  <si>
    <t>New American Funding</t>
  </si>
  <si>
    <t>Ardee Jagt</t>
  </si>
  <si>
    <t>AJYACHT@gmail.com, 909-520-9179</t>
  </si>
  <si>
    <t xml:space="preserve">3956 Lavine Way #110 </t>
  </si>
  <si>
    <t>Steven Londagin, Marjorie Londagin</t>
  </si>
  <si>
    <t>S:951-751-3092, M:951-415-7747</t>
  </si>
  <si>
    <t>slondagin@msn.com margielondagin05@gmail.com</t>
  </si>
  <si>
    <t>Coast Cities Escrow</t>
  </si>
  <si>
    <t>TDR Mortgage</t>
  </si>
  <si>
    <t>​Joy Olea</t>
  </si>
  <si>
    <t>JoyOlea@FirstTeam.com,kristinedortch@firstteam.com</t>
  </si>
  <si>
    <t>23785 Corte Carrio</t>
  </si>
  <si>
    <t xml:space="preserve">Erick G Ocampo, Maria F Ocampo                </t>
  </si>
  <si>
    <t>909-851-7588</t>
  </si>
  <si>
    <t>erickgocampo@aol.com; maryfocampo@aol.com</t>
  </si>
  <si>
    <t>Linked Escrow</t>
  </si>
  <si>
    <t>U.S Bank</t>
  </si>
  <si>
    <t xml:space="preserve">First American Title - Matt Akers  </t>
  </si>
  <si>
    <t>​Kevin Laurent</t>
  </si>
  <si>
    <t>​kevinlaurent@firstteam.com, lisashuy@firstteam.com - ​​858​-334-8783</t>
  </si>
  <si>
    <t>Seller SOI+5 30/70</t>
  </si>
  <si>
    <t>108 S Chestnut St.</t>
  </si>
  <si>
    <t>Carmen C Castillo Trust</t>
  </si>
  <si>
    <t>951-473-5475</t>
  </si>
  <si>
    <t>ocast1379@gmail.com</t>
  </si>
  <si>
    <t xml:space="preserve"> EBS Escrow_Jacquie Williams</t>
  </si>
  <si>
    <t>3/11 (C)</t>
  </si>
  <si>
    <t>Bravo A&amp;P Properties LLC</t>
  </si>
  <si>
    <t>714-936-6345</t>
  </si>
  <si>
    <t>13207 Eastview Ln.</t>
  </si>
  <si>
    <t>Le Shun Elena Patton Phillips, Demarco L Lampkin</t>
  </si>
  <si>
    <t>424-789-0183</t>
  </si>
  <si>
    <t>lpatton111@icloud.com, demarco4lamp@gmail.com</t>
  </si>
  <si>
    <t>Escrow Resources Inc.</t>
  </si>
  <si>
    <t>Horizon Financial</t>
  </si>
  <si>
    <t>Corinthians Title Co.</t>
  </si>
  <si>
    <t>Rebecca Leal</t>
  </si>
  <si>
    <t>rebecleal@aol.com,silviaw@cbtopteamca.com</t>
  </si>
  <si>
    <t>29326 Carmel Rd</t>
  </si>
  <si>
    <t>Erick G Ocampo, Maria F. Ocampo</t>
  </si>
  <si>
    <t>​erickgocampo@aol.com,​maryfocampo@aol.com</t>
  </si>
  <si>
    <t xml:space="preserve"> Fidelity National Title</t>
  </si>
  <si>
    <t>​Kristi Harden</t>
  </si>
  <si>
    <t>Kristi@KristiHardenRealEstate.com,Ashley@AARE.com</t>
  </si>
  <si>
    <t>450 Lisbon St.</t>
  </si>
  <si>
    <t>​​Cory Real Estate Partners LLC</t>
  </si>
  <si>
    <t>​blake@coryhometeam.com</t>
  </si>
  <si>
    <t>​V​irtual Lending</t>
  </si>
  <si>
    <t>​Karina Macias</t>
  </si>
  <si>
    <t>​Karina@thesandovalteam.net;​​ 909​-827-8732</t>
  </si>
  <si>
    <t>1/22 (P) Personal-Blake's. Not in FUB</t>
  </si>
  <si>
    <t>29825 Porth Rd</t>
  </si>
  <si>
    <t xml:space="preserve">Judy Garnet </t>
  </si>
  <si>
    <t>619-549-2763</t>
  </si>
  <si>
    <t xml:space="preserve">judygarnet@yahoo.com </t>
  </si>
  <si>
    <t>To follow</t>
  </si>
  <si>
    <t xml:space="preserve">Felicia Pearce </t>
  </si>
  <si>
    <t>felicia@abundancerealestate.com, 951-483-7400</t>
  </si>
  <si>
    <t>25180 Juno St</t>
  </si>
  <si>
    <t xml:space="preserve">Kevin McCaster </t>
  </si>
  <si>
    <t>714-585-1468</t>
  </si>
  <si>
    <t xml:space="preserve">black9yt@sbcglobal.net </t>
  </si>
  <si>
    <t>Kelley Hansen</t>
  </si>
  <si>
    <t>kelleybrieann760@gmail.com, Kelley Hansen</t>
  </si>
  <si>
    <t>Showcase Token</t>
  </si>
  <si>
    <t>27250 Murrieta Rd, #378</t>
  </si>
  <si>
    <t>Albert J. Kuk</t>
  </si>
  <si>
    <t>​360-649-6772</t>
  </si>
  <si>
    <t>​jkuk@mail.umassglobal.edu</t>
  </si>
  <si>
    <t>​Sonia R. Segura</t>
  </si>
  <si>
    <t>​soniarsegura@gmail.com;moniqueblaschak@firstteam.com</t>
  </si>
  <si>
    <t>4000 Pierce St. #101</t>
  </si>
  <si>
    <t>The Gloria Henrietta Morton Trust dated 06/05/2024</t>
  </si>
  <si>
    <t>402-689-5465</t>
  </si>
  <si>
    <t>​jill_henderson3@hotmail.com</t>
  </si>
  <si>
    <t>3/25 (C) not found on CHT LIsting Board)</t>
  </si>
  <si>
    <t>​Leonard Zaragoza Jr. Deborah  Ann Zaragoza</t>
  </si>
  <si>
    <t>​L: 951-264-1849 D:​951-264-3849</t>
  </si>
  <si>
    <t>​Woodyshomeservice@yahoo.com,​Debwaza@gmail.com</t>
  </si>
  <si>
    <t>254 Saguaro Pl</t>
  </si>
  <si>
    <t xml:space="preserve">Daniel Kennedy Mascaro </t>
  </si>
  <si>
    <t>850-778-9255</t>
  </si>
  <si>
    <t>dkmascaro@gmail.com</t>
  </si>
  <si>
    <t>Stone Bridge Mortgage</t>
  </si>
  <si>
    <t xml:space="preserve">Michelle Martinez </t>
  </si>
  <si>
    <t>michellesdhome@gmail.com, 858-568-0059</t>
  </si>
  <si>
    <t>2520 14th Street</t>
  </si>
  <si>
    <t>David Ballesteros, Robert R. Ballesteros</t>
  </si>
  <si>
    <t>D:(951)315-7621, R:(951)333-9054</t>
  </si>
  <si>
    <t>Ballesteros9396@gmail.com, M841acbrr@outlook.com</t>
  </si>
  <si>
    <t>​Nathalie Abdoyan</t>
  </si>
  <si>
    <t>natonat36@gmai​l.com, vickicarroll730@yahoo.com - 626​-815-0727</t>
  </si>
  <si>
    <t>3/30 (C)</t>
  </si>
  <si>
    <t>12 Via De La Valle</t>
  </si>
  <si>
    <t>Porsche Calhoun, Kenneth Fritz-Calhoun</t>
  </si>
  <si>
    <t>​323​-338-2018</t>
  </si>
  <si>
    <t>​​Pcalhoun_usc@yahoo.com,​​k_calhoun83@yahoo.com</t>
  </si>
  <si>
    <t>Forward Mortgage</t>
  </si>
  <si>
    <t>Adrian Jimenez</t>
  </si>
  <si>
    <t>milestonerealtygroup@gmail.com,ctclilly@guzmantc.com</t>
  </si>
  <si>
    <t>3317 Via Altamira</t>
  </si>
  <si>
    <t>Fallbrook</t>
  </si>
  <si>
    <t xml:space="preserve">​John Carbone
</t>
  </si>
  <si>
    <t>760-917-4063</t>
  </si>
  <si>
    <t xml:space="preserve">johncarbone2000@yahoo.com
</t>
  </si>
  <si>
    <t>Adams &amp; Barnes Escrow</t>
  </si>
  <si>
    <t>Gina Arias</t>
  </si>
  <si>
    <t>ginaariascarealtor@gmail.com,annie@c21ab.com</t>
  </si>
  <si>
    <t>3496 Briarvale St</t>
  </si>
  <si>
    <t>James Andrew Brunt</t>
  </si>
  <si>
    <t>(714)863-4357</t>
  </si>
  <si>
    <t>nibrunt1960@yahoo.com</t>
  </si>
  <si>
    <t>First Class Funding,Inc</t>
  </si>
  <si>
    <t xml:space="preserve">​Steven Aguilar  </t>
  </si>
  <si>
    <t xml:space="preserve">yourhomesold88@gmail.com,​ john@centraltransaction.com
</t>
  </si>
  <si>
    <t>On The Move Van</t>
  </si>
  <si>
    <t>1427 Sierra Dr</t>
  </si>
  <si>
    <t>Wendy S. Zippwald, Darlene S. Zippwald, Scott  Zippwald</t>
  </si>
  <si>
    <t>S: 240-993-6649, W:509-475-8081</t>
  </si>
  <si>
    <t>​​​zippwald@yahoo.com, ​Wzippwald@yahoo.com</t>
  </si>
  <si>
    <t>3/18 (C)</t>
  </si>
  <si>
    <t>Thomas R Hilbrands</t>
  </si>
  <si>
    <t>(951)233-7916</t>
  </si>
  <si>
    <t>TomRH03@gmail.com</t>
  </si>
  <si>
    <t xml:space="preserve"> ALL CASH</t>
  </si>
  <si>
    <t>5540 Rainbow Heights Rd</t>
  </si>
  <si>
    <t xml:space="preserve">Saghar Mozaffari </t>
  </si>
  <si>
    <t>949-226-9783</t>
  </si>
  <si>
    <t xml:space="preserve">sagharmozaffari@yahoo.com </t>
  </si>
  <si>
    <t>Rural 1st</t>
  </si>
  <si>
    <t>Elizabeth Lopez</t>
  </si>
  <si>
    <t>elizabeth@mogul-realestate.com, 951-692-8475</t>
  </si>
  <si>
    <t>29864 Warm Sands Dr</t>
  </si>
  <si>
    <t>Jay Apostol Fontelera</t>
  </si>
  <si>
    <t>951-795-1174</t>
  </si>
  <si>
    <t>jay.fontelera@gmail.com</t>
  </si>
  <si>
    <t>Escrow Edge</t>
  </si>
  <si>
    <t xml:space="preserve">Elizabeth Jones </t>
  </si>
  <si>
    <t>liz@jonesrealtysocal.com, 951-970-4771</t>
  </si>
  <si>
    <t>27250 Murrieta Rd #304</t>
  </si>
  <si>
    <t xml:space="preserve">Wanda Montano,Gerado Montano </t>
  </si>
  <si>
    <t>W: (619) 564-0451</t>
  </si>
  <si>
    <t>wandycolon1968@yahoo.com,g2montano@gmail.com</t>
  </si>
  <si>
    <t>Menifee Valley Escrow</t>
  </si>
  <si>
    <t>Dale Hebert</t>
  </si>
  <si>
    <t>teamhebert@aol.com,marcia4tc@gmail.com</t>
  </si>
  <si>
    <t>26672 Mark Twain Ct</t>
  </si>
  <si>
    <t xml:space="preserve">Lavita Henry, Joseph Henry       ‬        </t>
  </si>
  <si>
    <t xml:space="preserve"> ‭L:(909)767-8943‬, ‭J:(602)538-7921</t>
  </si>
  <si>
    <t>Jhenry767@yahoo.com, joseph@assuredaudit.com</t>
  </si>
  <si>
    <t>Annie Le</t>
  </si>
  <si>
    <t>anniele.realty@gmail.com,pam247re@hotmail.com</t>
  </si>
  <si>
    <t>3/19 (C)</t>
  </si>
  <si>
    <t>4240 Harbinson Ave.</t>
  </si>
  <si>
    <t>​951-219-9203</t>
  </si>
  <si>
    <t>customercare@coryhometeam.com</t>
  </si>
  <si>
    <t>LOWER</t>
  </si>
  <si>
    <t>Manny Mora</t>
  </si>
  <si>
    <t>mora1financial@gmail.com,colleenslamkowski.tc@gmail.com</t>
  </si>
  <si>
    <t>4/1 (C) Stratton Lux. Not in FUB</t>
  </si>
  <si>
    <t>29130 Prestwick Road</t>
  </si>
  <si>
    <t>Kathleen Allen</t>
  </si>
  <si>
    <t>Kimberly L. Hart, Amy Agustin</t>
  </si>
  <si>
    <t>K:951-231-8444, 951-824-0782</t>
  </si>
  <si>
    <t>Danclr@hotmail.com, omyluckystars4@gmail.com</t>
  </si>
  <si>
    <t>Prosperity Home Mortgage, LLC</t>
  </si>
  <si>
    <t>Marcellus Limar</t>
  </si>
  <si>
    <t>MalikLimar@gmail.com, 619-674-5244</t>
  </si>
  <si>
    <t>29102 Promenade Rd</t>
  </si>
  <si>
    <t xml:space="preserve">Crystal ​Castro​, Niles Thomas ​England </t>
  </si>
  <si>
    <t>C: 619-565-0113 N: 760-450-4770</t>
  </si>
  <si>
    <t>harrcast@icloud.com,shadowjak87@gmail.com</t>
  </si>
  <si>
    <t>Escrow Edge Inc</t>
  </si>
  <si>
    <t>Flagstar Bank</t>
  </si>
  <si>
    <t>Nicole Farnum</t>
  </si>
  <si>
    <t>nicole_farnum@yahoo.com,ommyandmetc@gmail.com</t>
  </si>
  <si>
    <t>880 Home Ave Unit G</t>
  </si>
  <si>
    <t>The Kathleen Hahn Living Trust (Kathleen Hahn, Trustee)</t>
  </si>
  <si>
    <t>760-207-3768</t>
  </si>
  <si>
    <t>Khahn@aldrichadvisors.com</t>
  </si>
  <si>
    <t>ARBOR Financial Group</t>
  </si>
  <si>
    <t>David Vieira</t>
  </si>
  <si>
    <t>davevieirarealestate@gmail.com,tc.rebeccasmith@gmail.com</t>
  </si>
  <si>
    <t>Kay gets 75% of her deals from 1/1/26- 4/1/26</t>
  </si>
  <si>
    <t>1422 E Sandison St</t>
  </si>
  <si>
    <t>Wilmington</t>
  </si>
  <si>
    <t>John D Cruz, Francisco Cruz</t>
  </si>
  <si>
    <t>J:562-896-3488, F:562-896-3946</t>
  </si>
  <si>
    <t>jdc101959@gmail.com, 8francr@gmail.com</t>
  </si>
  <si>
    <t>Top Value Escrow</t>
  </si>
  <si>
    <t>The One Brokerage</t>
  </si>
  <si>
    <t>Angelica Suarez</t>
  </si>
  <si>
    <t>angelica@angelicasuarez.com, 310-261-7700</t>
  </si>
  <si>
    <t>22960 Penasco Cir</t>
  </si>
  <si>
    <t>Nuevo</t>
  </si>
  <si>
    <t>Isy Ota-Oro</t>
  </si>
  <si>
    <t>Jovanni Bastidas</t>
  </si>
  <si>
    <t>951-420-4599</t>
  </si>
  <si>
    <t>Bastidas_951@yahoo.com</t>
  </si>
  <si>
    <t>Haven View Escrow</t>
  </si>
  <si>
    <t>Altura Credit Union</t>
  </si>
  <si>
    <t>Jessica@Jessicanieto.com, 562-714-2176</t>
  </si>
  <si>
    <t>23304 Copa De Oro Court</t>
  </si>
  <si>
    <t>Krystle McGraw, Jeremy Joseph Brown</t>
  </si>
  <si>
    <t>krystlelynn808@gmail.com</t>
  </si>
  <si>
    <t>Stephanie Shadduck</t>
  </si>
  <si>
    <t>SShadduck@drhorton.com - 951-731-8780</t>
  </si>
  <si>
    <t>29844 Prell Ct</t>
  </si>
  <si>
    <t>Judy Liang Hong, Dennis E. Rush</t>
  </si>
  <si>
    <t>J:858-436-6298 D:858-735-3148</t>
  </si>
  <si>
    <t>judyhong25@yahoo.com, derush1024@gmail.com</t>
  </si>
  <si>
    <t>Mortgage Veteran</t>
  </si>
  <si>
    <t>Araceli Corona</t>
  </si>
  <si>
    <t>yourfavoriterealtorceli@gmail.com, simplytc247@gmail.com</t>
  </si>
  <si>
    <t>3/31 (C)</t>
  </si>
  <si>
    <t>7552 Paramount Ct.</t>
  </si>
  <si>
    <t>Rancho Cucamonga</t>
  </si>
  <si>
    <t>Steven Ronzoni</t>
  </si>
  <si>
    <t>909-681-6811</t>
  </si>
  <si>
    <t>ronzons@charter1.net</t>
  </si>
  <si>
    <t>splits were approved, exp is questioning the $1345 on each side and TC fee on each side</t>
  </si>
  <si>
    <t>3/28 (C)</t>
  </si>
  <si>
    <t>Cameron Tiemann</t>
  </si>
  <si>
    <t>909-367-5511</t>
  </si>
  <si>
    <t>Four Clover Home Loans</t>
  </si>
  <si>
    <t>23143 Canyon Estates</t>
  </si>
  <si>
    <t>William Stuart Remmel, Alma Rose Remmel</t>
  </si>
  <si>
    <t>W:714-365-5157, A:562-650-4497</t>
  </si>
  <si>
    <t xml:space="preserve">Billr@p5graphics.net, almag@coylerepro.com </t>
  </si>
  <si>
    <t>To Follow</t>
  </si>
  <si>
    <t>Jessica Bernal</t>
  </si>
  <si>
    <t>realtor.jessicab@gmail.com, 909-957-2180</t>
  </si>
  <si>
    <t>4455 Brighton Ct</t>
  </si>
  <si>
    <t xml:space="preserve">Leedominique Wiggins Palmer </t>
  </si>
  <si>
    <t>442-278-9484</t>
  </si>
  <si>
    <t>folkster34@gmail.com</t>
  </si>
  <si>
    <t>Tri-Liberty Escrow</t>
  </si>
  <si>
    <t xml:space="preserve">George Williams </t>
  </si>
  <si>
    <t>gjrwilliams@hotmail.com, 951-692-1307</t>
  </si>
  <si>
    <t>5497 Gavin Way</t>
  </si>
  <si>
    <t>Sarah Kemper Marin</t>
  </si>
  <si>
    <t>760-626-7501</t>
  </si>
  <si>
    <t>marinfnp@gmail.com</t>
  </si>
  <si>
    <t>To follow as per Cavin</t>
  </si>
  <si>
    <t>Lennar Homes</t>
  </si>
  <si>
    <t>25818 Iris Ave #C</t>
  </si>
  <si>
    <t xml:space="preserve">Wei Chang </t>
  </si>
  <si>
    <t>620-875-9524</t>
  </si>
  <si>
    <t xml:space="preserve">wcfzz1@yahoo.com </t>
  </si>
  <si>
    <t>All Good Escrow, Inc.</t>
  </si>
  <si>
    <t>Loan Depot</t>
  </si>
  <si>
    <t>California Best Title</t>
  </si>
  <si>
    <t xml:space="preserve">Li Jung Huang </t>
  </si>
  <si>
    <t>BestOneRealty@hotmail.com, 626-607-7153</t>
  </si>
  <si>
    <t>4/10 (C)</t>
  </si>
  <si>
    <t>28751 Bradley Rd</t>
  </si>
  <si>
    <t xml:space="preserve">Juan Ramirez, Centeotl Castro </t>
  </si>
  <si>
    <t>J: 818-256-5230, C:818-272-3091</t>
  </si>
  <si>
    <t>ramlex66@yahoo.com, centy_71@hotmail.com</t>
  </si>
  <si>
    <t>LaRue Escrow</t>
  </si>
  <si>
    <t xml:space="preserve"> Zillow Home Loans</t>
  </si>
  <si>
    <t xml:space="preserve"> Karen Freshour-Tamillo</t>
  </si>
  <si>
    <t>lisa@unyquefinancial.com - 909-821-4144</t>
  </si>
  <si>
    <t>465 Maiden Cross Ct</t>
  </si>
  <si>
    <t>Favian Flores, Leticia Delgado-Flores</t>
  </si>
  <si>
    <t>F:951-295-7533, L:951-295-7531</t>
  </si>
  <si>
    <t>favianflores85@yahoo.com, LDelgado.pro@gmail.com</t>
  </si>
  <si>
    <t>This file fell during a time when we were backdating TC Services, this is approved to not charge</t>
  </si>
  <si>
    <t>1783 Makenna St</t>
  </si>
  <si>
    <t>Elizabeth Delgado</t>
  </si>
  <si>
    <t>951-537-8513</t>
  </si>
  <si>
    <t>elizdelg90@gmail.com</t>
  </si>
  <si>
    <t>8214 Jadeite Ave</t>
  </si>
  <si>
    <t>Rex Hamilton</t>
  </si>
  <si>
    <t>(760) 364-2790</t>
  </si>
  <si>
    <t>hamcam1@mac.com</t>
  </si>
  <si>
    <t>April</t>
  </si>
  <si>
    <t>2975 Dos Lomas</t>
  </si>
  <si>
    <t>Cornerstone Investing LLC/ Ashley Cleary</t>
  </si>
  <si>
    <t>(951) 397-1431</t>
  </si>
  <si>
    <t>mrsashcleary@gmail.com</t>
  </si>
  <si>
    <t>Elite Escrow</t>
  </si>
  <si>
    <t>Express Lending</t>
  </si>
  <si>
    <t>1155 S Riverside #22</t>
  </si>
  <si>
    <t>Rialto</t>
  </si>
  <si>
    <t>Bryan Toscano, Makaila Griego</t>
  </si>
  <si>
    <t xml:space="preserve">909-362-7328 </t>
  </si>
  <si>
    <t>Bryan.Toscano711@gmail.com,makailagriego@gmail.com</t>
  </si>
  <si>
    <t>Corner Escrow</t>
  </si>
  <si>
    <t>Carlos Anzora</t>
  </si>
  <si>
    <t>admin@thetcboss.com,tc@realtystaff.net,destiny@thetcboss.com</t>
  </si>
  <si>
    <t>Homes.com</t>
  </si>
  <si>
    <t>1385 Via La Presa</t>
  </si>
  <si>
    <t>Stephanie L. Woods</t>
  </si>
  <si>
    <t>S: (541)536-7551</t>
  </si>
  <si>
    <t>r-swoods@hotmail.com</t>
  </si>
  <si>
    <t>​C​abrillo Mortgage</t>
  </si>
  <si>
    <t>Jacob Chambers</t>
  </si>
  <si>
    <t>​socalresidential1@gmail.com,Clarissa@YourUltimateTC.com ​​858​-568-3105</t>
  </si>
  <si>
    <t>2830 Banyan Tree Ln</t>
  </si>
  <si>
    <t>Tram Bich Zeitoun</t>
  </si>
  <si>
    <t>619-251-3330</t>
  </si>
  <si>
    <t>tramzeitoun54@gmail.com</t>
  </si>
  <si>
    <t>Melody Waddell</t>
  </si>
  <si>
    <t>Zillow Home Loans Brandon Webb</t>
  </si>
  <si>
    <t>other</t>
  </si>
  <si>
    <t>First american</t>
  </si>
  <si>
    <t>Laura Espey</t>
  </si>
  <si>
    <t>realtorlaurenespey@gmail.com, 951-623-6955</t>
  </si>
  <si>
    <t>27808 Pluto Ct.</t>
  </si>
  <si>
    <t>Highland</t>
  </si>
  <si>
    <t>Denise D. Cervera</t>
  </si>
  <si>
    <t>909-486-1546</t>
  </si>
  <si>
    <t>denisecervera@yahoo.com</t>
  </si>
  <si>
    <t>OSN Title Company</t>
  </si>
  <si>
    <t>4/10 C not on the CHT Listing Board</t>
  </si>
  <si>
    <t>3480 Claremont St</t>
  </si>
  <si>
    <t>Edward Cazares</t>
  </si>
  <si>
    <t>626-818-9086</t>
  </si>
  <si>
    <t>edward.cazares79@gmail.com</t>
  </si>
  <si>
    <t>Palm Tree Escrow, Inc.</t>
  </si>
  <si>
    <t>Jennifer Wentz</t>
  </si>
  <si>
    <t>jennifer.wentz@bhhscaproperties.com, 951-704-8736</t>
  </si>
  <si>
    <t>Credit to Seller to keep the deal together.</t>
  </si>
  <si>
    <t>12730 8th St.</t>
  </si>
  <si>
    <t>Yucaipa</t>
  </si>
  <si>
    <t>Dan Heersema, Joni Heerseema</t>
  </si>
  <si>
    <t>(818)426-1071,  (909)518-0163</t>
  </si>
  <si>
    <t>dheersema@roadrunner.com, jhsupermom@gmail.com</t>
  </si>
  <si>
    <t>16704 Ukiah St.</t>
  </si>
  <si>
    <t xml:space="preserve">Victorville </t>
  </si>
  <si>
    <t>Ashley M. Medina</t>
  </si>
  <si>
    <t>(760) 628-5579</t>
  </si>
  <si>
    <t>ashley_medina@icloud.com</t>
  </si>
  <si>
    <t>Imperium Escrow</t>
  </si>
  <si>
    <t>Christian Blasius</t>
  </si>
  <si>
    <t>christian.blasius@outlook.com,remaxfreedomtc@hotmail.com</t>
  </si>
  <si>
    <t>See Column AJ for credit from Alexandra's commission</t>
  </si>
  <si>
    <t>40156 White Leaf Ln</t>
  </si>
  <si>
    <t xml:space="preserve">Dean West </t>
  </si>
  <si>
    <t>347-664-5405</t>
  </si>
  <si>
    <t>businessofthewest@gmail.com</t>
  </si>
  <si>
    <t>Veterans United Home Loans</t>
  </si>
  <si>
    <t xml:space="preserve">Eric Gulal </t>
  </si>
  <si>
    <t>eric.gulal@thewbgroup.com, 619-777-0883</t>
  </si>
  <si>
    <t>Rachele owes $200; follow up with dana before entering splits- needs to be paid through store- invoice sent through store 4/10 and I communicated with Rachele (dana)</t>
  </si>
  <si>
    <t>8423 Melrose Ln.</t>
  </si>
  <si>
    <t xml:space="preserve"> El Cajon</t>
  </si>
  <si>
    <t>Tyler Bernetskie</t>
  </si>
  <si>
    <t>The Dwight Goodman Trust (​Caroline Y. Snelling)</t>
  </si>
  <si>
    <t>858-405-2081</t>
  </si>
  <si>
    <t>​ladycys@aol.com</t>
  </si>
  <si>
    <t>​Barrett Financial Group, L.L.C</t>
  </si>
  <si>
    <t>​Shaline Heng</t>
  </si>
  <si>
    <t>​shalineheng@gmail.com, ​​tc@wererealestate.com, 626​-537-5655</t>
  </si>
  <si>
    <t>agent is listed as Blake, but is actually Tyler until his license is fixed. change to notes; this is Tyler's SOI. Tyler Owes Advance, per kiona we can waive the tc and listing add on fee</t>
  </si>
  <si>
    <t>4/10 (C) Not found on AGents listing Board</t>
  </si>
  <si>
    <t>405 Willow Dr.</t>
  </si>
  <si>
    <t>Stratton Lux, LLC</t>
  </si>
  <si>
    <t>blake@fasthousesale.com</t>
  </si>
  <si>
    <t>4/10 (C) Stratton Lux not in FUB</t>
  </si>
  <si>
    <t>34842 Lyn Ave.</t>
  </si>
  <si>
    <t>Jessica Dominguez, Freddy Dominguez</t>
  </si>
  <si>
    <t>J: (424) 224-2613</t>
  </si>
  <si>
    <t>rodriguezjessica310@yahoo.com, Freddy.d@atmlax.com</t>
  </si>
  <si>
    <t>0 Junipero Rd</t>
  </si>
  <si>
    <t xml:space="preserve">Adrian Dena Castaneda, Andrea Dena </t>
  </si>
  <si>
    <t>Adrian:951-483-7024, Andrea:951-613-7876</t>
  </si>
  <si>
    <t xml:space="preserve">adriandena.27@gmail.com, andrea.gaytan.2a@gmail.com </t>
  </si>
  <si>
    <t>The Escrow Spectrum, Inc.</t>
  </si>
  <si>
    <t>Deborah Allen</t>
  </si>
  <si>
    <t>realestatecowgirl@gmail.com, 951-977-0999</t>
  </si>
  <si>
    <t>5052 Clematis Ct</t>
  </si>
  <si>
    <t>Jurapa Valley</t>
  </si>
  <si>
    <t>David  Martinez,Carlos  Martinez</t>
  </si>
  <si>
    <t>D: ​909​-992-6968 C:​951​-538-3245</t>
  </si>
  <si>
    <t>​martinezda86@yahoo.com,​Carlosmo1@verizon.net</t>
  </si>
  <si>
    <t>​A​strid S Mitchell</t>
  </si>
  <si>
    <t>AstridMichelRealtor1@gmail.com,​951-751-9355</t>
  </si>
  <si>
    <t>22813 Via Santana</t>
  </si>
  <si>
    <t>c/o Isy Ota-Oro</t>
  </si>
  <si>
    <t xml:space="preserve">Maria B Padilla </t>
  </si>
  <si>
    <t>951-445-3635</t>
  </si>
  <si>
    <t xml:space="preserve">padillaberna@gmail.com </t>
  </si>
  <si>
    <t>Martha Morua</t>
  </si>
  <si>
    <t>martharmorua@gmail.com, 951-907-0656</t>
  </si>
  <si>
    <t>reminder this is being split between Bridget and Isy. 60% Bridget and 40% Isy. Isa still needs to pay her New Agent 5% to bridget</t>
  </si>
  <si>
    <t>4/22 (C)</t>
  </si>
  <si>
    <t>61 Hummingbird Lane</t>
  </si>
  <si>
    <t xml:space="preserve">Judy Moreno </t>
  </si>
  <si>
    <t xml:space="preserve">951-782-1436 </t>
  </si>
  <si>
    <t>lilljude@hotmail.com</t>
  </si>
  <si>
    <t xml:space="preserve">Freedom Escrow </t>
  </si>
  <si>
    <t xml:space="preserve"> Randy S. Murphy </t>
  </si>
  <si>
    <t>realty4sale@outlook.com,processor@freedomescrow.org</t>
  </si>
  <si>
    <t>4/13 (C)</t>
  </si>
  <si>
    <t>42951 Virgo Ct</t>
  </si>
  <si>
    <t>Jamie Carbajal</t>
  </si>
  <si>
    <t>Jacob Stuck, Haley Stuck</t>
  </si>
  <si>
    <t>J:951-229-4900, H:951-760-4139</t>
  </si>
  <si>
    <t xml:space="preserve">stuck.jacob@yahoo.com, haleyfenner@yahoo.com </t>
  </si>
  <si>
    <t>Vector Escrow Services</t>
  </si>
  <si>
    <t>Schools First Federal Credit Union</t>
  </si>
  <si>
    <t>Ashley Cooper</t>
  </si>
  <si>
    <t>ashley@theashleycooperteam.com, 951-514-7854</t>
  </si>
  <si>
    <t>1010 Terrace Rd # 52</t>
  </si>
  <si>
    <t xml:space="preserve">George Ayala </t>
  </si>
  <si>
    <t>909-784-9375</t>
  </si>
  <si>
    <t xml:space="preserve">gayala3@outlook.com, george@cgflooring.net </t>
  </si>
  <si>
    <t>Hummingbird Escrow</t>
  </si>
  <si>
    <t>First Pacific Financial</t>
  </si>
  <si>
    <t xml:space="preserve">First American </t>
  </si>
  <si>
    <t>Carlos Salazar</t>
  </si>
  <si>
    <t>salazarstarhomes@gmail.com, 909-831-8040</t>
  </si>
  <si>
    <t>Call In</t>
  </si>
  <si>
    <t>4/16 (C)</t>
  </si>
  <si>
    <t>13144 Sycamore Village Dr</t>
  </si>
  <si>
    <t>Norwalk</t>
  </si>
  <si>
    <t xml:space="preserve">Jae Keun Song, Yi Song </t>
  </si>
  <si>
    <t>J:714-944-7056, Y:562-810-3456</t>
  </si>
  <si>
    <t xml:space="preserve">sjkcyh18@gmail.com, tiffianyysongg2@gmail.com </t>
  </si>
  <si>
    <t>Rocket Mortgage, LLC</t>
  </si>
  <si>
    <t>Liting Fang</t>
  </si>
  <si>
    <t>liting@anvilreinc.com, 818-807-7329</t>
  </si>
  <si>
    <t>4/20 (C)</t>
  </si>
  <si>
    <t>1600 E Vista Way</t>
  </si>
  <si>
    <t xml:space="preserve">Shari Lynn Villanueva, Ernest Dee Villanueva </t>
  </si>
  <si>
    <t>S: (619) 318-4583, E: (619) 318-5307</t>
  </si>
  <si>
    <t>Ernshagin@yahoo.com, Qtzmail@yahoo.com</t>
  </si>
  <si>
    <t>Ticor Escrow Services</t>
  </si>
  <si>
    <t>21st Mortgage Corp.</t>
  </si>
  <si>
    <t>​Monique Carrabba</t>
  </si>
  <si>
    <t>monique@carrabbagroup.com,Larry.purfield@compass.com</t>
  </si>
  <si>
    <t>15707 Merced Ave</t>
  </si>
  <si>
    <t>Chino Hills</t>
  </si>
  <si>
    <t xml:space="preserve">Linda S Schroeder </t>
  </si>
  <si>
    <t>909-993-2481</t>
  </si>
  <si>
    <t>morenee63@icloud.com</t>
  </si>
  <si>
    <t>To follow.</t>
  </si>
  <si>
    <t xml:space="preserve">Patrick Truong </t>
  </si>
  <si>
    <t>truongpatrick13@gmail.com, 714-200-7845</t>
  </si>
  <si>
    <t>4/17 (C) No Transaction details in Zillow &amp; FUB</t>
  </si>
  <si>
    <t>32124 Beaulieu Rd</t>
  </si>
  <si>
    <t>The Hilts Family Trust of 2010 dated February 18, 2010 (Douglas Hilts)</t>
  </si>
  <si>
    <t>​951-265-4034</t>
  </si>
  <si>
    <t>​doug.hcg@gmail.com</t>
  </si>
  <si>
    <t>​S​chool First Federal Credit Union</t>
  </si>
  <si>
    <t>Mark Perry</t>
  </si>
  <si>
    <t>​​mark@markperryrealty.com,​TC@homesmartsd.com, 951​-760-8943</t>
  </si>
  <si>
    <t>Seller 70</t>
  </si>
  <si>
    <t>Mel to be billed $599 for showcase photos and sign install</t>
  </si>
  <si>
    <t>4/21 (C)</t>
  </si>
  <si>
    <t>35899 Gatineau St</t>
  </si>
  <si>
    <t xml:space="preserve">Carlos Lozano, Milana Bergara </t>
  </si>
  <si>
    <t>C:832-571-7380, M:562-760-0740</t>
  </si>
  <si>
    <t>cslozano01@gmail.com, milana.bergara@yahoo.com</t>
  </si>
  <si>
    <t>Forefront Escrow Inc.</t>
  </si>
  <si>
    <t>Home Plus Mortgage</t>
  </si>
  <si>
    <t xml:space="preserve">Mac Makowski </t>
  </si>
  <si>
    <t>MacMakowskiHomes@gmail.com, 951-514-1929</t>
  </si>
  <si>
    <t>22952 Joaquin Ridge Drive</t>
  </si>
  <si>
    <t>Greg Braunwalder, Donna Taylor</t>
  </si>
  <si>
    <t>G: (626) 484-7100, D: (760) 846-0788</t>
  </si>
  <si>
    <t>greg@calcpt.com, taylor72699@aol.com</t>
  </si>
  <si>
    <t>Rocket Mortgage</t>
  </si>
  <si>
    <t>​​Eric Ciotola</t>
  </si>
  <si>
    <t>​eric.ciotola@redfin.com, ​raylene.brooks@redfin.com951-445-1039</t>
  </si>
  <si>
    <t>Mario needs to be billed through the store for the deduction amount for Photos,
Showcase Token and Sign Install</t>
  </si>
  <si>
    <t>4448 Owens St # 106</t>
  </si>
  <si>
    <t xml:space="preserve">Ransom Barber </t>
  </si>
  <si>
    <t>951-609-4067</t>
  </si>
  <si>
    <t xml:space="preserve">ransomkb@icloud.com </t>
  </si>
  <si>
    <t>Clever Escrow Inc.</t>
  </si>
  <si>
    <t xml:space="preserve">Diane Cirignani </t>
  </si>
  <si>
    <t>dcirignani@gmail.com, 949-233-3821</t>
  </si>
  <si>
    <t>307 S Smith Ave #5</t>
  </si>
  <si>
    <t>Carmelita Mcghee</t>
  </si>
  <si>
    <t>(831) 345-4631</t>
  </si>
  <si>
    <t>carmelitamcghee@hotmail.com</t>
  </si>
  <si>
    <t>Bernadette Steiner</t>
  </si>
  <si>
    <t>​bernsteiner@dslextreme.com,rsteiner@dslextreme.com, ​​951​-258-8228</t>
  </si>
  <si>
    <t>4/24 (C)</t>
  </si>
  <si>
    <t>17666 High Vista St</t>
  </si>
  <si>
    <t xml:space="preserve">Rickey C. Perry </t>
  </si>
  <si>
    <t>909-214-1784</t>
  </si>
  <si>
    <t xml:space="preserve">Hq22150@protonmail.com </t>
  </si>
  <si>
    <t>Exclusive Mortgage Company</t>
  </si>
  <si>
    <t>Charlene Mariano</t>
  </si>
  <si>
    <t>charlene.mariano@compass.com, 310-927-5509</t>
  </si>
  <si>
    <t>39380 Oak View Ln</t>
  </si>
  <si>
    <t>Cherry Valley</t>
  </si>
  <si>
    <t>​Esmeralda Yanez,Rafil ​Yanez, ​Lazaro​ Gomez, Anna Gomez</t>
  </si>
  <si>
    <t>E:626-646-6285,R:​​626-201-5975,L:​626-715-4065,A:​626-715-4064</t>
  </si>
  <si>
    <t>​emmy0405@gmail.com,rafikyanez17@gmail.com​l.agomez2808@gmail.com​,anagomez1782@icloud.com</t>
  </si>
  <si>
    <t>Outlook Escrow, Inc.</t>
  </si>
  <si>
    <t>CrossCountry Mortgage LLC</t>
  </si>
  <si>
    <t xml:space="preserve"> Leanne Austin</t>
  </si>
  <si>
    <t>leanneaustinre@gmail.com,whitneyldenys@gmail.com</t>
  </si>
  <si>
    <t>4623 Alamo Drive</t>
  </si>
  <si>
    <t>San Diego</t>
  </si>
  <si>
    <t>Kathy Zumaya</t>
  </si>
  <si>
    <t>Issac Gutierrez, Andrea Ahumada-Gutierrez</t>
  </si>
  <si>
    <t>I: 619-321-9029 A:562-284-7933</t>
  </si>
  <si>
    <t>24isaacg@gmail.com,andrea.n.ahumada@gmail.com</t>
  </si>
  <si>
    <t>Alliance Escrow Inc</t>
  </si>
  <si>
    <t>Clear Mortgage Capital Inc</t>
  </si>
  <si>
    <t>Doug Lister</t>
  </si>
  <si>
    <t>douglasclister@gmail.com,Jill@uresd.com</t>
  </si>
  <si>
    <t>4/27 (C)</t>
  </si>
  <si>
    <t>26830 Oakmont Dr.</t>
  </si>
  <si>
    <t>Roderlio Sarrol, Leslie Field</t>
  </si>
  <si>
    <t>rltd3598@hotmail.com, sunshine_3589@yahoo.com</t>
  </si>
  <si>
    <t>Fidelis Escrow</t>
  </si>
  <si>
    <t>Josephine Brito</t>
  </si>
  <si>
    <t>roberta@fidelisescrow.net, 714-878-5750</t>
  </si>
  <si>
    <t>4/28 (C)</t>
  </si>
  <si>
    <t>27101 Comwell St</t>
  </si>
  <si>
    <t xml:space="preserve">Rickey Perry, Patricia M Perry </t>
  </si>
  <si>
    <t>R:909-214-1784</t>
  </si>
  <si>
    <t>Hq22150@protonmail.com, Rvbunny@hotmail.com</t>
  </si>
  <si>
    <t>Madison Avenue Escrow</t>
  </si>
  <si>
    <t>Jeffrey Bast</t>
  </si>
  <si>
    <t>jeff@bastrealestate.com, 951-264-8360</t>
  </si>
  <si>
    <t>4/23 (C)</t>
  </si>
  <si>
    <t>27565 Boston Dr</t>
  </si>
  <si>
    <t>padillaberna@gmail.com</t>
  </si>
  <si>
    <t xml:space="preserve">JR Torrez </t>
  </si>
  <si>
    <t>jrtorrezinc@gmail.com, 951-834-8780</t>
  </si>
  <si>
    <t>4/28 (C) No Buyer Transaction details in Zillow)</t>
  </si>
  <si>
    <t>diff Buyer &amp; Seller Agent</t>
  </si>
  <si>
    <t>4438 Wanda Circle</t>
  </si>
  <si>
    <t>Thomas Kyle Taylor</t>
  </si>
  <si>
    <t>951-323-1346</t>
  </si>
  <si>
    <t xml:space="preserve">melleetay@yahoo.com </t>
  </si>
  <si>
    <t>K-T Services Escrow Department</t>
  </si>
  <si>
    <t>Thomas Sorge</t>
  </si>
  <si>
    <t>tom.sorge@cbkt.com, 951-334-5550</t>
  </si>
  <si>
    <t>5/1 (C)</t>
  </si>
  <si>
    <t>43609 Jared Ln</t>
  </si>
  <si>
    <t>Williams Trust dated December 5, 2025</t>
  </si>
  <si>
    <t>(805)512-0400</t>
  </si>
  <si>
    <t>denniscwa9504@gmail.com</t>
  </si>
  <si>
    <t>Nicole Hicks</t>
  </si>
  <si>
    <t>nicolehomesca@gmail.com, 520-406-6289</t>
  </si>
  <si>
    <t>27250 Murrieta Road #216</t>
  </si>
  <si>
    <t xml:space="preserve">Mark I Bukich, Mark A Bukich </t>
  </si>
  <si>
    <t>573-281-6560, 573-990-7637</t>
  </si>
  <si>
    <t>bukichmark@gmail.com, marcoazules@yahoo.com</t>
  </si>
  <si>
    <t>La Rue Escrow</t>
  </si>
  <si>
    <t>Sue Wade</t>
  </si>
  <si>
    <t>suewade@coldwellbankerab.com, 951-757-4978</t>
  </si>
  <si>
    <t>30564 Corte Hermoso</t>
  </si>
  <si>
    <t>Lesli Hull</t>
  </si>
  <si>
    <t xml:space="preserve"> 949-223-5502</t>
  </si>
  <si>
    <t>lesli3usmc@yahoo.com</t>
  </si>
  <si>
    <t>Katherine Mullikin</t>
  </si>
  <si>
    <t>katherine.mullikin@ltic.com, 949-223-5502</t>
  </si>
  <si>
    <t>1931 Calle Arboleda</t>
  </si>
  <si>
    <t>The Sarah and David Rhiley Trust dated July 17, 2018</t>
  </si>
  <si>
    <t>(619) 895-4845</t>
  </si>
  <si>
    <t>s.rhiley@hotmail.com, davidrhiley@gmail.com</t>
  </si>
  <si>
    <t>​Independent Funding Group</t>
  </si>
  <si>
    <t>​Charles Patel</t>
  </si>
  <si>
    <t>​Charles.Patel@c21affiliated.com, 714​-319-0996</t>
  </si>
  <si>
    <t>seller advance to be collected w additional $1000 ($11,887)- Blake has a referral going out on this one</t>
  </si>
  <si>
    <t>8755 Lilac Rd</t>
  </si>
  <si>
    <t>Oak Hills</t>
  </si>
  <si>
    <t>Ashley Page</t>
  </si>
  <si>
    <t>925-408-0535</t>
  </si>
  <si>
    <t>apage2112@gmail.com</t>
  </si>
  <si>
    <t>GEM Mortgage</t>
  </si>
  <si>
    <t>​Keith Liverman</t>
  </si>
  <si>
    <t>​KLiverman@yahoo.com. ​760-486-4074</t>
  </si>
  <si>
    <t>684 Meadowood St.</t>
  </si>
  <si>
    <t>Erica Jasmine Soha, Christopher Soha</t>
  </si>
  <si>
    <t>E: (70)294-9224, C:(90)576-9100</t>
  </si>
  <si>
    <t>oramej@gmail.com, chrissoha@gmail.com</t>
  </si>
  <si>
    <t>TriPointe Homes</t>
  </si>
  <si>
    <t>TriPointe Lender</t>
  </si>
  <si>
    <t>Natalie Tagle</t>
  </si>
  <si>
    <t>Natalie.Tagle@TriPointeHomes.com, 858-794-2545</t>
  </si>
  <si>
    <t>1250 Connecticut St.</t>
  </si>
  <si>
    <t>Imperial Beach</t>
  </si>
  <si>
    <t>Dylan Parker, Natalie Parker</t>
  </si>
  <si>
    <t>801-979-6139 , 801-792-1056</t>
  </si>
  <si>
    <t>dyingtwolve@live.com, 808beach05@gmail.com</t>
  </si>
  <si>
    <t>Sundae</t>
  </si>
  <si>
    <t>Q2</t>
  </si>
  <si>
    <t>68916 H St # 59</t>
  </si>
  <si>
    <t>Cathedral City</t>
  </si>
  <si>
    <t xml:space="preserve">Cathy D Ashley </t>
  </si>
  <si>
    <t>760-318-5382</t>
  </si>
  <si>
    <t>1cathyashley@gmail.com</t>
  </si>
  <si>
    <t>Crush It Marketing</t>
  </si>
  <si>
    <t>5/5 (C)</t>
  </si>
  <si>
    <t xml:space="preserve">68916 H ST. #59 </t>
  </si>
  <si>
    <t>Alisha Maureen Ellis</t>
  </si>
  <si>
    <t>813-458-7038</t>
  </si>
  <si>
    <t>alishamellis1995@gmail.com</t>
  </si>
  <si>
    <t>5/5 (C) no transaction details in Zillow</t>
  </si>
  <si>
    <t>36329 Albus Ave</t>
  </si>
  <si>
    <t xml:space="preserve">Taylor Joshua Killen, Sarah Rose Reyes </t>
  </si>
  <si>
    <t>T:951-541-3513, S:951-306-4619</t>
  </si>
  <si>
    <t>taylor@westelusa.com, thereyesrose@gmail.com</t>
  </si>
  <si>
    <t>Escrow Leaders</t>
  </si>
  <si>
    <t>Joshua Sutton</t>
  </si>
  <si>
    <t>Josh@magnumrealtygroup.com, 928-814-2559</t>
  </si>
  <si>
    <t>deduct $2000 from Martin's split for an agent advance</t>
  </si>
  <si>
    <t>738 Highlands DrF</t>
  </si>
  <si>
    <t>Christian Torres</t>
  </si>
  <si>
    <t>714-887-6052</t>
  </si>
  <si>
    <t>Ctorr2219@gmail.com</t>
  </si>
  <si>
    <t>Old Republic Title Company</t>
  </si>
  <si>
    <t>LGI Homes</t>
  </si>
  <si>
    <t>Jenna emailed:  $595 fee and $200 dollar TC Fee be taken out of her commission; this is a VA New Build</t>
  </si>
  <si>
    <t>5/8 (C)</t>
  </si>
  <si>
    <t>28480 Cosmos Dr</t>
  </si>
  <si>
    <t xml:space="preserve">Felix Salvador, Soledad Sanabria-Salvador </t>
  </si>
  <si>
    <t>F:714-300-3224, S:714-401-4151</t>
  </si>
  <si>
    <t xml:space="preserve">fesaja9@gmail.com, solsal70@gmail.com </t>
  </si>
  <si>
    <t>Pamela Quintanilla</t>
  </si>
  <si>
    <t>pamelaquinrealestate@gmail.com, 442-300-1834</t>
  </si>
  <si>
    <t>5/13 (C)</t>
  </si>
  <si>
    <t>31271 Terand Ave</t>
  </si>
  <si>
    <t xml:space="preserve">Homeland </t>
  </si>
  <si>
    <t>Jeffrey Eiberger</t>
  </si>
  <si>
    <t>(442)933-9077</t>
  </si>
  <si>
    <t>jeiberger@rbauction.com</t>
  </si>
  <si>
    <t>Can you see if Alicia signed up for subscription when this opened? If so, TC fees to be removed.</t>
  </si>
  <si>
    <t>R and I ​Properties LLC (Sarah Lynch)</t>
  </si>
  <si>
    <t>(949) 933-6200</t>
  </si>
  <si>
    <t>​sarah@sarahlynchgroup.com</t>
  </si>
  <si>
    <t>2205 W Acacia Ave Spc # 139</t>
  </si>
  <si>
    <t>Angel Vera Neri, Angela Hernandez Zaragoza</t>
  </si>
  <si>
    <t>951-390-0524</t>
  </si>
  <si>
    <t>gabriel009vera@gmail.com,angelajh04@gmail.com</t>
  </si>
  <si>
    <t>Pacific Escrow Inc</t>
  </si>
  <si>
    <t>Iris Garcia</t>
  </si>
  <si>
    <t>iris@millennialrealtors.com, rachel@sbtcteam.com,team@millennialrealtors.com</t>
  </si>
  <si>
    <t>YardSign</t>
  </si>
  <si>
    <t>15110 Paseo Verde Pl</t>
  </si>
  <si>
    <t>Jose Midence</t>
  </si>
  <si>
    <t>(240) 808-0850</t>
  </si>
  <si>
    <t>retwardog@gmail.com</t>
  </si>
  <si>
    <t>5/27 (C) Not found in CHT Listing board and in Opendoor dashboard</t>
  </si>
  <si>
    <t>2601 W Fruitvale Ave</t>
  </si>
  <si>
    <t>Renee Vivian McKinnon</t>
  </si>
  <si>
    <t>925-997-6839</t>
  </si>
  <si>
    <t>rmckinnon94@gmail.com</t>
  </si>
  <si>
    <t>Chase</t>
  </si>
  <si>
    <t>Karen Seibert</t>
  </si>
  <si>
    <t>karenseibertre@gmail.com, 909-557-7096</t>
  </si>
  <si>
    <t>68916 H St #65</t>
  </si>
  <si>
    <t>Gwendolyn Collins, Cathy Ashley</t>
  </si>
  <si>
    <t>760-285-7053</t>
  </si>
  <si>
    <t>HCD Title</t>
  </si>
  <si>
    <t>Larry Olseson</t>
  </si>
  <si>
    <t>949-326-3908 (Kim helping: 949-770-9939)</t>
  </si>
  <si>
    <t>loleson14@gmail.com (Kim helping: koleson3458@gmail.com)</t>
  </si>
  <si>
    <t>22425 Shore View Ct</t>
  </si>
  <si>
    <t xml:space="preserve">Jacob Blakey </t>
  </si>
  <si>
    <t>951-532-3758</t>
  </si>
  <si>
    <t xml:space="preserve">jsnakedog360@gmail.com </t>
  </si>
  <si>
    <t>E Mortgage Capital</t>
  </si>
  <si>
    <t xml:space="preserve">Raquel Stark </t>
  </si>
  <si>
    <t>rocky@mogul-realestate.com, 951-219-0706</t>
  </si>
  <si>
    <t>1702 Tamarron Dr</t>
  </si>
  <si>
    <t>Jessica Cano</t>
  </si>
  <si>
    <t>Hung Duc Ly, My Thien Thi Tran</t>
  </si>
  <si>
    <t>H:760-559-7888, M:760-559-6789</t>
  </si>
  <si>
    <t>mythientran6@gmail.com</t>
  </si>
  <si>
    <t>Trademark Financing Corp</t>
  </si>
  <si>
    <t>Jensen Kierulff</t>
  </si>
  <si>
    <t>jensen@kierulff.net, 951-310-1289</t>
  </si>
  <si>
    <t>5/13 (C) No Tansaction details in Zillow</t>
  </si>
  <si>
    <t>9093 Filaree Ct.</t>
  </si>
  <si>
    <t>The Lily Flores Living Trust, dated October 29, 2023 (Frank Martinez, Trustee)</t>
  </si>
  <si>
    <t>646-220-5544</t>
  </si>
  <si>
    <t>frankmartinez3@gmail.com</t>
  </si>
  <si>
    <t>Andy Clark</t>
  </si>
  <si>
    <t>andy@theclarkteam.com, (951)858-9396</t>
  </si>
  <si>
    <t>5/18 (C)</t>
  </si>
  <si>
    <t>32845 Trailwood Court</t>
  </si>
  <si>
    <t>Robin Smith, James Smith</t>
  </si>
  <si>
    <t>R: (951) 500-3120, J:(951) 409-8311</t>
  </si>
  <si>
    <t>sassysmithmom@gmail.com, jimshady97@yahoo.com</t>
  </si>
  <si>
    <t>Stewart Title</t>
  </si>
  <si>
    <t>Wallace Emerson</t>
  </si>
  <si>
    <t>temersonrealtor@gmail.com,kylerbattleson@gmail.com, paula.t.clark@gmail.com</t>
  </si>
  <si>
    <t>29419 Pebble Beach Dr</t>
  </si>
  <si>
    <t>Max Mandell, Taylor Coletta, Joseph Coletta</t>
  </si>
  <si>
    <t xml:space="preserve">M:847-804-0882, T:Taylor Coletta, J:Joseph Coletta </t>
  </si>
  <si>
    <t>maxmandellphoto@gmail.com, taylorc102820@gmail.com, jmcoletta1@aol.com</t>
  </si>
  <si>
    <t>Francia Castro</t>
  </si>
  <si>
    <t>sold@realtorfrancia.com, 619-520-9054</t>
  </si>
  <si>
    <t>634 Via Santa Cruz</t>
  </si>
  <si>
    <t>Bernardo C Roberto, Teresita M Roberto</t>
  </si>
  <si>
    <t>760-828-8711</t>
  </si>
  <si>
    <t>4berter@gmail.com, tmrober2@gmail.com</t>
  </si>
  <si>
    <t>Mortgage Options Funding</t>
  </si>
  <si>
    <t>WFG National Title</t>
  </si>
  <si>
    <t>Michael Plecki</t>
  </si>
  <si>
    <t>michaelplecki@gmail.com, 442-226-9686</t>
  </si>
  <si>
    <t>Connors first deal TC fee is being waived &amp; he's in the EA Program</t>
  </si>
  <si>
    <t>5/14 (C)</t>
  </si>
  <si>
    <t>15110 Wavecrest Drive</t>
  </si>
  <si>
    <t>Gary Zarandon</t>
  </si>
  <si>
    <t>(714) 307-9960</t>
  </si>
  <si>
    <t>gzaar@mail.com</t>
  </si>
  <si>
    <t>​Attwell Mortgage Consultants</t>
  </si>
  <si>
    <t>​Lupita Henriquez</t>
  </si>
  <si>
    <t>Lupita@lupita4Homes.com,terriannelippert@gmail.com, ​310.487.3768</t>
  </si>
  <si>
    <t>Dana sent invoice to Mercedes for cleaning services $275- 5/15</t>
  </si>
  <si>
    <t>16667 Snowdrop Ln #2</t>
  </si>
  <si>
    <t xml:space="preserve">Elizabeth Gonzalez, Elvira Herrera Hernandez </t>
  </si>
  <si>
    <t>EG:909-454-1437,EH:909-233-2529</t>
  </si>
  <si>
    <t>elijengonz24@gmail.com, eherrera743@gmail.com |</t>
  </si>
  <si>
    <t>Union Escrow Inc.</t>
  </si>
  <si>
    <t>Giving Tree Lending</t>
  </si>
  <si>
    <t xml:space="preserve">Jason Khorramian </t>
  </si>
  <si>
    <t>jason@soldbyjasonk.com, 949-291-8066</t>
  </si>
  <si>
    <t>Google Display - Blakes Buyout line</t>
  </si>
  <si>
    <t>29225 Avenida De Las Flores</t>
  </si>
  <si>
    <t xml:space="preserve">Patricia A. Stewart, Kevin R. Stewart </t>
  </si>
  <si>
    <t>P:760-215-1178, K:760-215-0127</t>
  </si>
  <si>
    <t>pastew123@gmail.com, krstew123@gmail.com</t>
  </si>
  <si>
    <t>Your Favorite Lenders</t>
  </si>
  <si>
    <t xml:space="preserve">Vanessa McCaffrey </t>
  </si>
  <si>
    <t>vanessa@kasere.com, 323-356-9896</t>
  </si>
  <si>
    <t>5/18 (C) Not found on CHT Listing Board</t>
  </si>
  <si>
    <t>38194 Oaktree Loop</t>
  </si>
  <si>
    <t xml:space="preserve">Ralph F. D'Elia, Kristine K. D'Elia </t>
  </si>
  <si>
    <t>R:561-906-7178, K:561-906-7599</t>
  </si>
  <si>
    <t xml:space="preserve">ralphdelia@me.com, kristinedelia@me.com </t>
  </si>
  <si>
    <t>Trilogy Escrow</t>
  </si>
  <si>
    <t>Ticor Ttile</t>
  </si>
  <si>
    <t xml:space="preserve">James Ball </t>
  </si>
  <si>
    <t>jamesball.agent@gmail.com, 951-454-9385</t>
  </si>
  <si>
    <t>5/20 (C)</t>
  </si>
  <si>
    <t xml:space="preserve">29567 Cherokee Trail </t>
  </si>
  <si>
    <t>Alina Booth, David Booth</t>
  </si>
  <si>
    <t>Alinabooth20@gmail.com, Boothdave07@gmail.com</t>
  </si>
  <si>
    <t>Loan Titan</t>
  </si>
  <si>
    <t>Yvonne Paredes Villanueva</t>
  </si>
  <si>
    <t>yvonne@villpar.com</t>
  </si>
  <si>
    <t>5/27 (C)</t>
  </si>
  <si>
    <t>30521 Sierra Vista Dr</t>
  </si>
  <si>
    <t>Maria H Munoz</t>
  </si>
  <si>
    <t>​714-926-3680</t>
  </si>
  <si>
    <t>​mhmunoz1025@gmail.com</t>
  </si>
  <si>
    <t>​Dan Locascio</t>
  </si>
  <si>
    <t>dan@platinumsocal.com, 909-938-3665</t>
  </si>
  <si>
    <t xml:space="preserve">1457 Martinique Drive </t>
  </si>
  <si>
    <t xml:space="preserve">​Bleu Inkk Watkins   </t>
  </si>
  <si>
    <t>​213​-760-4364</t>
  </si>
  <si>
    <t>​watkinsbleu@gmail.com</t>
  </si>
  <si>
    <t>WFG​ Escrow and Title</t>
  </si>
  <si>
    <t>AntoNina Erbst</t>
  </si>
  <si>
    <t>ninaerbstteam@gmail.com,cybonilla1@gmail.com</t>
  </si>
  <si>
    <t>9830 Caminito Cuadro</t>
  </si>
  <si>
    <t>Sherry Kinue Pedersen</t>
  </si>
  <si>
    <t>619-459-8498</t>
  </si>
  <si>
    <t xml:space="preserve">sherry.k.pedersen@gmail.com </t>
  </si>
  <si>
    <t>Emma Lefkowitz</t>
  </si>
  <si>
    <t>emma@thebarronteam.com, 858-880-5989</t>
  </si>
  <si>
    <t xml:space="preserve">7293 El Cielo Circle </t>
  </si>
  <si>
    <t>Buena Park</t>
  </si>
  <si>
    <t>OC</t>
  </si>
  <si>
    <t xml:space="preserve">David Radosevich </t>
  </si>
  <si>
    <t>714-299-5539</t>
  </si>
  <si>
    <t>daver@ppmechanical.com</t>
  </si>
  <si>
    <t xml:space="preserve">EZ Fundings </t>
  </si>
  <si>
    <t xml:space="preserve">Francis Deguzman </t>
  </si>
  <si>
    <t>francis@lemans-realestate.com, 909-855-4926</t>
  </si>
  <si>
    <t>681 Parkview Dr</t>
  </si>
  <si>
    <t xml:space="preserve">Anum Imran </t>
  </si>
  <si>
    <t>951-285-1531</t>
  </si>
  <si>
    <t xml:space="preserve">anumimran7861@gmail.com </t>
  </si>
  <si>
    <t>Rowland Escrow</t>
  </si>
  <si>
    <t>Vivian Chen</t>
  </si>
  <si>
    <t>OfferToVivian@gmail.com, 562-858-8889</t>
  </si>
  <si>
    <t>1040 W Macarthur #42</t>
  </si>
  <si>
    <t>Santa Ana</t>
  </si>
  <si>
    <t>Raquel Esther Luna</t>
  </si>
  <si>
    <t>714-595-3693</t>
  </si>
  <si>
    <t xml:space="preserve">Rocky.lunamjd@yahoo.com </t>
  </si>
  <si>
    <t xml:space="preserve">Diana Moshier </t>
  </si>
  <si>
    <t>diana@dianamoshier.com, 949-429-9616</t>
  </si>
  <si>
    <t>6/1 (C)</t>
  </si>
  <si>
    <t>29360 Hartford Dr</t>
  </si>
  <si>
    <t>Jorge Ismael Torres, Yolanda Acosta Torres</t>
  </si>
  <si>
    <t>J: 931- 216-3410 Y:931-220-3314</t>
  </si>
  <si>
    <t>itorres3665@gmail.com, itorres3665@gmail.com</t>
  </si>
  <si>
    <t>Real Estate One Escrow Division</t>
  </si>
  <si>
    <t>Navy Federal</t>
  </si>
  <si>
    <t>​M​aria Navarro</t>
  </si>
  <si>
    <t>offers@riversidereo1.com,Jessica@riversidereo1.com, edwinfrealty@gmail.com</t>
  </si>
  <si>
    <t>2640 W Rialto Ave # 20</t>
  </si>
  <si>
    <t>Maria Griselda Betancourt Ferrer</t>
  </si>
  <si>
    <t>909-232-3915</t>
  </si>
  <si>
    <t>miriam22rg@gmail.com</t>
  </si>
  <si>
    <t xml:space="preserve">Isalia Gomez </t>
  </si>
  <si>
    <t>909-775-9387</t>
  </si>
  <si>
    <t xml:space="preserve">ricoisalia@gmail.com </t>
  </si>
  <si>
    <t>5/29 (C) No transaction sheet in Zillow PA yet</t>
  </si>
  <si>
    <t>15070 Sandalwood Ln.</t>
  </si>
  <si>
    <t>Revocable Living Trust Elsie I Gelling</t>
  </si>
  <si>
    <t xml:space="preserve">909-731-8936 </t>
  </si>
  <si>
    <t>EMprice@verizon.net</t>
  </si>
  <si>
    <t>American First Credit Union</t>
  </si>
  <si>
    <t>Ricardo Martinez</t>
  </si>
  <si>
    <t>ricardo.tm@ehomes.com, 909-317-3952</t>
  </si>
  <si>
    <t>6/2 (C)</t>
  </si>
  <si>
    <t>37302 La Lune Ave</t>
  </si>
  <si>
    <t>Clare B. Graham. Shaun P. Graham</t>
  </si>
  <si>
    <t>C: (858) 344-3296 S:(760) 215-2279</t>
  </si>
  <si>
    <t>​clarebgraham@yahoo.com,​spgraham19@gmail.com</t>
  </si>
  <si>
    <t>​Your Escrow Company, Inc.</t>
  </si>
  <si>
    <t>RAF Investment Services</t>
  </si>
  <si>
    <t>Monarch Title</t>
  </si>
  <si>
    <t>Kristina Sanders</t>
  </si>
  <si>
    <t>kristinasanders@hotmail.com.mandy@mandydavistc.com</t>
  </si>
  <si>
    <t>922 W. Craig St.</t>
  </si>
  <si>
    <t xml:space="preserve">Satnam Singh, Robanpreet Kaur </t>
  </si>
  <si>
    <t>S:(909)763-9957, R:(909)549-0131</t>
  </si>
  <si>
    <t>sschahal96@yahoo.com, robinpreet5811@gmail.com</t>
  </si>
  <si>
    <t>Myrna hit volume bonus with OpenDoor for an added .25% compensation. This amount was added to the Additional Collected column as I believe once agents hit this the overage is theirs and team splits don't apply. 2 checks are being sent, one from escrow and one for the additional from OpenDoor directly.</t>
  </si>
  <si>
    <t>6/2 (C) Not found in CHT Listing Board; Per Alexis: This is not a listing we went to market with. This was an OpenDoor deal. It won't be on the Listing Board.</t>
  </si>
  <si>
    <t>21259 Rosewood St.</t>
  </si>
  <si>
    <t>Apple Valley</t>
  </si>
  <si>
    <t>Priana Rodriguez, Adirai Quiroz Mora</t>
  </si>
  <si>
    <t>714-408-3296</t>
  </si>
  <si>
    <t>prianarodriguez@gmail.com</t>
  </si>
  <si>
    <t>Fidelis Escrow, Inc</t>
  </si>
  <si>
    <t>Celer Mortgage</t>
  </si>
  <si>
    <t>Short Sale</t>
  </si>
  <si>
    <t>SOI 75</t>
  </si>
  <si>
    <t>6/4 (C)</t>
  </si>
  <si>
    <t>0 Ryan Ave</t>
  </si>
  <si>
    <t>Christine Chau Dao</t>
  </si>
  <si>
    <t>858-357-1316</t>
  </si>
  <si>
    <t>chaudaovui@yahoo.com</t>
  </si>
  <si>
    <t>WFG</t>
  </si>
  <si>
    <t>Dana Story</t>
  </si>
  <si>
    <t>ddsrealtor1@yahoo.com, 951-264-7243</t>
  </si>
  <si>
    <t>6/9 (C)</t>
  </si>
  <si>
    <t>3586 Whirlaway Ln</t>
  </si>
  <si>
    <t>91709​</t>
  </si>
  <si>
    <t>Bank of Hope</t>
  </si>
  <si>
    <t>Shawn Oglesby</t>
  </si>
  <si>
    <t>shawnsellshomes@yahoo.com</t>
  </si>
  <si>
    <t>6/15 (C) Stratton Luxx (not in FUB)</t>
  </si>
  <si>
    <t>3544 W. Avenue L10</t>
  </si>
  <si>
    <t>Lancaster</t>
  </si>
  <si>
    <t>​Edwards Family Trust (​Aleena Edwards​ - Trutee)</t>
  </si>
  <si>
    <t>​661​-499-7733</t>
  </si>
  <si>
    <t>​aleenaedwards27@gmail.com</t>
  </si>
  <si>
    <t>E​dwin S. Momeny</t>
  </si>
  <si>
    <t>​emomeny@gmail.com, 661-860-1408</t>
  </si>
  <si>
    <t>before releasing payment; see email from Mercedes regarding splitting commission w Carmen. (split changed to $1000 of Mercedes split to Carmen)</t>
  </si>
  <si>
    <t>6/3 (C)</t>
  </si>
  <si>
    <t>13121 Fullerton Dr</t>
  </si>
  <si>
    <t>Suzanne Gant, Robert Gant</t>
  </si>
  <si>
    <t>(760)403-6508, (760)686-8412</t>
  </si>
  <si>
    <t>robbigant@yahoo.com, robertgant23@gmail.com</t>
  </si>
  <si>
    <t xml:space="preserve">Better Mortgage Loan Consultant </t>
  </si>
  <si>
    <t>Bradie Byalik</t>
  </si>
  <si>
    <t>bradiebylaikrealestate@gmail.com, kristen@chieslmarelly.com 858.933.1688</t>
  </si>
  <si>
    <t>referral fee to Crush it Marketing 35%</t>
  </si>
  <si>
    <t>19125 Shoshonee Rd</t>
  </si>
  <si>
    <t>Kevin Michael Bacon Jr.</t>
  </si>
  <si>
    <t>619-517-8157</t>
  </si>
  <si>
    <t>k.m.bacon@gmail.com</t>
  </si>
  <si>
    <t>Choice Lending Corp</t>
  </si>
  <si>
    <t>Letty Hawkins</t>
  </si>
  <si>
    <t>realtor@lettyhawkins.com, 567-312-6070</t>
  </si>
  <si>
    <t>To be billed from store: Showcase Photos $500, Sign Only (No Lockbock) High Desert $119</t>
  </si>
  <si>
    <t>6/5 (C)</t>
  </si>
  <si>
    <t>1431 Pacific Hwy #903</t>
  </si>
  <si>
    <t>Jufel Bocalig​ and Holly Bocalig</t>
  </si>
  <si>
    <t>J: 707-540-2788 H:925-708-5420</t>
  </si>
  <si>
    <t>jbocalig@gmail.com, hbocalig@gmail.com</t>
  </si>
  <si>
    <t xml:space="preserve">Forward Mortgage </t>
  </si>
  <si>
    <t>Michael Chious</t>
  </si>
  <si>
    <t>michaelsellssd@gmail.com, christina.savedra@gmail.com</t>
  </si>
  <si>
    <t>3586 Whirlaway Ln.</t>
  </si>
  <si>
    <t>BirdEye Loans</t>
  </si>
  <si>
    <t>John Abril</t>
  </si>
  <si>
    <t>john@therealtorbroker.com, tc5star@yahoo.com</t>
  </si>
  <si>
    <t>10061 Van Ruiten St</t>
  </si>
  <si>
    <t>Bellflower</t>
  </si>
  <si>
    <t xml:space="preserve">Daniel Wayne Van Duyn </t>
  </si>
  <si>
    <t>562 756-4932</t>
  </si>
  <si>
    <t>Danvanduyn@icloud.com</t>
  </si>
  <si>
    <t>ACC Mortgage Lending</t>
  </si>
  <si>
    <t>Sarah Purcell</t>
  </si>
  <si>
    <t>Sarah Purcell, 310-918-7464</t>
  </si>
  <si>
    <t>650 Rainier Way</t>
  </si>
  <si>
    <t>Betty Hoskins Dykstra</t>
  </si>
  <si>
    <t>909-240-4767</t>
  </si>
  <si>
    <t xml:space="preserve">mozarkswampgirl@gmail.com </t>
  </si>
  <si>
    <t>Direct Home Lending</t>
  </si>
  <si>
    <t>Scott Kafoury</t>
  </si>
  <si>
    <t>scott.kafoury@kw.com, 951-966-3329</t>
  </si>
  <si>
    <t>53745 Toll Gate Rd</t>
  </si>
  <si>
    <t xml:space="preserve"> Idyllwild</t>
  </si>
  <si>
    <t>The Carolyn De Anda Separate Property Trust, U/A dated 4-12-2021</t>
  </si>
  <si>
    <t>760-216-8362</t>
  </si>
  <si>
    <t>caroldeanda1040@gmail.com</t>
  </si>
  <si>
    <t>​​Ashley Stewart</t>
  </si>
  <si>
    <t>​ashley@ridgewayvision.com. ​951​-818-1170</t>
  </si>
  <si>
    <t>6/15 (C)</t>
  </si>
  <si>
    <t xml:space="preserve">20696 Tonawanda Rd </t>
  </si>
  <si>
    <t>Randy  Brown, Gayle  Brown</t>
  </si>
  <si>
    <t>760-490-2303</t>
  </si>
  <si>
    <t>randybrown1945@gmail.com, glb011411@gmail.com</t>
  </si>
  <si>
    <t>Home Loan</t>
  </si>
  <si>
    <t>Paul M. Pound</t>
  </si>
  <si>
    <t xml:space="preserve">paul@crarealestate.com, 909-382-1934  </t>
  </si>
  <si>
    <t>Photos to be reimbursed at closing- invoice sent 6/10</t>
  </si>
  <si>
    <t>28410 Pinon Ct</t>
  </si>
  <si>
    <t xml:space="preserve">Isaac S Ayestas Jr., Ashlee J Montgomery </t>
  </si>
  <si>
    <t>I:562- 682-6714, A:949 266-4451</t>
  </si>
  <si>
    <t xml:space="preserve">isaacayestas@gmail.com, ashlee.mo87@gmail.com </t>
  </si>
  <si>
    <t>Mr. Mortgage Corp.</t>
  </si>
  <si>
    <t>David Olivera</t>
  </si>
  <si>
    <t>David@shoppingsdhouses.com, 619-451-7168</t>
  </si>
  <si>
    <t>6/17/2026-ASHLEE only (per OSA)</t>
  </si>
  <si>
    <t>5468 Princess View Place</t>
  </si>
  <si>
    <t>Allen Short, Marguerite Short</t>
  </si>
  <si>
    <t>​Scrm24@outlook.com, Margueriteshort@gmail.com</t>
  </si>
  <si>
    <t>Abraham Belasco</t>
  </si>
  <si>
    <t>abe@honestabesells.com, ezeetc@gmail.com</t>
  </si>
  <si>
    <t>Collect $2k back from Tyler upon closing</t>
  </si>
  <si>
    <t xml:space="preserve">36220 Madora Dr </t>
  </si>
  <si>
    <t xml:space="preserve"> Wildomar</t>
  </si>
  <si>
    <t>Soonja Lee</t>
  </si>
  <si>
    <t xml:space="preserve"> 212​-439​-8044</t>
  </si>
  <si>
    <t>​harry.edun@gmail.com</t>
  </si>
  <si>
    <t>​RWM ​Loans</t>
  </si>
  <si>
    <t>​Marilyn McGovern</t>
  </si>
  <si>
    <t>​marilyn@mcgovernestates.com, kristen@coldwellbankerab.com, ​951​-662​-2957</t>
  </si>
  <si>
    <t>6/15 (C) waiting for Opendoor dashboard update</t>
  </si>
  <si>
    <t>1217 Juliette Place</t>
  </si>
  <si>
    <t xml:space="preserve">Jose Julio Guajardo, Kiana Adriana Lora </t>
  </si>
  <si>
    <t>J:956-688-7883, K:619-451-8634</t>
  </si>
  <si>
    <t xml:space="preserve"> jguaja48@gmail.com, coltskal@gmail.com </t>
  </si>
  <si>
    <t xml:space="preserve">Mike Chiesl </t>
  </si>
  <si>
    <t>mike@chieslmarelly.com, 760-473-0000</t>
  </si>
  <si>
    <t>1098 Stonebridge Ave</t>
  </si>
  <si>
    <t>Tulare</t>
  </si>
  <si>
    <t>TULARE</t>
  </si>
  <si>
    <t>Delfino Corpuz Mariano &amp; Felma Mariano</t>
  </si>
  <si>
    <t>D:808-268-5526</t>
  </si>
  <si>
    <t>delmar1823@gmail.com, felma.mariano2008@gmail.com</t>
  </si>
  <si>
    <t>Kyrstin Souza</t>
  </si>
  <si>
    <t>kyrstin@robynicenhower.com, 559-679-9119</t>
  </si>
  <si>
    <t>30196 Meadow Oaks St</t>
  </si>
  <si>
    <t>Angela Taibi</t>
  </si>
  <si>
    <t>(424) 404-3217</t>
  </si>
  <si>
    <t>veronica.729@icloud.com</t>
  </si>
  <si>
    <t>PGS Home Loan</t>
  </si>
  <si>
    <t>​Jovani Ruiz</t>
  </si>
  <si>
    <t>jovanitherealtor@gmail.com, ​admin@theruizteam.com</t>
  </si>
  <si>
    <t>19145 Oak St</t>
  </si>
  <si>
    <t xml:space="preserve">Barbara Iczkowski </t>
  </si>
  <si>
    <t>818-644-1622</t>
  </si>
  <si>
    <t xml:space="preserve">hdreams555@gmail.com </t>
  </si>
  <si>
    <t>Prime Lending</t>
  </si>
  <si>
    <t>Oscar Noyola</t>
  </si>
  <si>
    <t>Noyolaoscar14@gmail.com, 626-831-8129</t>
  </si>
  <si>
    <t>Dana to send Martin invoice for Photos- $300</t>
  </si>
  <si>
    <t>31336 Pine Oak Rd</t>
  </si>
  <si>
    <t xml:space="preserve"> Daniel W Van Duyn, Stacey Lynn Eugeino Carrillo</t>
  </si>
  <si>
    <t>D:562-756-4932, S:310-508-9172</t>
  </si>
  <si>
    <t>Danvanduyn@icloud.com, Highmile1000@yahoo.com</t>
  </si>
  <si>
    <t>KB Home</t>
  </si>
  <si>
    <t>6/17 (C)</t>
  </si>
  <si>
    <t>Google Review 6/17 (Buyer/Seller)</t>
  </si>
  <si>
    <t>32719 Ventura Ln</t>
  </si>
  <si>
    <t>Miguel Angel Gonzalez, Caroline Laura Gonzalez</t>
  </si>
  <si>
    <t>626-346-4793, 951-271-1646</t>
  </si>
  <si>
    <t>lesli3usmc@yahoo.com, carolinearguello9@gmail.com</t>
  </si>
  <si>
    <t>Inspired Escrow</t>
  </si>
  <si>
    <t>Taylor Morrison</t>
  </si>
  <si>
    <t>72hours allowance</t>
  </si>
  <si>
    <t>23737 Cold Spring</t>
  </si>
  <si>
    <t xml:space="preserve">Joel Jimenez, Marisol Jimenez, Maria Jimenez </t>
  </si>
  <si>
    <t>Marisol:562-360-4999</t>
  </si>
  <si>
    <t>Joel199247@gmail.com, Marimart591@yahoo.com, Joel199247@yahoo.com</t>
  </si>
  <si>
    <t>Anthias Financial</t>
  </si>
  <si>
    <t>Guadalupe Cazares</t>
  </si>
  <si>
    <t>lupitacazaresrealestate@gmail.com, 562-505-2343</t>
  </si>
  <si>
    <t>31561 Anzio Circle</t>
  </si>
  <si>
    <t xml:space="preserve">​Andrew Fournier, Jennifer Fournier </t>
  </si>
  <si>
    <t>A: 818-278-7219 J:​619-261-7661</t>
  </si>
  <si>
    <t>Andrew.fournier@ymail.com,​Jenniferfournier89@gmail.com</t>
  </si>
  <si>
    <t>​C2 Financial Corporation</t>
  </si>
  <si>
    <t>​Uma Rajendran</t>
  </si>
  <si>
    <t>Mahe76@gmail.com, itcchet@gmail.com</t>
  </si>
  <si>
    <t>6/18 (C) Not founfd in CHT Listing Board</t>
  </si>
  <si>
    <t xml:space="preserve"> 29113 Soraya</t>
  </si>
  <si>
    <t>James Austin Staton, Jillian Marie Strickland</t>
  </si>
  <si>
    <t>458-308-3185,206-889-2093</t>
  </si>
  <si>
    <t>​jastaton23@gmail.com,jillianstrickland952@gmail.com</t>
  </si>
  <si>
    <t>​Trilogy Escrow, Inc.</t>
  </si>
  <si>
    <t>Stephanie Wells</t>
  </si>
  <si>
    <t>homessoldbysteph@gmail.com,hbarry918@gmail.com</t>
  </si>
  <si>
    <t>Cherée is crediting this from her commission toward Buyer's Home Warranty.</t>
  </si>
  <si>
    <t>28690 Mahogany Trail Way</t>
  </si>
  <si>
    <t>E: 760-906-3600  G:619-318-9087</t>
  </si>
  <si>
    <t xml:space="preserve"> jrlablue33@gmail.com, ​dsanchez1004@gmail.com</t>
  </si>
  <si>
    <t>Jaime Perez</t>
  </si>
  <si>
    <t>jperezproperties@gmail.com,MyTCColleen@gmail.com</t>
  </si>
  <si>
    <t>Kiona approved the off the top credit of $1K to Buyer</t>
  </si>
  <si>
    <t>29307 Saltbush</t>
  </si>
  <si>
    <t>Isabel Romero Romero, Jesus Marin</t>
  </si>
  <si>
    <t>I:714-408-3550, J:714-860-5879</t>
  </si>
  <si>
    <t>isabelromromrom@gmail.com, Jesinrom13@outlook.com</t>
  </si>
  <si>
    <t>Letty Krawcion</t>
  </si>
  <si>
    <t>yourrealtorletty@gmail.com, 760-791-1005</t>
  </si>
  <si>
    <t>14077 Larissa St</t>
  </si>
  <si>
    <t xml:space="preserve">Joel Jimenez, Marisol Jimenez </t>
  </si>
  <si>
    <t>M:562-360-4999</t>
  </si>
  <si>
    <t>Joel199247@gmail.com, Marimart591@yahoo.com</t>
  </si>
  <si>
    <t>648 Brentwood Ave</t>
  </si>
  <si>
    <t>Upland</t>
  </si>
  <si>
    <t>OPENDOOR PROPERTY TRUST</t>
  </si>
  <si>
    <t>FINANCIALS</t>
  </si>
  <si>
    <t>Final Closing Status</t>
  </si>
  <si>
    <t>Client Status</t>
  </si>
  <si>
    <t>Date of Cancellation</t>
  </si>
  <si>
    <t>Cancelled By</t>
  </si>
  <si>
    <t>Reason for Cancellation</t>
  </si>
  <si>
    <t>Admin Fee</t>
  </si>
  <si>
    <t>Additional Collected</t>
  </si>
  <si>
    <t>Client Retained</t>
  </si>
  <si>
    <t xml:space="preserve">Buyer </t>
  </si>
  <si>
    <t>Results of home inspection, too much work</t>
  </si>
  <si>
    <t xml:space="preserve">Aloysius Alunen ​De Vera, Harlika Galinato De Vera  </t>
  </si>
  <si>
    <t xml:space="preserve">A:951-807-2757, H:951-434-0596  </t>
  </si>
  <si>
    <t>Aloydevera@gmail.com,​Harlika58@gmail.com</t>
  </si>
  <si>
    <t>21st Mortgage</t>
  </si>
  <si>
    <t>First American Tit​le</t>
  </si>
  <si>
    <t>Client Not Retained</t>
  </si>
  <si>
    <t>Buyer decided to rent instead, L3 of the RPA</t>
  </si>
  <si>
    <t>1175 La Moree Rd</t>
  </si>
  <si>
    <t xml:space="preserve">Keith K Wong </t>
  </si>
  <si>
    <t>425-281-3497</t>
  </si>
  <si>
    <t xml:space="preserve">kiefer22@hotmail.com </t>
  </si>
  <si>
    <t xml:space="preserve">Abra Rider </t>
  </si>
  <si>
    <t>abra@abrarider.com, 858-224-2272</t>
  </si>
  <si>
    <t>4/3 (F)</t>
  </si>
  <si>
    <t>Complete - Fell Out</t>
  </si>
  <si>
    <t>Opendoor backed out of the purchase.</t>
  </si>
  <si>
    <t>714 Coronado Dr.</t>
  </si>
  <si>
    <t>Redlands</t>
  </si>
  <si>
    <t>1/22 (P) No Client information/cannot find in FUB</t>
  </si>
  <si>
    <t>Buyer could not get park approval</t>
  </si>
  <si>
    <t xml:space="preserve"> Riverside</t>
  </si>
  <si>
    <t>​The Gloria Henrietta Morton Trust dated 06/05/2024</t>
  </si>
  <si>
    <t>​402-689-5465</t>
  </si>
  <si>
    <t>​No Bad Days Real Estate Inc (Guiseppe Fusco, CEO)</t>
  </si>
  <si>
    <t>​909-639-2404</t>
  </si>
  <si>
    <t>deals@nobaddaysre.com</t>
  </si>
  <si>
    <t>1/13 (P)</t>
  </si>
  <si>
    <t>Buyer changed his mind payment is to high.</t>
  </si>
  <si>
    <t>40310 Poppy Dr</t>
  </si>
  <si>
    <t xml:space="preserve">Jose Perez </t>
  </si>
  <si>
    <t>951-261-1795</t>
  </si>
  <si>
    <t xml:space="preserve">1949gijoe@gmail.com </t>
  </si>
  <si>
    <t>Lighthouse Escrow, Inc.</t>
  </si>
  <si>
    <t>Milton Flores</t>
  </si>
  <si>
    <t>miltonflores2488@gmail.com, 951-570-0636</t>
  </si>
  <si>
    <t>Buyer is not satisfied with the location of the property</t>
  </si>
  <si>
    <t xml:space="preserve">David Ballesteros, Robert R. Ballesteros              </t>
  </si>
  <si>
    <t xml:space="preserve">  D:(951)315-7621, R:(951)333-9054</t>
  </si>
  <si>
    <t>​E​Mortgage Capital</t>
  </si>
  <si>
    <t>​Maria Isabel Romo</t>
  </si>
  <si>
    <t>​isabelmrealtor@gmail.com,​​909​-239-6381</t>
  </si>
  <si>
    <t>Buyers sale property fell out of escrow.</t>
  </si>
  <si>
    <t>4835 Glenhaven Dr</t>
  </si>
  <si>
    <t>John Frank Carbone</t>
  </si>
  <si>
    <t>​johncarbone2000@yahoo.com</t>
  </si>
  <si>
    <t>Oakwood Escrow Metro</t>
  </si>
  <si>
    <t>​Nick Atkin</t>
  </si>
  <si>
    <t xml:space="preserve">nick@atkinhomes.com - 760-560-6180  </t>
  </si>
  <si>
    <t>Buyer military orders have changed and will not be moving to the area until 2/15/27.</t>
  </si>
  <si>
    <t>40595 Heyerdahl Avenue</t>
  </si>
  <si>
    <t>​​Alex C. Sauceda-Vargas,​Alejandra Sauceda-Vargas</t>
  </si>
  <si>
    <t xml:space="preserve">​313-515-0660,​530-405-6291 </t>
  </si>
  <si>
    <t>​acsauceda1@gmail.com,avargas928@gmail.com</t>
  </si>
  <si>
    <t>RATE</t>
  </si>
  <si>
    <t>​Alyssa Davies</t>
  </si>
  <si>
    <t>​alyssa@newtowngroupre.com,jennifer@elevatetransactionservices.com</t>
  </si>
  <si>
    <t xml:space="preserve">Unfortunately there are too many items for her to feel comfortable moving forward. </t>
  </si>
  <si>
    <t>913 S Grand Ave # 41</t>
  </si>
  <si>
    <t xml:space="preserve">Joshua Whitehead </t>
  </si>
  <si>
    <t>951-488-7696</t>
  </si>
  <si>
    <t>jaywhitehead23@hotmail.com</t>
  </si>
  <si>
    <t>E Mortgage Capital Inc.</t>
  </si>
  <si>
    <t>Dawn Ippolito</t>
  </si>
  <si>
    <t>dawn@coldwellbankerab.com, 951-522-8710</t>
  </si>
  <si>
    <t>Buyer changed their mind over the weekend. Blake tried to assist in saving the deal, no luck</t>
  </si>
  <si>
    <t>4723 Rim Rock Rd</t>
  </si>
  <si>
    <t xml:space="preserve">William Weigel, Debra Weigel </t>
  </si>
  <si>
    <t>W:(760)458-7514, D:(913)708-4106</t>
  </si>
  <si>
    <t>bweigeljr@yahoo.com, weigel.debra@yahoo.com</t>
  </si>
  <si>
    <t>Five Star Escrow</t>
  </si>
  <si>
    <t xml:space="preserve">Deborah See </t>
  </si>
  <si>
    <t>deborahmsee@gmail.com, (760) 715-4295</t>
  </si>
  <si>
    <t>Investigation period</t>
  </si>
  <si>
    <t>27250 Murrieta Rd #75</t>
  </si>
  <si>
    <t>Wanda Montano, Gerardo Montano</t>
  </si>
  <si>
    <t>619-564-0451</t>
  </si>
  <si>
    <t>Charlie Okada</t>
  </si>
  <si>
    <t>circuitree@earthlink.net;krissyallentc@gmail.com</t>
  </si>
  <si>
    <t>1/31 (P)</t>
  </si>
  <si>
    <t>L3 of the RPA.</t>
  </si>
  <si>
    <t>26639 Mehaffey St</t>
  </si>
  <si>
    <t>Bryan Perez</t>
  </si>
  <si>
    <t>bryan@pezmanrealty.com, 808-445-8900</t>
  </si>
  <si>
    <t>MLS Active</t>
  </si>
  <si>
    <t>Buyer canelled</t>
  </si>
  <si>
    <t>22952 Joaquin Ridge Dr</t>
  </si>
  <si>
    <t>Barrett Financial Group</t>
  </si>
  <si>
    <t>Silvester Nunez</t>
  </si>
  <si>
    <t>valleyrealtors@gmail.com, cara@goldentransactions.com - 951-240-8390</t>
  </si>
  <si>
    <t>L3 of the RPA</t>
  </si>
  <si>
    <t xml:space="preserve">988 Rose Arbor </t>
  </si>
  <si>
    <t>rnn2222@yahoo.com</t>
  </si>
  <si>
    <t>New Venture</t>
  </si>
  <si>
    <t>Bank of America</t>
  </si>
  <si>
    <t>Erin McClafferty</t>
  </si>
  <si>
    <t>erinmcrealty@gmail.com,  631-806-0414</t>
  </si>
  <si>
    <t>Lupe Valenzuela</t>
  </si>
  <si>
    <t>310-612-7586</t>
  </si>
  <si>
    <t xml:space="preserve">lupesproperties@gmail.com </t>
  </si>
  <si>
    <t>20368 Bailly St</t>
  </si>
  <si>
    <t>​michael@coryhometeam.com</t>
  </si>
  <si>
    <t>Inspection and Payment</t>
  </si>
  <si>
    <t>34842 Lyn Ave</t>
  </si>
  <si>
    <t>​PGS Home Loans</t>
  </si>
  <si>
    <t>Felipe Rodrigues</t>
  </si>
  <si>
    <t>felipe@mogul-realestate.com, 561-806-40125</t>
  </si>
  <si>
    <t>L3 of the RPA. The property has to undergo several repairs, as mentioned by BA.</t>
  </si>
  <si>
    <t>U.S. Bank</t>
  </si>
  <si>
    <t>Katherine Candelaria</t>
  </si>
  <si>
    <t>reoagent11@gmail.com</t>
  </si>
  <si>
    <t>​U​nited Lending Partners</t>
  </si>
  <si>
    <t>​Stephen Cochren</t>
  </si>
  <si>
    <t>​stephencochren@gmail.com,​amber@tcsummitsolutions.com</t>
  </si>
  <si>
    <t>Seller does not want to proceed with the FSBO</t>
  </si>
  <si>
    <t>361 Redbud Pl</t>
  </si>
  <si>
    <t>Paragraph 12 of the RPA or Inspections</t>
  </si>
  <si>
    <t>35 Parkwood Lane</t>
  </si>
  <si>
    <t>Zayn Almusawi</t>
  </si>
  <si>
    <t xml:space="preserve">Fernando Contreras Hernandez </t>
  </si>
  <si>
    <t>760-622-1052</t>
  </si>
  <si>
    <t xml:space="preserve">fernydm@icloud.com </t>
  </si>
  <si>
    <t>Mandy Anne Hamsayeh</t>
  </si>
  <si>
    <t>mandy.hamsayeh2023@gmail.com, 760-317-0151</t>
  </si>
  <si>
    <t>The buyer failed to remove the contingencies as per NBP.</t>
  </si>
  <si>
    <t>27107 Flagler St</t>
  </si>
  <si>
    <t>Arbor One</t>
  </si>
  <si>
    <t>Shandra Wilde</t>
  </si>
  <si>
    <t>s.leighwilde@gmail.com, 909-945-7660</t>
  </si>
  <si>
    <t>Buyer unable to access funds for the purchase.</t>
  </si>
  <si>
    <t>4281 N 5th St</t>
  </si>
  <si>
    <t>Fresno</t>
  </si>
  <si>
    <t>FRESNO</t>
  </si>
  <si>
    <t>Andy Nanez, Natalie Tienda</t>
  </si>
  <si>
    <t>A:559-515-5676, N:559-429-9284</t>
  </si>
  <si>
    <t>ntienda@yahoo.co</t>
  </si>
  <si>
    <t>Sheri Bush</t>
  </si>
  <si>
    <t>sbush@realtyconcepts.com, 559-593-2276</t>
  </si>
  <si>
    <t xml:space="preserve">They could not agree on a credit </t>
  </si>
  <si>
    <t>680 N 10th Street</t>
  </si>
  <si>
    <t>Banning</t>
  </si>
  <si>
    <t>​Celestina Farkas, Matthew Dutciuc</t>
  </si>
  <si>
    <t>C: ​909-645-5769 M:​909-649-2021</t>
  </si>
  <si>
    <t>celestinanavas@gmail.com,​ matthewdut14@gmail.com</t>
  </si>
  <si>
    <t>1st Class Financial</t>
  </si>
  <si>
    <t>​Maribel Gonzalez</t>
  </si>
  <si>
    <t>​mgfunding@yahoo.com</t>
  </si>
  <si>
    <t>Unsatisfied with results of the inspection</t>
  </si>
  <si>
    <t>Williams Trust dated December 5, 2025 (Dennis J. Wood, Trustee)</t>
  </si>
  <si>
    <t>​​Joshua Biesiada</t>
  </si>
  <si>
    <t>​joshuaz@mendozarealty.com,​stefanie@mendozarealty.com</t>
  </si>
  <si>
    <t>Buyer has failed to remove the applicable contingency or take the applicable contractual action after being given a Notice</t>
  </si>
  <si>
    <t>EZ Fundings</t>
  </si>
  <si>
    <t xml:space="preserve">Buyer backed out due to home inspection. Listing cancelled by seller </t>
  </si>
  <si>
    <t>David Limon</t>
  </si>
  <si>
    <t>dlimon@hipackinc.com, 951-445-0691</t>
  </si>
  <si>
    <t>31038 Ponderosa St</t>
  </si>
  <si>
    <t xml:space="preserve">Felix Sanchez </t>
  </si>
  <si>
    <t>760-300-5177</t>
  </si>
  <si>
    <t xml:space="preserve">felixjrsanchez@yahoo.com </t>
  </si>
  <si>
    <t>Saul Miranda</t>
  </si>
  <si>
    <t>smiranda@amerexrealty.com, 562-753-1584</t>
  </si>
  <si>
    <t xml:space="preserve">27321 Prominence Rd </t>
  </si>
  <si>
    <t>Maria Bernardina Padilla</t>
  </si>
  <si>
    <t xml:space="preserve">Padillaberna@gmail.com </t>
  </si>
  <si>
    <t>OC Coast Escrow</t>
  </si>
  <si>
    <t xml:space="preserve">Steve DonVito </t>
  </si>
  <si>
    <t>donvitirealty@gmail.com</t>
  </si>
  <si>
    <t>The other party has failed to close escrow after being given demand to close escrow.</t>
  </si>
  <si>
    <t xml:space="preserve">Claudia Lomeli </t>
  </si>
  <si>
    <t>LuxbyClaudia@gmail.com, 323-854-8473</t>
  </si>
  <si>
    <t xml:space="preserve">No details, shows cancelled in SkySlope. </t>
  </si>
  <si>
    <t>5413 Fairgreen Way</t>
  </si>
  <si>
    <t>Bonsall</t>
  </si>
  <si>
    <t>Justin and Sasha Nixon</t>
  </si>
  <si>
    <t>760 - 975-4454, 760-546-8481</t>
  </si>
  <si>
    <t>C2 Financial</t>
  </si>
  <si>
    <t>Risa Waite</t>
  </si>
  <si>
    <t>risawaite@gmail</t>
  </si>
  <si>
    <t>Buyers cancelled following home inspection results.</t>
  </si>
  <si>
    <t xml:space="preserve"> 44557 La Paz Rd Unit B</t>
  </si>
  <si>
    <t>David Page, Gina M Page</t>
  </si>
  <si>
    <t>D: 310-625-5335 G:818-632-1686</t>
  </si>
  <si>
    <t>Dmpage01@outlook.com,Gmpage01@verizon.net</t>
  </si>
  <si>
    <t>V.I.P. Mortgage, Inc</t>
  </si>
  <si>
    <t xml:space="preserve">Rita Albezer </t>
  </si>
  <si>
    <t>crosskeysrealty@yahoo.com, 951-973-9333</t>
  </si>
  <si>
    <t>Buyer was not happy post inspection.</t>
  </si>
  <si>
    <t>A:(925)408-0535</t>
  </si>
  <si>
    <t>​Noel Sena Jr</t>
  </si>
  <si>
    <t>​noelsenarealtor@gmail.com,rbulmer77@gmail.com, ​​760​-514-3126</t>
  </si>
  <si>
    <t>Buyer got cold feet. First time buyer.</t>
  </si>
  <si>
    <t>1350 Marabou Lane</t>
  </si>
  <si>
    <t>​Isaac Samuel ​Johnston</t>
  </si>
  <si>
    <t>​spinsawsquad@gmail.com</t>
  </si>
  <si>
    <t>​Elite Escrow Services of San Diego</t>
  </si>
  <si>
    <t>Gunmit Mistry</t>
  </si>
  <si>
    <t>gunmit@icloud.com,dawn@newdawntc.com</t>
  </si>
  <si>
    <t>7293 El Cielo Cir</t>
  </si>
  <si>
    <t>David Radosevich</t>
  </si>
  <si>
    <t>EZ Fundings Home Loans</t>
  </si>
  <si>
    <t>Francis Deguzman</t>
  </si>
  <si>
    <t xml:space="preserve">Buyer decided to cancel this and go with offer accepted at: 29419 Pebble Beach Dr </t>
  </si>
  <si>
    <t>25225 Corte Sandia</t>
  </si>
  <si>
    <t>Leslie Carrillo</t>
  </si>
  <si>
    <t>1LeslieCarrillo@gmail.com, 951-694-2209</t>
  </si>
  <si>
    <t>Inspection.</t>
  </si>
  <si>
    <t>Mortgage X</t>
  </si>
  <si>
    <t>Francisco Macias</t>
  </si>
  <si>
    <t>franciscorealtyx@gmail.com, 714-881-6316</t>
  </si>
  <si>
    <t xml:space="preserve">Buyer decided to cancel due to inspections </t>
  </si>
  <si>
    <t>27067 El Rancho Dr</t>
  </si>
  <si>
    <t xml:space="preserve">Richard Magee </t>
  </si>
  <si>
    <t>951-265-8173</t>
  </si>
  <si>
    <t xml:space="preserve">rickkmagee@msn.com </t>
  </si>
  <si>
    <t xml:space="preserve">Jacqueline Geer </t>
  </si>
  <si>
    <t>jackie@coldwellbankerab.com, 951-640-7062</t>
  </si>
  <si>
    <t>ZBuyer</t>
  </si>
  <si>
    <t>Seller went MIA - no contact in a week and she is negative and needs funds to close</t>
  </si>
  <si>
    <t>1598 Amberwood Dr.</t>
  </si>
  <si>
    <t>Stefanie Cunningham</t>
  </si>
  <si>
    <t>(714)227-8442</t>
  </si>
  <si>
    <t>stefitup50@gmail.com</t>
  </si>
  <si>
    <t>Destiny Six Financial</t>
  </si>
  <si>
    <t xml:space="preserve">Derrick Luckett </t>
  </si>
  <si>
    <t>destinysixfinancial@gmail.com, michellecollinstc@gmail.com,Deedee.luckett@gmail.com</t>
  </si>
  <si>
    <t>4/22 (P)</t>
  </si>
  <si>
    <t>Investor could not get buyer for the property. Seller is not going to sell.</t>
  </si>
  <si>
    <t>3294 W Star Rd</t>
  </si>
  <si>
    <t>Borrego Springs</t>
  </si>
  <si>
    <t xml:space="preserve">Ryan Roach </t>
  </si>
  <si>
    <t>954-744-2354</t>
  </si>
  <si>
    <t>ryanroach@comcast.net</t>
  </si>
  <si>
    <t>Cherry Lane Escrow</t>
  </si>
  <si>
    <t>Lori Kosky-Herrera</t>
  </si>
  <si>
    <t>lkoskyherrera@sundae.com, jgarcia@sundae.com, (760) 989-6991</t>
  </si>
  <si>
    <t>4/20 (P) Not found on CHT Listing board</t>
  </si>
  <si>
    <t>Buyer backed out 04/30/26.</t>
  </si>
  <si>
    <t>6123 Valentina Way #303</t>
  </si>
  <si>
    <t>Miguel Parra, Alin Furlong</t>
  </si>
  <si>
    <t>M: (909) 714-3298 A:(909) 734-2927.</t>
  </si>
  <si>
    <t>parram_90@icloud.com, alinfurlong@yahoo.com</t>
  </si>
  <si>
    <t>​Gabriela V. Guzman-Gonzalez</t>
  </si>
  <si>
    <t>​GONZsold@gmail.com, ​tc@jessthetc.com</t>
  </si>
  <si>
    <t>4/23 (P)</t>
  </si>
  <si>
    <t>Buyer had too many needs and unresonable credit request</t>
  </si>
  <si>
    <t>Guy Campbell Loan Cosultant</t>
  </si>
  <si>
    <t>April Denson</t>
  </si>
  <si>
    <t>april@livinglocalrealtor.com, cara@goldentransactions.com</t>
  </si>
  <si>
    <t>5/2 (P)</t>
  </si>
  <si>
    <t xml:space="preserve">The buyer had a medical situation over the weekend and is unable to proceed. </t>
  </si>
  <si>
    <t>Redfin</t>
  </si>
  <si>
    <t>Laurie  Buchanan</t>
  </si>
  <si>
    <t>laurie@mvescrow.com, 951-679-2343</t>
  </si>
  <si>
    <t>Buyer backed out due to Solar cost 60k</t>
  </si>
  <si>
    <t>31820 Gimbal Way</t>
  </si>
  <si>
    <t>Andrew Reyonez, Stephanie Reyonez</t>
  </si>
  <si>
    <t>A:951-966-6937, S:951-282-6424</t>
  </si>
  <si>
    <t xml:space="preserve">arayonez@gmail.com, sgutierrez008@gmail.com </t>
  </si>
  <si>
    <t>Modem Mortgage Lending, Inc.</t>
  </si>
  <si>
    <t>Monarch</t>
  </si>
  <si>
    <t>Goran Forss</t>
  </si>
  <si>
    <t>goran@teamforss.com, 951-302-1492</t>
  </si>
  <si>
    <t>33510 Cedar Creek Ln.</t>
  </si>
  <si>
    <t>​​Tony Zablah​</t>
  </si>
  <si>
    <t>​949​-331-8385</t>
  </si>
  <si>
    <t>​zfalafel@hotmail.com</t>
  </si>
  <si>
    <t>Cloud Escrow</t>
  </si>
  <si>
    <t>SB Mortgage Group</t>
  </si>
  <si>
    <t>​William Villa</t>
  </si>
  <si>
    <t>villarealtyinc@gmail.com, 760-908-4264</t>
  </si>
  <si>
    <t>Buyer opened escrow on a different property with less work needed</t>
  </si>
  <si>
    <t>276 N El Camino Real #220</t>
  </si>
  <si>
    <t>Laura C. Melton</t>
  </si>
  <si>
    <t>​lmelton64@outlook.com</t>
  </si>
  <si>
    <t>CORNER ESCROW, INC.</t>
  </si>
  <si>
    <t xml:space="preserve">Judy Ann Richard </t>
  </si>
  <si>
    <t>brokerparalegalsolutions@gmail.com, jennifer@yourvirtualtc.com</t>
  </si>
  <si>
    <t>Mutual</t>
  </si>
  <si>
    <t>Mutual Cancellation</t>
  </si>
  <si>
    <t>38551 Tranquila Ave</t>
  </si>
  <si>
    <t>Nicolas W. Smith,Brooke A. Smith</t>
  </si>
  <si>
    <t>nickcedarglen@gmail.com,brookeasmith81@gmail.com</t>
  </si>
  <si>
    <t>Modern Lending</t>
  </si>
  <si>
    <t>Julie Lane</t>
  </si>
  <si>
    <t>julie.lane@cbrealty.com,951-970-7739</t>
  </si>
  <si>
    <t>Seller could not sell their home to secur new build in time.</t>
  </si>
  <si>
    <t xml:space="preserve">12963 Royale Dr. </t>
  </si>
  <si>
    <t>The Escrow Specialist, Inc.</t>
  </si>
  <si>
    <t>4/21 (P) No transaction details in Zillow</t>
  </si>
  <si>
    <t>34957 Allium Lane</t>
  </si>
  <si>
    <t>Rovie Chopitea, Bryan Chopitea</t>
  </si>
  <si>
    <t>R:951-348-9021, B:951-491-40550</t>
  </si>
  <si>
    <t xml:space="preserve">roviechipitea1@gmail.com, B.chopitea@1heartcares.com </t>
  </si>
  <si>
    <t>Power Escrow Inc.</t>
  </si>
  <si>
    <t>All In Lending</t>
  </si>
  <si>
    <t>Mark@MarkPerryRealty.com, 951-760-8943</t>
  </si>
  <si>
    <t>8A of the RPA/Loan.</t>
  </si>
  <si>
    <t>1025 Dixie Dr</t>
  </si>
  <si>
    <t>Pauline S Richards</t>
  </si>
  <si>
    <t>951-212-8019</t>
  </si>
  <si>
    <t>paularichie51@gmail.com</t>
  </si>
  <si>
    <t>East West Bank</t>
  </si>
  <si>
    <t>Hector Gutierrez</t>
  </si>
  <si>
    <t>HectorgRealtor1@gmail.com, 951-956-0921</t>
  </si>
  <si>
    <t>Buyer did not perform with EMD</t>
  </si>
  <si>
    <t>17073 Spring Canyon Pl</t>
  </si>
  <si>
    <t>Marquis Escrow</t>
  </si>
  <si>
    <t>Leo Betancourt</t>
  </si>
  <si>
    <t>LeoBetancourt@remax.net, (714)308-7838</t>
  </si>
  <si>
    <t>Unexpected layoffs from employer</t>
  </si>
  <si>
    <t>24282 Hazelnut Avenue</t>
  </si>
  <si>
    <t>Nicole Rhoads</t>
  </si>
  <si>
    <t>760​-207-7729</t>
  </si>
  <si>
    <t>nicolerhoads813@yahoo.com</t>
  </si>
  <si>
    <t>Escrow Edge Inc,.</t>
  </si>
  <si>
    <t>​Skyla Dean</t>
  </si>
  <si>
    <t>skyladeanrealestate@gmail.com,hollydanielsontc@gmail.com</t>
  </si>
  <si>
    <t>Seller decided not to proceed with selling at this time. CANC with OD</t>
  </si>
  <si>
    <t>19591 Tomahawk Road</t>
  </si>
  <si>
    <t>Heidi Kaberline</t>
  </si>
  <si>
    <t>(360) 746-4825</t>
  </si>
  <si>
    <t>t497mt6rmh@privaterelay.appleid.com</t>
  </si>
  <si>
    <t>OSN Escrow Inc.,</t>
  </si>
  <si>
    <t>SNAP</t>
  </si>
  <si>
    <t>Melissa Westfall</t>
  </si>
  <si>
    <t>hello@opendoor.com. 951-783-4838</t>
  </si>
  <si>
    <t>4/28 (P) 4/28/26: Not found on CHT Listing Board; No Transaction details in Zillow</t>
  </si>
  <si>
    <t>8019 Caminito De Pizza # B</t>
  </si>
  <si>
    <t>Vera Churilov</t>
  </si>
  <si>
    <t>619-855-1035</t>
  </si>
  <si>
    <t>vera00@gmail.com</t>
  </si>
  <si>
    <t>Felissa Montanez</t>
  </si>
  <si>
    <t>felissa@thebrandrealty.com, 760-877-0599</t>
  </si>
  <si>
    <t xml:space="preserve">4/23 (P) </t>
  </si>
  <si>
    <t>Family medical emergency</t>
  </si>
  <si>
    <t>13602 Joshua Ln</t>
  </si>
  <si>
    <t xml:space="preserve">Chino </t>
  </si>
  <si>
    <t>Kevin  Pedraza, Magdalena  Pedraza</t>
  </si>
  <si>
    <t>K: 714-261-8444. M: 323-333-0324</t>
  </si>
  <si>
    <t xml:space="preserve">kpedraza7@yahoo.com, magdalena_merlo@yahoo.com </t>
  </si>
  <si>
    <t>Chartwell Escrow</t>
  </si>
  <si>
    <t>William Algarin</t>
  </si>
  <si>
    <t>william.algarin@compass.com, kelsey@thetcfirm.com</t>
  </si>
  <si>
    <t>6/4 (P) Not found in CHT Listing Board</t>
  </si>
  <si>
    <t>Buyer failed to deposit EMD.</t>
  </si>
  <si>
    <t>24468 Lincoln Ave</t>
  </si>
  <si>
    <t>C2 Financial Corp</t>
  </si>
  <si>
    <t xml:space="preserve">Nathan Gray </t>
  </si>
  <si>
    <t>nathan.gray@compass.com, 858-914-8004</t>
  </si>
  <si>
    <t>State</t>
  </si>
  <si>
    <t>Agent Phone</t>
  </si>
  <si>
    <t>Agent Email</t>
  </si>
  <si>
    <t>TC Email</t>
  </si>
  <si>
    <t>Client Email</t>
  </si>
  <si>
    <t>Escrow Phone</t>
  </si>
  <si>
    <t>Escrow Email</t>
  </si>
  <si>
    <t>Lender Phone</t>
  </si>
  <si>
    <t>Lender Email</t>
  </si>
  <si>
    <t>Solar</t>
  </si>
  <si>
    <t>HOA</t>
  </si>
  <si>
    <t>Septic</t>
  </si>
  <si>
    <t>Termite</t>
  </si>
  <si>
    <t>Is this contingent to sale/purchase</t>
  </si>
  <si>
    <t>Notes</t>
  </si>
  <si>
    <t>Uploads</t>
  </si>
  <si>
    <t>26802 Girard St</t>
  </si>
  <si>
    <t>James Shemika/James Ortiz La Jon</t>
  </si>
  <si>
    <t>909-252-1796</t>
  </si>
  <si>
    <t>leionahjames@gmail.com</t>
  </si>
  <si>
    <t>CASH</t>
  </si>
  <si>
    <t>Charlie Martinez</t>
  </si>
  <si>
    <t>1/22 (P)</t>
  </si>
  <si>
    <t>3/2 (P)</t>
  </si>
  <si>
    <t xml:space="preserve"> 2205 W Acacia Ave Spc # 139</t>
  </si>
  <si>
    <t>admin@thetcboss.com,tc@realtystaff.net</t>
  </si>
  <si>
    <t>3/3 (P)</t>
  </si>
  <si>
    <t>3/18 (P)</t>
  </si>
  <si>
    <t>​noelsenarealtor@gmail.com, ​​760​-514-3126</t>
  </si>
  <si>
    <t>​shalineheng@gmail.com,TC@wererealestate.com, ​​626​-537-5655</t>
  </si>
  <si>
    <t>​​mark@markperryrealty.com,​951​-760-8943</t>
  </si>
  <si>
    <t>Orange highlights are listings in place prior to 10/01/2025</t>
  </si>
  <si>
    <t>AGREEMENT INFO</t>
  </si>
  <si>
    <t>CONTACT INFO</t>
  </si>
  <si>
    <t>Listing Services</t>
  </si>
  <si>
    <t>Listing Showcase Yes / No</t>
  </si>
  <si>
    <t>Listing Agent</t>
  </si>
  <si>
    <t>Status</t>
  </si>
  <si>
    <t>Address</t>
  </si>
  <si>
    <t>SIGN Up/Down</t>
  </si>
  <si>
    <t>Listing Price</t>
  </si>
  <si>
    <t>Listing Start Date</t>
  </si>
  <si>
    <t xml:space="preserve">Listing Exp Date </t>
  </si>
  <si>
    <t>Take Sheet Received</t>
  </si>
  <si>
    <t>Commission</t>
  </si>
  <si>
    <t>Agent Fee</t>
  </si>
  <si>
    <t>Sellers HW Order</t>
  </si>
  <si>
    <t>Days Off Market</t>
  </si>
  <si>
    <t>Todays Date</t>
  </si>
  <si>
    <t>Trust Name or Entity</t>
  </si>
  <si>
    <t>Clients Legal Name</t>
  </si>
  <si>
    <t>Clients Phone</t>
  </si>
  <si>
    <t>Clients Email</t>
  </si>
  <si>
    <t>n/a</t>
  </si>
  <si>
    <t>No</t>
  </si>
  <si>
    <t>Active</t>
  </si>
  <si>
    <t>28232 Palm Villa Dr, Menifee CA 92584</t>
  </si>
  <si>
    <t>Up</t>
  </si>
  <si>
    <t>Ordered</t>
  </si>
  <si>
    <t>Dee Leavitt</t>
  </si>
  <si>
    <t>(408) 476-9255</t>
  </si>
  <si>
    <t>dee2564@sbcglobal.net</t>
  </si>
  <si>
    <t>Add-On</t>
  </si>
  <si>
    <t>27150 Shadel Rd #122, Menifee CA 92586</t>
  </si>
  <si>
    <t>Agent Paid</t>
  </si>
  <si>
    <t>Betsy J. Chiaraluce, Paul E. Velasquez</t>
  </si>
  <si>
    <t>(951)514-1668</t>
  </si>
  <si>
    <t>betsy3773@hotmail.com, paulrealestatedocs@gmail.com</t>
  </si>
  <si>
    <t>7221 San Luis, Carlsbad CA 92011</t>
  </si>
  <si>
    <t xml:space="preserve"> Cory Real Estate Partners, LLC</t>
  </si>
  <si>
    <t>Yes</t>
  </si>
  <si>
    <t>1218 Larkspur Ln., Beaumont CA 92223</t>
  </si>
  <si>
    <t>Agent Pay COE</t>
  </si>
  <si>
    <t>Kelly A Kiemele</t>
  </si>
  <si>
    <t>(909)856-4711</t>
  </si>
  <si>
    <t>kellysfirst1@hotmail.com</t>
  </si>
  <si>
    <t>29562 Winterstorm Ct., Winchester CA 92596</t>
  </si>
  <si>
    <t>Antonio Plascencia Hernandez, Alejandra Plascencia</t>
  </si>
  <si>
    <t>(323)482-2643</t>
  </si>
  <si>
    <t>adanv905@gmail.com, j_plascencia@yahoo.com</t>
  </si>
  <si>
    <t>Purchased</t>
  </si>
  <si>
    <t>38680 Avenida De La Bandolero, Temecula CA 92592</t>
  </si>
  <si>
    <t>Up Rqst</t>
  </si>
  <si>
    <t>Margaret Enriquez, Jose Enriquez</t>
  </si>
  <si>
    <t>(951)705-2119</t>
  </si>
  <si>
    <t>magsmods@gmail.com, j.j.e.1330je@gmail.com</t>
  </si>
  <si>
    <t>43754 De Luz, Temecula CA 92590</t>
  </si>
  <si>
    <t>David Demarco</t>
  </si>
  <si>
    <t>(415)815-8313</t>
  </si>
  <si>
    <t>Bellamareyachting@gmail.com</t>
  </si>
  <si>
    <t>32956 Kevin Pl., Lake Elsinore CA 92530</t>
  </si>
  <si>
    <t>27073 N Bay Lane, Menifee, 92585</t>
  </si>
  <si>
    <t>Subscription</t>
  </si>
  <si>
    <t>6123 Valentina Way #303, Eastvale CA 92880</t>
  </si>
  <si>
    <t>M:(909)714-3298, A: (909)734-2927</t>
  </si>
  <si>
    <t xml:space="preserve">parram_90@icloud.com, alinfurlong@yahoo.com </t>
  </si>
  <si>
    <t xml:space="preserve">13895 Bell Way, Fontana 92336 </t>
  </si>
  <si>
    <t>Karlie Erickson, Jessica Mihal</t>
  </si>
  <si>
    <t>(626)533-0135</t>
  </si>
  <si>
    <t>karliembuller@gmail.com, themihalfamily@gmail.com</t>
  </si>
  <si>
    <t>9128 Deergrass St., Corona CA 92883</t>
  </si>
  <si>
    <t>Revocable Living Trust of Veronica H. Morell</t>
  </si>
  <si>
    <t>Cole S. Gress, Co-Trustee,  Richard A. Morrell, Co-Trustee</t>
  </si>
  <si>
    <t xml:space="preserve">RichMorrell123@gmail.comColegress@aol.com, </t>
  </si>
  <si>
    <t>14191 Bridge Ln, Lytle Creek CA 92358</t>
  </si>
  <si>
    <t>Bradley VanGroeningen</t>
  </si>
  <si>
    <t>(909) 693-2636</t>
  </si>
  <si>
    <t>Kn6njv@gmail.com</t>
  </si>
  <si>
    <t>1485 Via Ladera, Fallbrook CA 92028</t>
  </si>
  <si>
    <t>Yankee Holdings Trust dated March 4, 2025</t>
  </si>
  <si>
    <t>Sheldon Friedberg, Trustee</t>
  </si>
  <si>
    <t>(951) 210-9906</t>
  </si>
  <si>
    <t>Lacudocs@gmail.com</t>
  </si>
  <si>
    <t>43121 Corte Cabrera, Temecula CA 92592</t>
  </si>
  <si>
    <t>Heather Ashton Parker</t>
  </si>
  <si>
    <t>(760) 274-3686</t>
  </si>
  <si>
    <t>Parker.heather45@gmail.com</t>
  </si>
  <si>
    <t>17918 Catalpa Street, Hesperia, CA 92345</t>
  </si>
  <si>
    <t>Todd Domme, Sara Domme</t>
  </si>
  <si>
    <t>T: (951) 821-1676, S: (951) 821-1678</t>
  </si>
  <si>
    <t>domme62480@yahoo.com, sarak_92587@yahoo.com</t>
  </si>
  <si>
    <t>6975 Camino Amero, San Diego CA 92111</t>
  </si>
  <si>
    <t>Michael Shames Revocable Living Trust dated April 16, 2025</t>
  </si>
  <si>
    <t>Michael Shames</t>
  </si>
  <si>
    <t>(619) 393-2224</t>
  </si>
  <si>
    <t>admin@allthingsmichael.com</t>
  </si>
  <si>
    <t>APN#0470-202-09 0 Panamint Trail, Hesperia, CA 92342</t>
  </si>
  <si>
    <t>N/A (Land)</t>
  </si>
  <si>
    <t>Scott Edmond Salus</t>
  </si>
  <si>
    <t>619-253-6812</t>
  </si>
  <si>
    <t>elgitano24@hotmail.com</t>
  </si>
  <si>
    <t xml:space="preserve">Rosalina Williams </t>
  </si>
  <si>
    <t>40755 Knollwood Ct Palmdale CA 93551</t>
  </si>
  <si>
    <t>Parisa Shamlou</t>
  </si>
  <si>
    <t>3304 Caminito Eastbluff #143 La Jolla Ca 92037</t>
  </si>
  <si>
    <t>2.26.26</t>
  </si>
  <si>
    <t>1098 Stonebridge Ave, Tulare, CA 93274</t>
  </si>
  <si>
    <t>Delfino &amp; Felma Mariano</t>
  </si>
  <si>
    <t>808-268-5526</t>
  </si>
  <si>
    <t>felma.mariano2008@gmail.com</t>
  </si>
  <si>
    <t>211 S Beach Blvd 119 Anaheim, Ca 92804</t>
  </si>
  <si>
    <t>No Sign Order</t>
  </si>
  <si>
    <t>Jesus Marin, Manuel M Flores</t>
  </si>
  <si>
    <t>J:714-860-5879, M:714-818-5212</t>
  </si>
  <si>
    <t>Jesinrom13@outlpek.com, manuel.marin0497@gmail.com</t>
  </si>
  <si>
    <t>30205 Chamonix Cir, Menifee, CA 92585</t>
  </si>
  <si>
    <t>Brian Tracy Adkins Jr, Danica Irene Zormeier</t>
  </si>
  <si>
    <t>B:951-558-2550, D:714-864-4404</t>
  </si>
  <si>
    <t>Btadkins16,11@gmail.com, Brian.danica2023@gmail.com</t>
  </si>
  <si>
    <t>2455 Via Sonoma A Palm Springs, Ca 92264</t>
  </si>
  <si>
    <t>No Sign Allowed</t>
  </si>
  <si>
    <t>Deborah Luna</t>
  </si>
  <si>
    <t>760-953-9821</t>
  </si>
  <si>
    <t>debeetle_2000@yahoo.com</t>
  </si>
  <si>
    <t>19145 Oak St Apple Valley, Ca 92308</t>
  </si>
  <si>
    <t>Seller Pay COE</t>
  </si>
  <si>
    <t>Pipeline</t>
  </si>
  <si>
    <t>Barbara Iczkowski</t>
  </si>
  <si>
    <t>hdreams555@gmail.com</t>
  </si>
  <si>
    <t>8019 Caminito De Pizza B San Diego, Ca 92108</t>
  </si>
  <si>
    <t>Vera Churilov Trust dated Nov 4,2022</t>
  </si>
  <si>
    <t xml:space="preserve">Spencer Salter </t>
  </si>
  <si>
    <t>34512 Burnt Pine Rd. Murrieta</t>
  </si>
  <si>
    <t xml:space="preserve">Zachary Lewis Pate, Kristi Jean Leonhard
</t>
  </si>
  <si>
    <t>Z:626-655-9702, K:951-889-7225</t>
  </si>
  <si>
    <t>Zpate@ymail.com, kleonhard812@gmail.com</t>
  </si>
  <si>
    <t>41550 De Anna Ranch Rd Murrieta, CA 92562</t>
  </si>
  <si>
    <t>Eric Johansen, Rachel Johansen</t>
  </si>
  <si>
    <t>951-567-4048</t>
  </si>
  <si>
    <t>esjohansen@yahoo.com, rachellynnejohansen@gmail.com</t>
  </si>
  <si>
    <t>1536 S State St. #147, Hemet CA 92543</t>
  </si>
  <si>
    <t>Agent Pat COE</t>
  </si>
  <si>
    <t>451 E 10th Ave., Escondido CA 92025</t>
  </si>
  <si>
    <t>Tami Marmon</t>
  </si>
  <si>
    <t>(760) 889-8264</t>
  </si>
  <si>
    <t>tmarmon64@gmail.com</t>
  </si>
  <si>
    <t>3317 Banyon Cir, Lake Elsinore CA 92530</t>
  </si>
  <si>
    <t>1800 E Lakeshore Dr Unit 1601, Lake Elsinore, CA 92530</t>
  </si>
  <si>
    <t>Carl Willis</t>
  </si>
  <si>
    <t>619-703-6064</t>
  </si>
  <si>
    <t>arizonashake@gmail.com</t>
  </si>
  <si>
    <t>24468 Lincoln Ave, Murrieta, CA 92562</t>
  </si>
  <si>
    <t>4795 Claire Dr Oceanside, Ca 92057</t>
  </si>
  <si>
    <t>Justin Hoffmann, Kara Jean Hoffmann</t>
  </si>
  <si>
    <t>J:262-388-6230, K:262-365-9263</t>
  </si>
  <si>
    <t>justnhoffmann34@gmail.com, karahoffmann34@yahoo.com</t>
  </si>
  <si>
    <t>17182 Dante St., Victorville CA 92304</t>
  </si>
  <si>
    <t>1923 Ray Abril Jr Ln, Colton CA 92324</t>
  </si>
  <si>
    <t>Octavio Gomez Salinas</t>
  </si>
  <si>
    <t>(714)853-7507</t>
  </si>
  <si>
    <t>octavinhosalinas2@gmail.com</t>
  </si>
  <si>
    <t>Hold</t>
  </si>
  <si>
    <t>3656 Basanite Ave., Ontario CA 91761</t>
  </si>
  <si>
    <t>Sarah Russell, Thomas Russell</t>
  </si>
  <si>
    <t>S:(817)919-1925, T:(206)551-2107</t>
  </si>
  <si>
    <t>vigilmartinez1976@yahoo.com, thomasrussell98116@hotmail.com</t>
  </si>
  <si>
    <t>4901 Siesta DriveOceanside California 92057</t>
  </si>
  <si>
    <t>Pending</t>
  </si>
  <si>
    <t>29757 Northshore St, Menifee Ca 92584</t>
  </si>
  <si>
    <t>Latyjera D Hunt</t>
  </si>
  <si>
    <t>15524 Louise St., Victorville CA 92395</t>
  </si>
  <si>
    <t>27601 Sun City Blvd Spc 318, Menifee CA 92586</t>
  </si>
  <si>
    <t>37701 Oxford Dr., Murrieta CA 92562</t>
  </si>
  <si>
    <t>2150 to be credited back through escrow for landscaping services</t>
  </si>
  <si>
    <t>R:(312) 952-7770, G:(312) 547-9000</t>
  </si>
  <si>
    <t>1404 Peacock Blvd., Oceanside CA 92056</t>
  </si>
  <si>
    <t>$380 paid by office for photos; Dana to deduct from splits</t>
  </si>
  <si>
    <t>Michael J. Rogers, Successor Trustee</t>
  </si>
  <si>
    <t xml:space="preserve">6220 45th St, Jurupa Valley 92509 </t>
  </si>
  <si>
    <t>Cory Real Estate Partners LLC</t>
  </si>
  <si>
    <t>Blake Cory, Managing Member</t>
  </si>
  <si>
    <t>(949)668-4733</t>
  </si>
  <si>
    <t>23820 Ironwood Ave #160, Moreno Valley CA 92557</t>
  </si>
  <si>
    <t>Agent Pay at COE</t>
  </si>
  <si>
    <t>32870 Virgo Way, Wildomar CA 92595</t>
  </si>
  <si>
    <t>Dennis Samuel Guerrero II, Angelica Garcia-Guerrero</t>
  </si>
  <si>
    <t>A: (323) 972-1752</t>
  </si>
  <si>
    <t>Eddie Kaveney</t>
  </si>
  <si>
    <t>28675 Suffolk Downs Way, Moreno Valley CA 92555</t>
  </si>
  <si>
    <t>3129 San Helena Drive, Oceanside CA 92056</t>
  </si>
  <si>
    <t>Michael Grieg, Ranae Grieg</t>
  </si>
  <si>
    <t>M: (858)354-3181, R: (760)473-3768</t>
  </si>
  <si>
    <t>17671 Big Sky Circle, Perris CA 92570</t>
  </si>
  <si>
    <t>23737 Cold Spring, Moreno Valley 92557</t>
  </si>
  <si>
    <t>7596 Arcadia Ave Hesperia, Ca 92345</t>
  </si>
  <si>
    <t>Tammy Rena Jacobson</t>
  </si>
  <si>
    <t>lovesuks1969@yahoo.com</t>
  </si>
  <si>
    <t>15417 Tobarra Rd., Fontana CA 92337</t>
  </si>
  <si>
    <t>15592 Red Oak Way, Victorville, 92394</t>
  </si>
  <si>
    <t>1025 Dixie Dr Hemet, Ca 92543</t>
  </si>
  <si>
    <t>25462 Clovelly Ct., Moreno Valley CA 92553</t>
  </si>
  <si>
    <t>26847 Calle Celia, Menifee, CA 92585</t>
  </si>
  <si>
    <t>Victor M. Martinez Lopez &amp; Sarai Montolla Martinez Lopez</t>
  </si>
  <si>
    <t>562-640-1635 619-962-4218</t>
  </si>
  <si>
    <t>saraimartinez.smm@gmail.com mannymartinez1343@gmail.com</t>
  </si>
  <si>
    <t>8614 Kendra Ln , Corona 92880</t>
  </si>
  <si>
    <t>Jacqueline Brumfield</t>
  </si>
  <si>
    <t>909-534-3402</t>
  </si>
  <si>
    <t>jbrumfield0610@gmail</t>
  </si>
  <si>
    <t xml:space="preserve">9093 Filaree Ct, Corona CA 92883  </t>
  </si>
  <si>
    <t>The Lily Flores Living Trust</t>
  </si>
  <si>
    <t>Frank Martinez, Trustee</t>
  </si>
  <si>
    <t xml:space="preserve">646-220-5544    </t>
  </si>
  <si>
    <t>Frankmartinez3@gmail.com</t>
  </si>
  <si>
    <t xml:space="preserve">15070 Sandalwood Ln., Chino Hills CA 91709 </t>
  </si>
  <si>
    <t>Edith M. Price, Trustee</t>
  </si>
  <si>
    <t>7428 Orien Ave., La Mesa CA 91941</t>
  </si>
  <si>
    <t>Margaret Powell</t>
  </si>
  <si>
    <t>6874 Raspberry Ct , Corona CA 92880</t>
  </si>
  <si>
    <t>Roberta D Burke</t>
  </si>
  <si>
    <t>951- 264- 3341</t>
  </si>
  <si>
    <t>1040 Sapphire Ln Corona, Ca 92882</t>
  </si>
  <si>
    <t xml:space="preserve">Agent Pay at COE </t>
  </si>
  <si>
    <t xml:space="preserve">   </t>
  </si>
  <si>
    <t>Kimberly D Bohnisch</t>
  </si>
  <si>
    <t>951-773-2458</t>
  </si>
  <si>
    <t>7428 Orien Ave.,La Mesa CA 91941</t>
  </si>
  <si>
    <t>(951)243-4479</t>
  </si>
  <si>
    <t>MKP5958@gmail.com</t>
  </si>
  <si>
    <t>Signed RLA</t>
  </si>
  <si>
    <t>27879 Foxfire St., Menifee CA 92586</t>
  </si>
  <si>
    <t>Gail D. Crankshaw</t>
  </si>
  <si>
    <t>(951)712-5572</t>
  </si>
  <si>
    <t>marykayladygail@verizon.net</t>
  </si>
  <si>
    <t>1156 Aspen St., Corona CA 92879</t>
  </si>
  <si>
    <t>Ricardo Ragazzo, Aurora Ragazzo</t>
  </si>
  <si>
    <t>(714) 875-4568</t>
  </si>
  <si>
    <t>jragazzo123@gmail.com, beauttiful@sbcglobal.net</t>
  </si>
  <si>
    <t>633 San Rogelio St., Hemet CA 92545</t>
  </si>
  <si>
    <t>David S. Rhiley, Trustee, Sarah R. Rhiley, Trustee</t>
  </si>
  <si>
    <t>S: ‭(619) 895-4845‬</t>
  </si>
  <si>
    <t>davidrhiley@gmail.com, s.rhiley@hotmail.com</t>
  </si>
  <si>
    <t>206 Park Ave #501, San Diego CA 92101</t>
  </si>
  <si>
    <t>Holly Bocalig, Jufel Bocalig</t>
  </si>
  <si>
    <t>H:(925) 708-5420, J:(707) 540-2788</t>
  </si>
  <si>
    <t>hbocalig@gmail.com, jbocalig@gmail.com</t>
  </si>
  <si>
    <t>2217 Burroughs St. #5, San Diego CA 92111</t>
  </si>
  <si>
    <t>Blake Turner</t>
  </si>
  <si>
    <t>(830)307-4562</t>
  </si>
  <si>
    <t>blaketurner@ricealumni.net</t>
  </si>
  <si>
    <t>18170 Capri St., Hesperia CA 92345</t>
  </si>
  <si>
    <t>Fernando Rizo</t>
  </si>
  <si>
    <t>(714) 851-1799</t>
  </si>
  <si>
    <t>mrizo1967@yahoo.com</t>
  </si>
  <si>
    <t>5509 Charlton Ave., Hemet CA 92544</t>
  </si>
  <si>
    <t>Rosemary Tucker</t>
  </si>
  <si>
    <t>(619) 838-3461</t>
  </si>
  <si>
    <t>rosepad2@gmail.com</t>
  </si>
  <si>
    <t>905 N San Gorgonio Ave., Banning CA 92220</t>
  </si>
  <si>
    <t>Vincent Cannon</t>
  </si>
  <si>
    <t>(951) 587-7071</t>
  </si>
  <si>
    <t>vincan951@gmail.com</t>
  </si>
  <si>
    <t>APN# APN#0399 344-19 0 Jess Ranch Parkway, Apple Valley, CA 92308</t>
  </si>
  <si>
    <t>1097 N State St SPC 37, Hemet, CA 92543-1518</t>
  </si>
  <si>
    <t>Colabewala Eric / Colabewala Jessica</t>
  </si>
  <si>
    <t>(714) 853-0581</t>
  </si>
  <si>
    <t>28666 Quail Pl, Menifee CA 92567</t>
  </si>
  <si>
    <t>Crito S F H L Che, Darianny SP Dominguez</t>
  </si>
  <si>
    <t>C:917-500-8073</t>
  </si>
  <si>
    <t>robertolopez1473@gmail.com, Dariannylopez.candy@gmail.com</t>
  </si>
  <si>
    <t>29825 Porth Rd, Murrieta, CA 92563</t>
  </si>
  <si>
    <t>15707 Merced Ave Chino Hills Ca 91709</t>
  </si>
  <si>
    <t>Linda S Schroeder</t>
  </si>
  <si>
    <t>2234 Redwood Dr Hemet Ca 92545</t>
  </si>
  <si>
    <t>Linda Schroeder</t>
  </si>
  <si>
    <t>(909) 993-2481</t>
  </si>
  <si>
    <t>1348 Gilmore Pl., Escondido CA 92026</t>
  </si>
  <si>
    <t>Hemmati Shahin  , Zarei Mahboubeh</t>
  </si>
  <si>
    <t>(714)553-2221 , (858)829-9897</t>
  </si>
  <si>
    <t>caspianfalcon@gmail.com, m.zarei1981@gmail.com</t>
  </si>
  <si>
    <t>6650 Amherst St. #6B, San Diego CA 92115</t>
  </si>
  <si>
    <t>Charles Simpson Jr.</t>
  </si>
  <si>
    <t>cesimps@pacbell.net</t>
  </si>
  <si>
    <t>Upcoming</t>
  </si>
  <si>
    <t>708 Vista Canyon Cir., Vista CA 92084-6660</t>
  </si>
  <si>
    <t>z.Agent HFL (N)</t>
  </si>
  <si>
    <t>10281 Riggins Rd., Phelan CA 92371</t>
  </si>
  <si>
    <t>Bernadette Bucnis</t>
  </si>
  <si>
    <t>(626) 272-6339</t>
  </si>
  <si>
    <t>Bernadette0717@outlook.com</t>
  </si>
  <si>
    <t>43357 Nola St. Hemet, CA 92544</t>
  </si>
  <si>
    <t>Jennifer Alcala</t>
  </si>
  <si>
    <t>619-699-9435</t>
  </si>
  <si>
    <t>Jennsdeals76@gmail.com</t>
  </si>
  <si>
    <t>z.Agent HFL (Y)</t>
  </si>
  <si>
    <t>1383 Willowstone Ct., San Jacinto CA 92582</t>
  </si>
  <si>
    <t>25362 Circle Stone Drive, Menifee CA 92586</t>
  </si>
  <si>
    <t>Timothy Macasero</t>
  </si>
  <si>
    <t>619-300-4704</t>
  </si>
  <si>
    <t>TTMacasero@gmail.com</t>
  </si>
  <si>
    <t>6333 College Grove Wa #2207, San Diego CA 92115</t>
  </si>
  <si>
    <t>320 N Park Vista Space 62, Anaheim, 92806</t>
  </si>
  <si>
    <t>35968 Frederick St, Wildomar, CA 92595</t>
  </si>
  <si>
    <t>31816 Avenue E #101, Yucaipa, CA 92399</t>
  </si>
  <si>
    <t>Laura L Garcia, Hector E Garcia</t>
  </si>
  <si>
    <t>L:714-495-5556</t>
  </si>
  <si>
    <t>lauralikegme2@gmail.com, California909@hotmail.com</t>
  </si>
  <si>
    <t>4053 Rubidoux Blvd., Riverside CA 92509</t>
  </si>
  <si>
    <t>84950 &amp; 84951 Calle Zamora, Coachella CA 92236</t>
  </si>
  <si>
    <t>3612 Vista Bella Unit #5 , Oceanside</t>
  </si>
  <si>
    <t>27535 Lakeview Dr. #44, Helendale CA 922342</t>
  </si>
  <si>
    <t>Agnet Pay at COE</t>
  </si>
  <si>
    <t>Michele K.B. Maese, Son has POA</t>
  </si>
  <si>
    <t>Son: 310-867-9295, M:424-502-7253</t>
  </si>
  <si>
    <t>edvelasquez310@gmail.com</t>
  </si>
  <si>
    <t>34078 Lady Fern Ct., Lake Elsinore CA 92532</t>
  </si>
  <si>
    <t>Marcia R. Santos</t>
  </si>
  <si>
    <t>(951) 534-1428</t>
  </si>
  <si>
    <t>Marcia.Santos@Sciex.com</t>
  </si>
  <si>
    <t>0 Lincoln Road Lucerne Valley 92396</t>
  </si>
  <si>
    <t>Seller had a death in the family</t>
  </si>
  <si>
    <t>Cancelled</t>
  </si>
  <si>
    <t>14129 Luna Rd. Victorville, CA 92392</t>
  </si>
  <si>
    <t>Removed</t>
  </si>
  <si>
    <t>Carmen Villalobos, Jose Villalobos, Celeste Villalobos</t>
  </si>
  <si>
    <t>(909) 235-8690</t>
  </si>
  <si>
    <t>lobos_7427@yahoo.com, villalobos30734@gmail.com, cdv.19830@gmail.com</t>
  </si>
  <si>
    <t>Closed</t>
  </si>
  <si>
    <t>29267 Summerset Dr., Menifee CA 92586</t>
  </si>
  <si>
    <t>Florida Schwestka</t>
  </si>
  <si>
    <t>(619)820-3491</t>
  </si>
  <si>
    <t>fschwestka@gmail.com</t>
  </si>
  <si>
    <t>236 E Manchester Ln., San Bernardino CA 92408</t>
  </si>
  <si>
    <t>41979 Rondo St # 1106, Murrieta 92562</t>
  </si>
  <si>
    <t>18294 Saltbush Ct, San Bernardino, CA 92407</t>
  </si>
  <si>
    <t xml:space="preserve">1/13/26 Kendra requested this be moved to expired </t>
  </si>
  <si>
    <t>Expired</t>
  </si>
  <si>
    <t>3340 Del Sol Blvd #227, San Diego, CA 92154-3462</t>
  </si>
  <si>
    <t>Down Rqst</t>
  </si>
  <si>
    <t xml:space="preserve"> Gabriel Sanchez Aldana, Blanca Sanchez Aldana</t>
  </si>
  <si>
    <t>619-254-9480</t>
  </si>
  <si>
    <t>gabrielonsa@hotmail.com; blancasanchezaldana@hotmail.com</t>
  </si>
  <si>
    <t>15050 Monte Vista Ave SPC 126, Chino Hills, CA 91709</t>
  </si>
  <si>
    <t>Xiomara Barrera</t>
  </si>
  <si>
    <t>310-678-2285</t>
  </si>
  <si>
    <t>xbimports@gmail.com</t>
  </si>
  <si>
    <t>0 River Rd, Perris, CA 92570</t>
  </si>
  <si>
    <t>Jesse  Cisneros</t>
  </si>
  <si>
    <t>909-342-5217</t>
  </si>
  <si>
    <t>JesseCisneros583@outlook.com</t>
  </si>
  <si>
    <t>Elzabeth  Arreola</t>
  </si>
  <si>
    <t>909-212-3664</t>
  </si>
  <si>
    <t>earreola773@gmail.com</t>
  </si>
  <si>
    <t>sister and nephew were killed in a car accident and that is why he hasnt been taking my calls.</t>
  </si>
  <si>
    <t>1744 Broomwood Dr, San Jacinto 92582</t>
  </si>
  <si>
    <t xml:space="preserve">Seller is not moving forward. </t>
  </si>
  <si>
    <t>2249 Quail Ct., San Jainto CA 92582-3712</t>
  </si>
  <si>
    <t>Pauline  Hollomon</t>
  </si>
  <si>
    <t>951-452-1673</t>
  </si>
  <si>
    <t>pauline.hollomon60@hotmail.com</t>
  </si>
  <si>
    <t>37432 Hydrus Pl., Murrieta CA 92563-2781</t>
  </si>
  <si>
    <t>Jeffrey S. Chiappetta / Mark A. Chiappetta</t>
  </si>
  <si>
    <t>951-219-4556 / 951-219-4541</t>
  </si>
  <si>
    <t>chiappettaj59@gmail.com; chiappettamark61@gmail.com</t>
  </si>
  <si>
    <t xml:space="preserve">per Kendra seller decided to keep as a rental </t>
  </si>
  <si>
    <t>10584 Chevron Ct Adelanto, Ca 92301</t>
  </si>
  <si>
    <t>64550 Pierson Boulevard #25 Desert Hot Springs CA 92240</t>
  </si>
  <si>
    <t>913 S Grand Ave #41, San Jacinto, CA 92582-1041</t>
  </si>
  <si>
    <t>Joshua Jonathan  Whitehead</t>
  </si>
  <si>
    <t xml:space="preserve">No updates </t>
  </si>
  <si>
    <t>1362 Yorktown Circle, San Jacinto CA 92583</t>
  </si>
  <si>
    <t>Mary Vallejo</t>
  </si>
  <si>
    <t>(951)391-7689</t>
  </si>
  <si>
    <t>Listing Expired</t>
  </si>
  <si>
    <t>1424 Poppy Ct., Beaumont CA 92223-2035</t>
  </si>
  <si>
    <t>Daniel Joshua Palmer</t>
  </si>
  <si>
    <t>951-440-7237</t>
  </si>
  <si>
    <t>dangle_palmer@carmax.com</t>
  </si>
  <si>
    <t>32249 Cour Meyney, Temecula CA 92591</t>
  </si>
  <si>
    <t>24450 Malaga Rd Menifee CA 92585-9357</t>
  </si>
  <si>
    <t>234 Bass Ct., Perris CA 92571</t>
  </si>
  <si>
    <t>27992 Whisperwood Dr , Menifee 92584</t>
  </si>
  <si>
    <t>29770 Avenida De Real , Menifee 92586</t>
  </si>
  <si>
    <t>customelectric@gmail.com</t>
  </si>
  <si>
    <t>4561 Brookview Ct , Chino Hills 91709</t>
  </si>
  <si>
    <t>Robert L Jensen , Stephanie E Jensen</t>
  </si>
  <si>
    <t>626-242-5584 909-247-4857</t>
  </si>
  <si>
    <t>robbyjensen17@yahoo s_m_alvarado@yahoo</t>
  </si>
  <si>
    <t>31637 Meadow Ln, Winchester, CA 92596-9684</t>
  </si>
  <si>
    <t>cserrano0024@gmail.com</t>
  </si>
  <si>
    <t>29239 Sweetbrier Ct, Menifee CA 92584</t>
  </si>
  <si>
    <t>Brent Peterson, Deidre Peterson</t>
  </si>
  <si>
    <t xml:space="preserve">B: (951) 334-5427 </t>
  </si>
  <si>
    <t>brent1025@gmail.com, Ddp725@hotmail.com</t>
  </si>
  <si>
    <t>4000 Pierce St. #197, Riverside CA 92505</t>
  </si>
  <si>
    <t>32970 Ethlene Dr Lake Elsinore, Ca 92530</t>
  </si>
  <si>
    <t>43547 Rassle, Hemet, CA 92544</t>
  </si>
  <si>
    <t>Credit Human</t>
  </si>
  <si>
    <t>866-595-7228 x 6229</t>
  </si>
  <si>
    <r>
      <rPr>
        <color rgb="FF1155CC"/>
        <u/>
      </rPr>
      <t>Tmadison232@credithuman.com</t>
    </r>
  </si>
  <si>
    <t>2739 Calle Colima #102, West Covina Ca 91792</t>
  </si>
  <si>
    <t>2466 Bolker Dr., Port Hueneme CA 93041-1754</t>
  </si>
  <si>
    <t>Ronald E. Sisco / Bridget Sisco</t>
  </si>
  <si>
    <t xml:space="preserve"> 30478 Mulberry Ct Temecula, CA 92591-8800</t>
  </si>
  <si>
    <t>Jannie Marzette, Steven Marzette</t>
  </si>
  <si>
    <t>J: (510)589-7221, S: (951)889-7101</t>
  </si>
  <si>
    <t>Jmarzette54@gmail.com, Stevemarzette@yahoo.com</t>
  </si>
  <si>
    <t>5253 Yosemite Dr., San Bernardino, CA  92407</t>
  </si>
  <si>
    <t>123 Jasper St. SPC 12, Encinitas CA 92024</t>
  </si>
  <si>
    <t>43400 Corte Benavente, Temecula CA 92592</t>
  </si>
  <si>
    <t>The Purple Rain 95 Trust dated 11/13/2023</t>
  </si>
  <si>
    <t>Steve Todd Schaefer, Haydee Lee Schaefer</t>
  </si>
  <si>
    <t>H:(973)879-3406</t>
  </si>
  <si>
    <t>2172 Falcon Crest Dr, Riverside CA 92506-3473</t>
  </si>
  <si>
    <t>40705 Mountain Pride Dr., Murrieta CA 92562</t>
  </si>
  <si>
    <t xml:space="preserve">Trang Thi Bich Tran </t>
  </si>
  <si>
    <t>(714)264-9281</t>
  </si>
  <si>
    <t>bichtrangspring3069@gmail.com</t>
  </si>
  <si>
    <t>17182 Dante St, Victorville, CA 92394-1609</t>
  </si>
  <si>
    <t>Jason A McHenry / Beth McHenry</t>
  </si>
  <si>
    <t>destinydaniel@hotmail.com; bethdineen@yahoo.com</t>
  </si>
  <si>
    <t>23260 San Joaquin Ridge Dr, Murrieta CA 92562-3208</t>
  </si>
  <si>
    <t>Hannifa Marie Mayar / Josef Michael Mayar</t>
  </si>
  <si>
    <t>516-790-3928</t>
  </si>
  <si>
    <t>38275 Sevilla Ave., Murrieta CA 92563</t>
  </si>
  <si>
    <t>Beryalai Nazari</t>
  </si>
  <si>
    <t>(310) 902-1068</t>
  </si>
  <si>
    <t>36351 Elizabeth Ln. #17101, Wildomar CA 92530</t>
  </si>
  <si>
    <t>31420 Rabbit Springs Ln, Lucerne Valley, CA 92356</t>
  </si>
  <si>
    <t>125 Maple Ave., Beaumont CA 92223</t>
  </si>
  <si>
    <t>Luis Alvarez, Gabriela Alvarez</t>
  </si>
  <si>
    <t>L:(626)806-8397, G:(626)806-5744</t>
  </si>
  <si>
    <t>alf.alvz21@gmail.com, alvrzgabby04@gmail.com</t>
  </si>
  <si>
    <t>6173 Indigo Pl., San Bernardino CA 92407</t>
  </si>
  <si>
    <t>25180 Juno St, Menifee, CA 92586</t>
  </si>
  <si>
    <t>27250 Murrieta Rd. #378, Menifee CA 92586</t>
  </si>
  <si>
    <t>Albert Kuk</t>
  </si>
  <si>
    <t>Calls Only: (951)217-0795, Text:(360)649-6772</t>
  </si>
  <si>
    <t>jkuk@mail.umassglobal.edu</t>
  </si>
  <si>
    <t>2520 14th Street, Riverside CA 92507</t>
  </si>
  <si>
    <t>23785 Corte Carrio Murrieta, CA 92562-5518</t>
  </si>
  <si>
    <t>Erick G Ocampo, Maria F Ocampo</t>
  </si>
  <si>
    <t>5540 Rainbow Heights Rd, Fallbrook, CA 92028-8842</t>
  </si>
  <si>
    <t>Saghar Mozafarri</t>
  </si>
  <si>
    <t>(949) 226-9783</t>
  </si>
  <si>
    <t>sagharmozaffari@yahoo.com</t>
  </si>
  <si>
    <t>26672 Mark Twain Ct., Menifee CA 92586</t>
  </si>
  <si>
    <t>Lavita Henry, Joseph Henry</t>
  </si>
  <si>
    <t>‭L:(909)767-8943‬, ‭J:(602)538-7921‬</t>
  </si>
  <si>
    <t>1544 La Vine Ln., Vista, CA 92084</t>
  </si>
  <si>
    <t>Everhouse Home &amp; Design LLC</t>
  </si>
  <si>
    <t>Ashley Cleary, Signer , Bryan Cleary, Signer</t>
  </si>
  <si>
    <t xml:space="preserve">(951)397-1431  </t>
  </si>
  <si>
    <t>3496 Briarvale St, Corona CA 92879</t>
  </si>
  <si>
    <t>29130 Prestwick Rd Menifee, CA 92586</t>
  </si>
  <si>
    <t>Kimberly L. Hear, Amy Agustin</t>
  </si>
  <si>
    <t>K:951-231-8444, A:951-824-0782</t>
  </si>
  <si>
    <t>Danclr@hotmail.com,omyluckystars4@gmail.com</t>
  </si>
  <si>
    <t>Seller was upside down on what was owed, let it foreclose.</t>
  </si>
  <si>
    <t>680 N. 10th St., Banning CA 92220</t>
  </si>
  <si>
    <t>Celestina Farkas, Matthew Dutciuc</t>
  </si>
  <si>
    <t>C: (909)645-5769, M: (909)649-2021</t>
  </si>
  <si>
    <t>celestinanavas@gmail.com, matthewdut14@gmail.com</t>
  </si>
  <si>
    <t>Cavin Quintanillla</t>
  </si>
  <si>
    <t>1422 E Sandison St Wilmington, Ca 90744</t>
  </si>
  <si>
    <t>J:562-896-3488, F:562-896-3488</t>
  </si>
  <si>
    <t>4000 Pierce St. #101, Riverside CA 92505</t>
  </si>
  <si>
    <t xml:space="preserve">66766 Yucca Dr., Desert Hot Springs CA 92240
</t>
  </si>
  <si>
    <t>Sandra E. Gibson</t>
  </si>
  <si>
    <t>760-469-1926</t>
  </si>
  <si>
    <t xml:space="preserve">sandra1948@ymail.com
</t>
  </si>
  <si>
    <t>108 S Chestnut St., Lake Elsinore CA 92530</t>
  </si>
  <si>
    <t>Oscar Castillo, Trustee</t>
  </si>
  <si>
    <t>1427 Sierra Dr., San Jacinto CA 92583</t>
  </si>
  <si>
    <t xml:space="preserve">Thomas R Hilbrands </t>
  </si>
  <si>
    <t>4240 Harbinson Avenue, La Mesa CA 91942</t>
  </si>
  <si>
    <t>2041 Woodland Glen, Escondido, CA 92027</t>
  </si>
  <si>
    <t>760-975-4454</t>
  </si>
  <si>
    <t>bignix72@yahoo sing_760@hotmail</t>
  </si>
  <si>
    <t>7552 Paramont Ct, Rancho Cucamonga, CA 91730</t>
  </si>
  <si>
    <t>5713 Canoe Dr , Corona 92880</t>
  </si>
  <si>
    <t>william R Willouby Jr</t>
  </si>
  <si>
    <t>willoubyba@yahoo.com</t>
  </si>
  <si>
    <t>8214 Jadeite Ave, Rancho Cucamonga, CA 91730</t>
  </si>
  <si>
    <t>760-364-2790</t>
  </si>
  <si>
    <t>Seller could not provide what was requested by title for proof of signing authority</t>
  </si>
  <si>
    <t>11273 Hesperia Rd., Hesperia CA 92345</t>
  </si>
  <si>
    <t>Jane M. Campbell, Celeste J. Swirsky</t>
  </si>
  <si>
    <t>(442) 333-0930</t>
  </si>
  <si>
    <t>450 Lisbon St., Perris CA 92571</t>
  </si>
  <si>
    <t>12730 8th St., Yucaipa CA 92399</t>
  </si>
  <si>
    <t>Dan Heersema, Joni Heersema</t>
  </si>
  <si>
    <t xml:space="preserve">(818)426-1071,  (909)518-0163
</t>
  </si>
  <si>
    <t>5052 Clematis Ct., Jurupa Valley CA 91752</t>
  </si>
  <si>
    <t>David Martinez, Carlos Martinez</t>
  </si>
  <si>
    <t>D: (909)992-6968, C: (951)538-3245</t>
  </si>
  <si>
    <t>martinezda86@yahoo.com, Carlosmo1@verizon.net</t>
  </si>
  <si>
    <t>34842 Lyn Ave., Hemet CA 92545</t>
  </si>
  <si>
    <t>16704 Ukiah St., Victorville CA 92394</t>
  </si>
  <si>
    <t>22813 Via Santana, Nuevo 92567</t>
  </si>
  <si>
    <t>Maria B Padilla</t>
  </si>
  <si>
    <t>951-945-3635</t>
  </si>
  <si>
    <t>29745 Camino Pepita Menifee, CA 92584</t>
  </si>
  <si>
    <t>Barbara Sheahan &amp; Thomas Sheahan</t>
  </si>
  <si>
    <t>909-260-5722, 951-205-5526</t>
  </si>
  <si>
    <t>nthomassheahan@gmail.com, barb_sheahan@yahoo.com</t>
  </si>
  <si>
    <t>2250 Chanaral Ave., Hemet CA 92545</t>
  </si>
  <si>
    <t>922 W Vulcan Ave, Ridgecrest, CA 93555</t>
  </si>
  <si>
    <t>Jordan James Brown, Sydney N Brown</t>
  </si>
  <si>
    <t>442-966-0256</t>
  </si>
  <si>
    <t>6mx9a6qvt3@privaterelay.appleid.com, sydneybrown0506@gmail.com</t>
  </si>
  <si>
    <t>22952 Joaquin Ridge Dr., Murrieta CA 92562</t>
  </si>
  <si>
    <t>32124 Beaulieu Rd., Winchester CA 92596</t>
  </si>
  <si>
    <t>The Hilts Family Trust of 2010 dated February 18, 2010</t>
  </si>
  <si>
    <t>Sherry E. Hilts by Douglas Hilts Attorny in Fact</t>
  </si>
  <si>
    <t>Doug: (951)265-4034</t>
  </si>
  <si>
    <t>doug.hcg@gmail.com</t>
  </si>
  <si>
    <t>Client wanted a cash offer but interest rate is too high for investors.</t>
  </si>
  <si>
    <t>25857 Oak Springs, Homeland , CA 92548</t>
  </si>
  <si>
    <t>Rohit Kumar</t>
  </si>
  <si>
    <t>916-236-9010</t>
  </si>
  <si>
    <t>Kumarrohit231192@gmail.com</t>
  </si>
  <si>
    <t>Per Alexandra no update from Sellers.</t>
  </si>
  <si>
    <t>11009 Pemberton Way, Adelanto, Ca, 92301</t>
  </si>
  <si>
    <t>The Miller Joint Living Trust, dated August 20, 2018</t>
  </si>
  <si>
    <t>Steven R. Miller, Janet L. Miller</t>
  </si>
  <si>
    <t>S: (909) 709-4803</t>
  </si>
  <si>
    <t>stevenjan2009@gmail.com, stevenjan2000@yahoo.com</t>
  </si>
  <si>
    <t>Per Alexandra seller wants to wait to build more equity</t>
  </si>
  <si>
    <t>24690 Sagebush Lane, Menifee 92584</t>
  </si>
  <si>
    <t>SOI - Nicole took the lead to her new broker</t>
  </si>
  <si>
    <t>30529 Spica Ct., Temecula CA 92592</t>
  </si>
  <si>
    <t>Jane Warren, James Warren</t>
  </si>
  <si>
    <t>Jane: (347)947-0263</t>
  </si>
  <si>
    <t>adele.warren@gmail.com, starrave@aol.com</t>
  </si>
  <si>
    <t>Seller decided to rent the home.</t>
  </si>
  <si>
    <t>34349 Lamborn St., Temecula CA 92592</t>
  </si>
  <si>
    <t>Debbie and Kodjo Adadevoh Family Trust dated July 26, 2025</t>
  </si>
  <si>
    <t>Debbie Adadevoh, Trustee, Kodjo Adadevoh, Trustee</t>
  </si>
  <si>
    <t>D:(908)797-3208, K:(908)328-8225</t>
  </si>
  <si>
    <t>adadevoh1@comcast.net and kadadevoh@comcast.net</t>
  </si>
  <si>
    <t>43609 Jared Ln., Hemet CA 92544</t>
  </si>
  <si>
    <t>Dennis J. Wood, Trustee</t>
  </si>
  <si>
    <t>1385 Via La Presa, Hemet CA 92545</t>
  </si>
  <si>
    <t>307 S Smith Ave #5, Corona CA 92882</t>
  </si>
  <si>
    <r>
      <rPr>
        <rFont val="Arial"/>
      </rPr>
      <t xml:space="preserve">4/28/26 Hello Kenia,Can you please process the cancelation for 39435 Covina Lane Temecula, Ca </t>
    </r>
    <r>
      <rPr>
        <rFont val="Arial"/>
        <color rgb="FF1155CC"/>
        <u/>
      </rPr>
      <t>92591.My</t>
    </r>
    <r>
      <rPr>
        <rFont val="Arial"/>
      </rPr>
      <t xml:space="preserve"> clients have come to an agreement to cancel this listing with no cost to either if us. It a mutual agreement. Thank you  Carmen</t>
    </r>
  </si>
  <si>
    <t>39435 Corvina Lane Temecula, Ca 92591</t>
  </si>
  <si>
    <t>Charles R Burditt Jr., Sharon L Burditt</t>
  </si>
  <si>
    <t>C:404-661-3395, S:760-715-2487</t>
  </si>
  <si>
    <t>burdittlaw@gmail.com, penowit3@gmail.com</t>
  </si>
  <si>
    <t>closed escrow 2/17/26</t>
  </si>
  <si>
    <t>Jeff Cuttingham</t>
  </si>
  <si>
    <t>42535 Saladin Drive Palm Desert Ca 92211</t>
  </si>
  <si>
    <t>17666 High Vista St, Victorville Ca 92395</t>
  </si>
  <si>
    <t>Rickey C Perry</t>
  </si>
  <si>
    <t>Hq22150@protonmail.com</t>
  </si>
  <si>
    <t>1931 Calle Arboleda, Hemet CA 92545</t>
  </si>
  <si>
    <t>Payoff Demand Sent</t>
  </si>
  <si>
    <t>Sarah Rhiley, Trustee, David Rhiley, Trustee</t>
  </si>
  <si>
    <t>1598 Amberwood Dr., Hemet CA 92543</t>
  </si>
  <si>
    <t>8215 Tamarind Ln, Jurupa Valley CA 92509</t>
  </si>
  <si>
    <t>This became a referral with Sundae. Did not go to market</t>
  </si>
  <si>
    <t>1250 Connecticut St., Imperial Beach CA 91932</t>
  </si>
  <si>
    <t>(801)979-6139, (801)792-1056</t>
  </si>
  <si>
    <t>dyingtolive@live.com   808beach05@gmail.com</t>
  </si>
  <si>
    <t>68916 H St SPC 59, Cathedral City, CA 92234</t>
  </si>
  <si>
    <t>28480 Cosmos Dr, Winchester, CA 92596</t>
  </si>
  <si>
    <t>Felix Ortiz Salvador, Soledad Sanabria-Salvador</t>
  </si>
  <si>
    <t>fesaja9@gmail.com, solsal70@gmail.com</t>
  </si>
  <si>
    <t>2601 W Fruitvale Ave Hemet, Ca 92545</t>
  </si>
  <si>
    <t>The Pamela Jane Long Revocable Trust dated December 17,2025</t>
  </si>
  <si>
    <t>150136 Del Rey Dr., Big River CA 92242</t>
  </si>
  <si>
    <t>Carson Thundershield</t>
  </si>
  <si>
    <t>(928)842-0690</t>
  </si>
  <si>
    <t>Carsonthundershield5@gmail.com</t>
  </si>
  <si>
    <t xml:space="preserve">Seller on titile passed away Martin is helping surviving husband work on ownership. </t>
  </si>
  <si>
    <t>16617 Ukiah St, Victorville, CA 92394</t>
  </si>
  <si>
    <t xml:space="preserve">COL requested by Eddie (zero cancellation charge) </t>
  </si>
  <si>
    <t>4400 W Florida Avenue #254, Hemet, CA 92545</t>
  </si>
  <si>
    <t>Calvin Senechal</t>
  </si>
  <si>
    <t>(909) 266-7231</t>
  </si>
  <si>
    <t>cdsenechal@gmail.com</t>
  </si>
  <si>
    <t>15110 Wavecrest Dr., Lake Elsinore CA 92530</t>
  </si>
  <si>
    <t>Sellers asked to take a MLS break &amp; return in spring then let the RLA expire</t>
  </si>
  <si>
    <t>30948 Falling Star Pl., Murrieta CA 92563</t>
  </si>
  <si>
    <t>Matthew Rascoe, Christina Rascoe</t>
  </si>
  <si>
    <t>M: (707)889-3880, C: (714)725-5309</t>
  </si>
  <si>
    <t>matt@rascoegarage.com, icrascoe@icloud.com</t>
  </si>
  <si>
    <t>23143 Canyon Estates Dr, Corona CA 92883</t>
  </si>
  <si>
    <t>9830 Caminito Cuadro San Diego, Ca 92129</t>
  </si>
  <si>
    <t>7293 El Cielo Cir Buena Park, CA 90620</t>
  </si>
  <si>
    <t>The Gloria Luna Family Trust</t>
  </si>
  <si>
    <t>David Michael Radosevich Jr.</t>
  </si>
  <si>
    <t>2640 W Rialto Ave #20, San Bernardino, CA 92410-1947</t>
  </si>
  <si>
    <t>29567 Cherokee Trail, Winchester CA 92596</t>
  </si>
  <si>
    <t>31271 Terand Ave., Homeland CA 92548</t>
  </si>
  <si>
    <t>5/28 Kendra requested COL collecting $1500 fee</t>
  </si>
  <si>
    <t xml:space="preserve">735 N Sutter Ave San Bernardino Ca </t>
  </si>
  <si>
    <t>19125 Shoshonee Rd., Apple Valley CA 92307</t>
  </si>
  <si>
    <t>13121 Fullerton Dr., Victorville CA 92392</t>
  </si>
  <si>
    <t>Robert Gant, Robbi Gant</t>
  </si>
  <si>
    <t>Robert:(760)403-6508, Robbi:(760)686-8421</t>
  </si>
  <si>
    <t>robertgant23@gmail.com, robbigant@yahoo.com</t>
  </si>
  <si>
    <t>3586 Whirlaway Ln., Chino Hills CA 91709</t>
  </si>
  <si>
    <t>3544 W Avenue L10, Lancaster CA 92536</t>
  </si>
  <si>
    <t>Edwards Family Trust</t>
  </si>
  <si>
    <t>Aleena Edwards, Trustee</t>
  </si>
  <si>
    <t>(661) 499-7733</t>
  </si>
  <si>
    <t>aleenaedwards27@gmail.com</t>
  </si>
  <si>
    <t>10061 Van Ruiten St, Bellflower, CA 90706</t>
  </si>
  <si>
    <t>Daniel Wayne Van Duyn</t>
  </si>
  <si>
    <t>562-756-4932</t>
  </si>
  <si>
    <t>28410 Pinon Ct Winchester, Ca 92596</t>
  </si>
  <si>
    <t>Ashlee J Montgomery, Isaac S Ayestas Jr.</t>
  </si>
  <si>
    <t>A:949-266-4451, I:562-682-6714</t>
  </si>
  <si>
    <t>ashlee.m087@gmail.com, isaacayestas@gmail.com</t>
  </si>
  <si>
    <t>650 Rainier Way Hemet, Ca 92543</t>
  </si>
  <si>
    <t xml:space="preserve">Listing cancelled </t>
  </si>
  <si>
    <t>468 Carina Gln Escondido, Ca 92025</t>
  </si>
  <si>
    <t>Eduardo M Alfonso, Lorenza L Alfonso</t>
  </si>
  <si>
    <t>E:858-951-5848</t>
  </si>
  <si>
    <t>chamel_edjr@hotmail.com, LorenzaAlfonso@hotmail.com</t>
  </si>
  <si>
    <t>closed escrow 4/21/26</t>
  </si>
  <si>
    <t>13144 Sycamore Village Dr Norwalk, Ca 90650</t>
  </si>
  <si>
    <t>Jae Keun Song, Yi Song</t>
  </si>
  <si>
    <t>Jae: 562-810-3456</t>
  </si>
  <si>
    <t>sjkcyh18@gmail.com, tiffianyysongg2@gmail.com</t>
  </si>
  <si>
    <t>closed escrow 5/18/26</t>
  </si>
  <si>
    <t>29225 Avenida de las Flores, Menifee, 92587</t>
  </si>
  <si>
    <t>Patricia A Stewart, Kevin R Stewart</t>
  </si>
  <si>
    <t>closed escrow 5/14/26</t>
  </si>
  <si>
    <t>1371 Bishop Drive Hemet CA 92545</t>
  </si>
  <si>
    <t>36220 Madora Dr Wildomar CA 92595</t>
  </si>
  <si>
    <t>(951) 409-3119</t>
  </si>
  <si>
    <t>harryhlee@gmail.com</t>
  </si>
  <si>
    <t>20696 Tonawanda Rd Apple Valley, CA 92307</t>
  </si>
  <si>
    <t>Randy Brown, Gayle Brown</t>
  </si>
  <si>
    <t>R: (760) 490-2303</t>
  </si>
  <si>
    <t>8755 Lilac Rd., Oak Hills CA 92344</t>
  </si>
  <si>
    <t>Jace Clark, Ashley Page</t>
  </si>
  <si>
    <t>J:(562)320-9809, A:(925)408-0535</t>
  </si>
  <si>
    <t>jclakecharles@gmail.com, apage2112@gmail.com</t>
  </si>
  <si>
    <t>53745 Toll Gate Rd., Idyllwild CA 92549</t>
  </si>
  <si>
    <t>Carolyn De Anda, Trustee</t>
  </si>
  <si>
    <t>(760) 216-8362</t>
  </si>
  <si>
    <t>68916 H St #65 Cathedral City, CA 92234</t>
  </si>
  <si>
    <t>30196 Meadow Oaks St, Menifee CA 92585</t>
  </si>
  <si>
    <t>Transaction Information</t>
  </si>
  <si>
    <t>Financial Information</t>
  </si>
  <si>
    <t>Referral Type</t>
  </si>
  <si>
    <t>Seller, Buyer</t>
  </si>
  <si>
    <t xml:space="preserve">Agent Name </t>
  </si>
  <si>
    <t>AM</t>
  </si>
  <si>
    <t>Principal</t>
  </si>
  <si>
    <t>Email Addresses for Client</t>
  </si>
  <si>
    <t>Recipient Agent</t>
  </si>
  <si>
    <t>Recipient Agent Broker</t>
  </si>
  <si>
    <t>RFA Status</t>
  </si>
  <si>
    <t>Contract Closed Date</t>
  </si>
  <si>
    <t>Actual Closing Date</t>
  </si>
  <si>
    <t>Purchase Price</t>
  </si>
  <si>
    <t>Commission                    $ or %</t>
  </si>
  <si>
    <t>Referral Amount</t>
  </si>
  <si>
    <t>Commission Adjustments</t>
  </si>
  <si>
    <t>Escrow Disbursement</t>
  </si>
  <si>
    <t>Outgoing</t>
  </si>
  <si>
    <t>Kendra Harlan</t>
  </si>
  <si>
    <t>Vamsi</t>
  </si>
  <si>
    <t>Jeff Jackson</t>
  </si>
  <si>
    <t>Miramar Riverwalk</t>
  </si>
  <si>
    <t>Listing</t>
  </si>
  <si>
    <t xml:space="preserve">Mario Pena  and Cynthia Gardner </t>
  </si>
  <si>
    <t>Kendra Rich</t>
  </si>
  <si>
    <t>Mario Muñ0z</t>
  </si>
  <si>
    <t>Jesus Espinoza</t>
  </si>
  <si>
    <t>951-428-5992</t>
  </si>
  <si>
    <t>Samantha Van de Roovaart</t>
  </si>
  <si>
    <t>Patrick Kevin Fagan</t>
  </si>
  <si>
    <t>Paul Claudio</t>
  </si>
  <si>
    <t>Roger Shaner</t>
  </si>
  <si>
    <t>Clifford Eugene Mason</t>
  </si>
  <si>
    <t>Susana Valdez</t>
  </si>
  <si>
    <t>Century 21 Lois Lauer Realty</t>
  </si>
  <si>
    <t>Enrique Gonzalez</t>
  </si>
  <si>
    <t>(760) 985-5122</t>
  </si>
  <si>
    <t>Egmariachiloco@gmail.com</t>
  </si>
  <si>
    <t>Linda Paley</t>
  </si>
  <si>
    <t>(818) 416-4421</t>
  </si>
  <si>
    <t>lpaley@socal.rr.com</t>
  </si>
  <si>
    <t>Jeff Biebuyck</t>
  </si>
  <si>
    <t>Wei Nuiki Zhang</t>
  </si>
  <si>
    <t>209-628-9212</t>
  </si>
  <si>
    <t>weizhang6904@gmail.com</t>
  </si>
  <si>
    <t>Justin Tye</t>
  </si>
  <si>
    <t>15621 Beach Blvd</t>
  </si>
  <si>
    <t>Leon and Theresa Gomez</t>
  </si>
  <si>
    <t>John Whitmarsh</t>
  </si>
  <si>
    <t>Adam Noble</t>
  </si>
  <si>
    <t>Kacy Lotz</t>
  </si>
  <si>
    <t>Mari McCurdy</t>
  </si>
  <si>
    <t>True North Realty</t>
  </si>
  <si>
    <t>737 N Vass Rd</t>
  </si>
  <si>
    <t>Raeford</t>
  </si>
  <si>
    <t>NC</t>
  </si>
  <si>
    <t>Dana Marie Garcia</t>
  </si>
  <si>
    <t>Dr. Spencer J Holman</t>
  </si>
  <si>
    <t>951-515-5117</t>
  </si>
  <si>
    <t>sholman1@mac.com</t>
  </si>
  <si>
    <t xml:space="preserve">Mia Hisham Hassani </t>
  </si>
  <si>
    <t>Novus Relaty Grpup, Inc.</t>
  </si>
  <si>
    <t>Incoming</t>
  </si>
  <si>
    <t>23271 CAminito Andreta</t>
  </si>
  <si>
    <t>Laguna Hills</t>
  </si>
  <si>
    <t>CA</t>
  </si>
  <si>
    <t>Douglas Choma</t>
  </si>
  <si>
    <t>Mark Spain Real Estate</t>
  </si>
  <si>
    <t>3208 Fluvanna Cir</t>
  </si>
  <si>
    <t>Virginia Beach</t>
  </si>
  <si>
    <t>VA</t>
  </si>
  <si>
    <t>John Carrbone</t>
  </si>
  <si>
    <t>760 917-4063</t>
  </si>
  <si>
    <t>johncarbone2000@yahoo,com</t>
  </si>
  <si>
    <t>Malika Pettigrew</t>
  </si>
  <si>
    <t>eXp Realty, LCC</t>
  </si>
  <si>
    <t>12196 Nugget Ave</t>
  </si>
  <si>
    <t>Nate Bunnel</t>
  </si>
  <si>
    <t>14129 Luna Rd.</t>
  </si>
  <si>
    <t>eXp Realty of California Inc</t>
  </si>
  <si>
    <t>Sarah and David Rhiley</t>
  </si>
  <si>
    <t>Noelle Gramstad</t>
  </si>
  <si>
    <t>Real Broker</t>
  </si>
  <si>
    <t>18440 W Wind Song Ave</t>
  </si>
  <si>
    <t>Goodyear</t>
  </si>
  <si>
    <t>Joseph Henry, Lavida Henry</t>
  </si>
  <si>
    <t>‭L:(909)767-8943‬, ‭J:(602)538-7921</t>
  </si>
  <si>
    <t>Jay Macklin</t>
  </si>
  <si>
    <t>Apex Residential</t>
  </si>
  <si>
    <t>Javad Mirtavoosi</t>
  </si>
  <si>
    <t>949 444-3383</t>
  </si>
  <si>
    <t xml:space="preserve">jmirtavoosi13@gmail.com </t>
  </si>
  <si>
    <t>christina.gruettke@gmail.com</t>
  </si>
  <si>
    <t>CANCELLED</t>
  </si>
  <si>
    <t>811 W Oliver</t>
  </si>
  <si>
    <t>San Pedro</t>
  </si>
  <si>
    <t>Oscar Hernandez Macias</t>
  </si>
  <si>
    <t>kenstopnotchoscar@gmail.com</t>
  </si>
  <si>
    <t>Petra Campos</t>
  </si>
  <si>
    <t>Michael &amp; Renae Greig</t>
  </si>
  <si>
    <t>858 354-3181</t>
  </si>
  <si>
    <t>mjgreig17@gmail.com</t>
  </si>
  <si>
    <t>Patricia Hagan</t>
  </si>
  <si>
    <t>phi2008@ymail.com</t>
  </si>
  <si>
    <t>Dennis Rush, Judy Hong</t>
  </si>
  <si>
    <t>Vicky Campbell</t>
  </si>
  <si>
    <t>Real Estate Assistance</t>
  </si>
  <si>
    <t>28391 Partridge Way # 903</t>
  </si>
  <si>
    <t>Kendra Jarlan</t>
  </si>
  <si>
    <t>Karen Snider</t>
  </si>
  <si>
    <t>Rent</t>
  </si>
  <si>
    <t>41974 Emelia St. ##202,</t>
  </si>
  <si>
    <t>murrieta</t>
  </si>
  <si>
    <t>Stephanie Casados</t>
  </si>
  <si>
    <t>William Kasheim</t>
  </si>
  <si>
    <t>kasheimswilliams@yahoo.com</t>
  </si>
  <si>
    <t>Monica Macias</t>
  </si>
  <si>
    <t>Magnum Property Management</t>
  </si>
  <si>
    <t>575 NW Queens Ct</t>
  </si>
  <si>
    <t>Hillgrough</t>
  </si>
  <si>
    <t>Andy Pavel Tapia</t>
  </si>
  <si>
    <t>Tiana Javier</t>
  </si>
  <si>
    <t>eXp Realty, LLC</t>
  </si>
  <si>
    <t>Buy</t>
  </si>
  <si>
    <t>Ruben Luna</t>
  </si>
  <si>
    <t>The Luna Team</t>
  </si>
  <si>
    <t>Joseline Rueda</t>
  </si>
  <si>
    <t>ReMax Freedom</t>
  </si>
  <si>
    <t>Followed-up</t>
  </si>
  <si>
    <t>624 Hacienda Place</t>
  </si>
  <si>
    <t>William Willoughby Jr</t>
  </si>
  <si>
    <t>Jared Cowan</t>
  </si>
  <si>
    <t>922 W Vulcan Ave</t>
  </si>
  <si>
    <t>Ridgecrest</t>
  </si>
  <si>
    <t>Kern</t>
  </si>
  <si>
    <t>J:442-966-1256, S:442-966-0256</t>
  </si>
  <si>
    <t>Smx@a6gre3@piy@terela-appleid.com, sydneybrown0506@gmail.com</t>
  </si>
  <si>
    <t xml:space="preserve">eXp Realty, LLC </t>
  </si>
  <si>
    <t>680 N 10th St.</t>
  </si>
  <si>
    <t xml:space="preserve">CA </t>
  </si>
  <si>
    <t>3820 N HAIGHT AVE</t>
  </si>
  <si>
    <t>Portland</t>
  </si>
  <si>
    <t>OR</t>
  </si>
  <si>
    <t>Susan Nichols Candra Edwards Ethan Francis</t>
  </si>
  <si>
    <t>Nicole Richards</t>
  </si>
  <si>
    <t>Jacob Blakey</t>
  </si>
  <si>
    <t>Ben Nance</t>
  </si>
  <si>
    <t>Vista Sotheby's International Realty</t>
  </si>
  <si>
    <t>Also in Closed Tab</t>
  </si>
  <si>
    <t>Richard and Valerie Gregoy</t>
  </si>
  <si>
    <t>Homesmart Realty</t>
  </si>
  <si>
    <t>263 Trailzend Ave</t>
  </si>
  <si>
    <t>Overton</t>
  </si>
  <si>
    <t>NV</t>
  </si>
  <si>
    <t>Lori Houston</t>
  </si>
  <si>
    <t>Clea's Moapa Valley Realty,LLC</t>
  </si>
  <si>
    <t>Crystal and rosemary Tucker</t>
  </si>
  <si>
    <t>Jessica Zenzen</t>
  </si>
  <si>
    <t>Opendoor Property Acquisition LLC</t>
  </si>
  <si>
    <t>623-244-8688</t>
  </si>
  <si>
    <t>hello@opendoor.com</t>
  </si>
  <si>
    <t>OD Affiliate Agreement</t>
  </si>
  <si>
    <t>Delores Ambrose</t>
  </si>
  <si>
    <t>619-848-1477</t>
  </si>
  <si>
    <t>Colt Hoenig</t>
  </si>
  <si>
    <t>National Land Realty</t>
  </si>
  <si>
    <t>Other agent's review</t>
  </si>
  <si>
    <t>Chris Washburn</t>
  </si>
  <si>
    <t>951-775-7185</t>
  </si>
  <si>
    <t>Washburn1218@gmail.com</t>
  </si>
  <si>
    <t>Amany Fish</t>
  </si>
  <si>
    <t>Chinatti Realty Group</t>
  </si>
  <si>
    <t>Jose Midence/ Opendoor</t>
  </si>
  <si>
    <t>OD Affiliate Agreement, moved to Closed tab</t>
  </si>
  <si>
    <t>9154 Cherrywood Ln</t>
  </si>
  <si>
    <t>Karry Lewis</t>
  </si>
  <si>
    <t>623-826-3025</t>
  </si>
  <si>
    <t>karrylewis08@gmail.com</t>
  </si>
  <si>
    <t>Scott Mcgill</t>
  </si>
  <si>
    <t>MCG Commercial</t>
  </si>
  <si>
    <t>Jasmine Flores</t>
  </si>
  <si>
    <t>Calvin Nguyen</t>
  </si>
  <si>
    <t>714-675-2093</t>
  </si>
  <si>
    <t>Patricia Chavez</t>
  </si>
  <si>
    <t>First Choice Business Brokers</t>
  </si>
  <si>
    <t>Jennifer Hoyle</t>
  </si>
  <si>
    <t>Agent</t>
  </si>
  <si>
    <t>Item</t>
  </si>
  <si>
    <t>reimbursement</t>
  </si>
  <si>
    <t>listing repairs</t>
  </si>
  <si>
    <t xml:space="preserve">checks written and given to connor for delivery- Edward Castellanos </t>
  </si>
  <si>
    <t>landscaping</t>
  </si>
  <si>
    <t xml:space="preserve">checks written and given to connor for delivery-  Juan Torres </t>
  </si>
  <si>
    <t xml:space="preserve">carpet </t>
  </si>
  <si>
    <t>checks written and given to connor for delivery- whites discount carpets</t>
  </si>
  <si>
    <t>photos</t>
  </si>
  <si>
    <t>staging</t>
  </si>
  <si>
    <t>Active listing</t>
  </si>
  <si>
    <t>cleaning</t>
  </si>
  <si>
    <t>reimbursement landscaping</t>
  </si>
  <si>
    <t>paid Juan Torres $2150; client to reimburse at closing</t>
  </si>
  <si>
    <t>reshoot</t>
  </si>
  <si>
    <t>photography</t>
  </si>
  <si>
    <t>Alicia</t>
  </si>
  <si>
    <t>yard sign</t>
  </si>
  <si>
    <t>verify what store pricing should have been before charging</t>
  </si>
  <si>
    <t>Coming Soon</t>
  </si>
  <si>
    <t>Myrna</t>
  </si>
  <si>
    <t>photos/sign</t>
  </si>
  <si>
    <t>Send invoice at closing $500 showcase &amp; $139 sign install</t>
  </si>
  <si>
    <t>home inspection</t>
  </si>
  <si>
    <t>250 plus 15 service fee- pending info on how to pay via cc</t>
  </si>
  <si>
    <t>showcase</t>
  </si>
  <si>
    <t xml:space="preserve">Send invoice at closing $500 showcase </t>
  </si>
  <si>
    <t>Robin</t>
  </si>
  <si>
    <t>this is the vendor price, determine store price</t>
  </si>
  <si>
    <t>Martin</t>
  </si>
  <si>
    <t>invoice $230</t>
  </si>
  <si>
    <t>dana to send invoice for $300</t>
  </si>
  <si>
    <t>20696 Tonawanda Rd</t>
  </si>
  <si>
    <t>invoice sent for photos and sign install -paid $380 for photographer</t>
  </si>
  <si>
    <t>closed</t>
  </si>
  <si>
    <t>1598 Amberwood Dr</t>
  </si>
  <si>
    <t>Photos, Sign</t>
  </si>
  <si>
    <t>Store pricing verifired with Alexis</t>
  </si>
  <si>
    <t>Cancelled- invoice &amp; email sent 5/29</t>
  </si>
  <si>
    <t>34349 Lamborn St</t>
  </si>
  <si>
    <t>Photos, Token, Sign</t>
  </si>
  <si>
    <t>Store pricing verfied with Alexis</t>
  </si>
  <si>
    <t>Cancelled- Alexis checking on the collection of cancellation fee</t>
  </si>
  <si>
    <t>1536 S State St</t>
  </si>
  <si>
    <t>Cleaning</t>
  </si>
  <si>
    <t>17918  Catalpa  St Hesperia</t>
  </si>
  <si>
    <t>showcase photos</t>
  </si>
  <si>
    <t>380 paid for invoice</t>
  </si>
  <si>
    <t>31816 Avenue E #101</t>
  </si>
  <si>
    <t>sign install, staging, photos</t>
  </si>
  <si>
    <t>2750 staging  380 photos, 84 sign install</t>
  </si>
  <si>
    <t>Blake to bring a check</t>
  </si>
  <si>
    <t>San Rogelio</t>
  </si>
  <si>
    <t>repairs</t>
  </si>
  <si>
    <t>this is coming out of the seller advance</t>
  </si>
  <si>
    <t>Paid</t>
  </si>
  <si>
    <t>photos and sign (no lockbox)</t>
  </si>
  <si>
    <t>photos was $380, need to verify price for sign</t>
  </si>
  <si>
    <t>invoice sent 6/5- invoice paid</t>
  </si>
  <si>
    <t>CHT Contract Sent</t>
  </si>
  <si>
    <t>CHT Contract Signed</t>
  </si>
  <si>
    <t>CHT Contract Effective date</t>
  </si>
  <si>
    <t>Anniversary Date</t>
  </si>
  <si>
    <t>Date to Review SOI Split</t>
  </si>
  <si>
    <t>eXp Contract Signed</t>
  </si>
  <si>
    <t>Date Onboarding Completed</t>
  </si>
  <si>
    <t>SOI CAP</t>
  </si>
  <si>
    <t>Referral Agent</t>
  </si>
  <si>
    <t>Production Manager</t>
  </si>
  <si>
    <t>Date assigned to PM</t>
  </si>
  <si>
    <t>EA Program Assigned Date</t>
  </si>
  <si>
    <t># of Transactions Paid (EA)</t>
  </si>
  <si>
    <t>TC Services Subscribed Date</t>
  </si>
  <si>
    <t>FUB Account</t>
  </si>
  <si>
    <t>DISC</t>
  </si>
  <si>
    <t>Admin bill
(for reimbursement)</t>
  </si>
  <si>
    <t>Source</t>
  </si>
  <si>
    <t>Zillow Accountability Agreement</t>
  </si>
  <si>
    <t>pay notes</t>
  </si>
  <si>
    <t>x</t>
  </si>
  <si>
    <t>Free</t>
  </si>
  <si>
    <t>Dont Need</t>
  </si>
  <si>
    <t>20696 Tonawanda Rd, have Alicia pay via store upon closing $380 (please see Dana's email 4/23)</t>
  </si>
  <si>
    <t>Michael Wickam</t>
  </si>
  <si>
    <t>Kenia Bautista</t>
  </si>
  <si>
    <t>Charles Provido</t>
  </si>
  <si>
    <t>Kay</t>
  </si>
  <si>
    <t>Edward Kaveney</t>
  </si>
  <si>
    <t>Blake/Kiona</t>
  </si>
  <si>
    <t>Kunjal "Kay" Patel</t>
  </si>
  <si>
    <t>75% for 90 days to Kay on all deals starting 1/1/26 acceptance date</t>
  </si>
  <si>
    <t>Bridget</t>
  </si>
  <si>
    <t>previous contract</t>
  </si>
  <si>
    <t>Lavine Way 5% PCC, adjust with Desiree 5% EA</t>
  </si>
  <si>
    <t>Chad Hooper</t>
  </si>
  <si>
    <t>Renee Keeling</t>
  </si>
  <si>
    <t>Ansar Khan</t>
  </si>
  <si>
    <t>10/7/25</t>
  </si>
  <si>
    <t>opt in as of 1/7</t>
  </si>
  <si>
    <t>Opt Out</t>
  </si>
  <si>
    <t>11/24/25</t>
  </si>
  <si>
    <t>Opt In</t>
  </si>
  <si>
    <t>Indeed</t>
  </si>
  <si>
    <t>Stacy Bridges</t>
  </si>
  <si>
    <t>paper</t>
  </si>
  <si>
    <t>Monique</t>
  </si>
  <si>
    <t>Bridget/Kiona</t>
  </si>
  <si>
    <t>opt in</t>
  </si>
  <si>
    <t>12/15/25</t>
  </si>
  <si>
    <t>Spencer Logan Salter</t>
  </si>
  <si>
    <t>electronic</t>
  </si>
  <si>
    <t>2/10/2026</t>
  </si>
  <si>
    <t>Jeffrey Allan Cottingham</t>
  </si>
  <si>
    <t>2/4/2026</t>
  </si>
  <si>
    <t>Jamie Carabajal</t>
  </si>
  <si>
    <t>Kiona/Bridget</t>
  </si>
  <si>
    <t>Deduct $2000 from Martin's split on 36329 Albus Ave- complete</t>
  </si>
  <si>
    <t>Alexsandra Palacios-Garcia "Monique"</t>
  </si>
  <si>
    <t>see notes</t>
  </si>
  <si>
    <t>Connors first deal TC fee is being waived- complete</t>
  </si>
  <si>
    <t>3/7/26</t>
  </si>
  <si>
    <t>Sarah Miller</t>
  </si>
  <si>
    <t>opt In</t>
  </si>
  <si>
    <t xml:space="preserve">Baruch Rosenberg </t>
  </si>
  <si>
    <t>agent advance for $2000, to be collected at his first closing</t>
  </si>
  <si>
    <t>Daizhane Fredrick</t>
  </si>
  <si>
    <t>Amy Feit</t>
  </si>
  <si>
    <t>Howard Newton</t>
  </si>
  <si>
    <t>Kristi Beneventi</t>
  </si>
  <si>
    <t>Kylie Willis</t>
  </si>
  <si>
    <t>Manuel Carrillo</t>
  </si>
  <si>
    <t>Jaime Agredano</t>
  </si>
  <si>
    <t>Lisa Kyle- may not join exp</t>
  </si>
  <si>
    <t>Pending / not yet joined</t>
  </si>
  <si>
    <t>Ricardo / Michelle Riley</t>
  </si>
  <si>
    <t>Brook Tremblay</t>
  </si>
  <si>
    <t>Alana Suarez</t>
  </si>
  <si>
    <t>FB</t>
  </si>
  <si>
    <t>Roman Sanchez</t>
  </si>
  <si>
    <t>Gersson Ojeda</t>
  </si>
  <si>
    <t>Deanna Vela</t>
  </si>
  <si>
    <t>Randy Holst</t>
  </si>
  <si>
    <t>Removed from Team</t>
  </si>
  <si>
    <t>Bridget/Mario</t>
  </si>
  <si>
    <t xml:space="preserve">Alexis </t>
  </si>
  <si>
    <t>Joneika Williams</t>
  </si>
  <si>
    <t>10/22/25</t>
  </si>
  <si>
    <t>Renard Hamilton</t>
  </si>
  <si>
    <t>Stefanie Gray</t>
  </si>
  <si>
    <t>Jaime Ayala</t>
  </si>
  <si>
    <t>Anthony Silva</t>
  </si>
  <si>
    <t xml:space="preserve">Joseph Calescibetta </t>
  </si>
  <si>
    <t>Victor Acordagoitia</t>
  </si>
  <si>
    <t>David Franklin</t>
  </si>
  <si>
    <t>Alannah Ali</t>
  </si>
  <si>
    <t>Lance Leonard</t>
  </si>
  <si>
    <t>Chad Jarvis</t>
  </si>
  <si>
    <t>Jane Arellano</t>
  </si>
  <si>
    <t>Samuel Harris</t>
  </si>
  <si>
    <t>Andres Diaz</t>
  </si>
  <si>
    <t>Opt in</t>
  </si>
  <si>
    <t>Alinne Rodriguez</t>
  </si>
  <si>
    <t>Nelly Guerrero</t>
  </si>
  <si>
    <t>Zenolia Hill</t>
  </si>
  <si>
    <t>Jeremy "JC" Criego</t>
  </si>
  <si>
    <t>John Mazorra</t>
  </si>
  <si>
    <t>Mariana Shea</t>
  </si>
  <si>
    <t>this tab to only be updated by Dana</t>
  </si>
  <si>
    <t>Date of change</t>
  </si>
  <si>
    <t>Effective on all transactions that have not closed as of 2/5/26 are required to pay a $595 transaction fee regardless of sale type. No longer waiving New Builds/VAs/Etc</t>
  </si>
  <si>
    <t>Effective on all transactions with an acceptance date of 2/5/26 and after the sale type is New Build the TC Fee is $0 if the agent has a paid subsciption regardless of the subscription level. ex. if an agent is paying for TC starter plan that covers up to 5 transactions, a new build is $0 and doesnt count towards the 5 for the month.</t>
  </si>
  <si>
    <t>$200 for TC Fee on New Build lowered from $500</t>
  </si>
  <si>
    <t>Confirmed- if an agent collects a listing cancellation fee, 100% of the fee will go to the agent.</t>
  </si>
  <si>
    <t>If an agent has a TC subscription this covers the TC fee and Listing Add on Fee</t>
  </si>
  <si>
    <t>per email from Blake (New Listing Perk) Showcase Photography through the Company Store, the Listing Add-On is now INCLUDED at no additional cost</t>
  </si>
  <si>
    <t>TC Services change to $599 unlimited- no back dating- when an agent subscribes to TC Services any transaction with an acceptance date and after will have a waived TC Fee</t>
  </si>
  <si>
    <t>end of quarter production manager changes- Isy, George, Cheree to Mario &amp; Spencer and Diane to Mel</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</si>
</sst>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quot;$&quot;#,##0.00"/>
    <numFmt numFmtId="165" formatCode="M/d/yyyy"/>
    <numFmt numFmtId="166" formatCode="m/d/yy"/>
    <numFmt numFmtId="167" formatCode="m/d/yyyy"/>
    <numFmt numFmtId="168" formatCode="m/d"/>
    <numFmt numFmtId="169" formatCode="MM/DD/yyyy"/>
    <numFmt numFmtId="170" formatCode="&quot;$&quot;#,##0"/>
    <numFmt numFmtId="171" formatCode="mm/dd/yy"/>
    <numFmt numFmtId="172" formatCode="_(&quot;$&quot;* #,##0.00_);_(&quot;$&quot;* \(#,##0.00\);_(&quot;$&quot;* &quot;-&quot;??_);_(@_)"/>
    <numFmt numFmtId="173" formatCode="d&quot;-&quot;mmm&quot;-&quot;yyyy"/>
    <numFmt numFmtId="174" formatCode="mm&quot;-&quot;dd&quot;-&quot;yyyy"/>
    <numFmt numFmtId="175" formatCode="mm-dd-yyyy"/>
    <numFmt numFmtId="176" formatCode="mmmm&quot; &quot;d"/>
  </numFmts>
  <fonts count="53">
    <font>
      <sz val="10.0"/>
      <color rgb="FF000000"/>
      <name val="Arial"/>
      <scheme val="minor"/>
    </font>
    <font>
      <b/>
      <sz val="9.0"/>
      <color theme="1"/>
      <name val="Roboto"/>
    </font>
    <font>
      <color theme="1"/>
      <name val="Arial"/>
    </font>
    <font>
      <b/>
      <sz val="8.0"/>
      <color theme="1"/>
      <name val="Roboto"/>
    </font>
    <font>
      <color theme="1"/>
      <name val="Arial"/>
      <scheme val="minor"/>
    </font>
    <font>
      <color rgb="FF000000"/>
      <name val="Arial"/>
    </font>
    <font>
      <color rgb="FF000000"/>
      <name val="Arial"/>
      <scheme val="minor"/>
    </font>
    <font>
      <sz val="10.0"/>
      <color rgb="FF222222"/>
      <name val="Arial"/>
    </font>
    <font>
      <b/>
      <color theme="1"/>
      <name val="Arial"/>
      <scheme val="minor"/>
    </font>
    <font>
      <color rgb="FF222222"/>
      <name val="Arial"/>
    </font>
    <font>
      <sz val="11.0"/>
      <color rgb="FF000000"/>
      <name val="Arial"/>
    </font>
    <font>
      <sz val="10.0"/>
      <color rgb="FF222222"/>
      <name val="Arial"/>
      <scheme val="minor"/>
    </font>
    <font>
      <color rgb="FF222222"/>
      <name val="Tahoma"/>
    </font>
    <font>
      <color rgb="FF1F1F1F"/>
      <name val="Arial"/>
    </font>
    <font>
      <color rgb="FFFF0000"/>
      <name val="Arial"/>
      <scheme val="minor"/>
    </font>
    <font>
      <color rgb="FF000000"/>
      <name val="&quot;Open Sans&quot;"/>
    </font>
    <font>
      <u/>
      <color rgb="FF0000FF"/>
    </font>
    <font>
      <b/>
      <color rgb="FFFF0000"/>
      <name val="Arial"/>
      <scheme val="minor"/>
    </font>
    <font>
      <u/>
      <color rgb="FF000000"/>
    </font>
    <font>
      <u/>
      <color theme="1"/>
      <name val="Arial"/>
      <scheme val="minor"/>
    </font>
    <font>
      <b/>
      <color theme="1"/>
      <name val="Arial"/>
    </font>
    <font>
      <sz val="10.0"/>
      <color theme="1"/>
      <name val="Arial"/>
      <scheme val="minor"/>
    </font>
    <font>
      <u/>
      <color rgb="FF0000FF"/>
    </font>
    <font>
      <sz val="10.0"/>
      <color rgb="FF1F1F1F"/>
      <name val="Arial"/>
      <scheme val="minor"/>
    </font>
    <font>
      <sz val="11.0"/>
      <color rgb="FF444746"/>
      <name val="&quot;Google Sans&quot;"/>
    </font>
    <font>
      <b/>
      <color rgb="FF000000"/>
      <name val="Arial"/>
      <scheme val="minor"/>
    </font>
    <font>
      <color theme="1"/>
      <name val="Encode Sans Condensed"/>
    </font>
    <font>
      <b/>
      <sz val="18.0"/>
      <color theme="1"/>
      <name val="Encode Sans Condensed"/>
    </font>
    <font>
      <b/>
      <sz val="11.0"/>
      <color theme="1"/>
      <name val="Arial"/>
      <scheme val="minor"/>
    </font>
    <font>
      <b/>
      <i/>
      <color rgb="FFFF0000"/>
      <name val="Arial"/>
      <scheme val="minor"/>
    </font>
    <font>
      <sz val="9.0"/>
      <color theme="1"/>
      <name val="Arial"/>
      <scheme val="minor"/>
    </font>
    <font>
      <b/>
      <sz val="9.0"/>
      <color theme="1"/>
      <name val="Arial"/>
      <scheme val="minor"/>
    </font>
    <font>
      <b/>
      <sz val="9.0"/>
      <color rgb="FF000000"/>
      <name val="Roboto"/>
    </font>
    <font>
      <b/>
      <sz val="8.0"/>
      <color theme="1"/>
      <name val="Arial"/>
    </font>
    <font>
      <b/>
      <sz val="9.0"/>
      <color theme="1"/>
      <name val="Arial"/>
    </font>
    <font>
      <b/>
      <sz val="10.0"/>
      <color theme="1"/>
      <name val="Arial"/>
    </font>
    <font>
      <b/>
      <sz val="7.0"/>
      <color theme="1"/>
      <name val="Arial"/>
    </font>
    <font>
      <sz val="11.0"/>
      <color rgb="FF364650"/>
      <name val="Arial"/>
    </font>
    <font>
      <sz val="11.0"/>
      <color rgb="FF364650"/>
      <name val="Proxima-nova"/>
    </font>
    <font>
      <u/>
      <color rgb="FF0000FF"/>
    </font>
    <font>
      <color rgb="FF000000"/>
      <name val="Georgia"/>
    </font>
    <font>
      <u/>
      <color rgb="FF0000FF"/>
      <name val="Arial"/>
    </font>
    <font>
      <b/>
      <sz val="18.0"/>
      <color rgb="FF576475"/>
      <name val="Encode Sans Condensed"/>
    </font>
    <font>
      <b/>
      <color theme="1"/>
      <name val="Encode Sans Condensed"/>
    </font>
    <font>
      <b/>
      <sz val="10.0"/>
      <color theme="1"/>
      <name val="Encode Sans Condensed"/>
    </font>
    <font>
      <color rgb="FF073763"/>
      <name val="Tahoma"/>
    </font>
    <font>
      <b/>
      <u/>
      <color rgb="FF0000FF"/>
      <name val="Arial"/>
    </font>
    <font>
      <color rgb="FFF44336"/>
      <name val="Arial"/>
      <scheme val="minor"/>
    </font>
    <font>
      <sz val="10.0"/>
      <color rgb="FF1F1F1F"/>
      <name val="&quot;Google Sans&quot;"/>
    </font>
    <font>
      <sz val="11.0"/>
      <color rgb="FF1F1F1F"/>
      <name val="&quot;Google Sans&quot;"/>
    </font>
    <font>
      <sz val="11.0"/>
      <color rgb="FF1F1F1F"/>
      <name val="Arial"/>
      <scheme val="minor"/>
    </font>
    <font>
      <sz val="10.0"/>
      <color theme="1"/>
      <name val="Arial"/>
    </font>
    <font>
      <sz val="10.0"/>
      <color rgb="FF1F1F1F"/>
      <name val="Arial"/>
    </font>
  </fonts>
  <fills count="33">
    <fill>
      <patternFill patternType="none"/>
    </fill>
    <fill>
      <patternFill patternType="lightGray"/>
    </fill>
    <fill>
      <patternFill patternType="solid">
        <fgColor rgb="FFCADDDA"/>
        <bgColor rgb="FFCADDDA"/>
      </patternFill>
    </fill>
    <fill>
      <patternFill patternType="solid">
        <fgColor rgb="FF000000"/>
        <bgColor rgb="FF000000"/>
      </patternFill>
    </fill>
    <fill>
      <patternFill patternType="solid">
        <fgColor rgb="FFE5D5D3"/>
        <bgColor rgb="FFE5D5D3"/>
      </patternFill>
    </fill>
    <fill>
      <patternFill patternType="solid">
        <fgColor rgb="FFFFFF00"/>
        <bgColor rgb="FFFFFF00"/>
      </patternFill>
    </fill>
    <fill>
      <patternFill patternType="solid">
        <fgColor rgb="FFCC0000"/>
        <bgColor rgb="FFCC0000"/>
      </patternFill>
    </fill>
    <fill>
      <patternFill patternType="solid">
        <fgColor rgb="FFACC977"/>
        <bgColor rgb="FFACC977"/>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CCCCCC"/>
        <bgColor rgb="FFCCCCCC"/>
      </patternFill>
    </fill>
    <fill>
      <patternFill patternType="solid">
        <fgColor rgb="FFFF0000"/>
        <bgColor rgb="FFFF0000"/>
      </patternFill>
    </fill>
    <fill>
      <patternFill patternType="solid">
        <fgColor rgb="FFD9EAD3"/>
        <bgColor rgb="FFD9EAD3"/>
      </patternFill>
    </fill>
    <fill>
      <patternFill patternType="solid">
        <fgColor rgb="FFFCE5CD"/>
        <bgColor rgb="FFFCE5CD"/>
      </patternFill>
    </fill>
    <fill>
      <patternFill patternType="solid">
        <fgColor rgb="FF00FFFF"/>
        <bgColor rgb="FF00FFFF"/>
      </patternFill>
    </fill>
    <fill>
      <patternFill patternType="solid">
        <fgColor rgb="FFFF00FF"/>
        <bgColor rgb="FFFF00FF"/>
      </patternFill>
    </fill>
    <fill>
      <patternFill patternType="solid">
        <fgColor rgb="FFF9CB9C"/>
        <bgColor rgb="FFF9CB9C"/>
      </patternFill>
    </fill>
    <fill>
      <patternFill patternType="solid">
        <fgColor rgb="FF444746"/>
        <bgColor rgb="FF444746"/>
      </patternFill>
    </fill>
    <fill>
      <patternFill patternType="solid">
        <fgColor rgb="FFEAD1DC"/>
        <bgColor rgb="FFEAD1DC"/>
      </patternFill>
    </fill>
    <fill>
      <patternFill patternType="solid">
        <fgColor rgb="FFD9D9D9"/>
        <bgColor rgb="FFD9D9D9"/>
      </patternFill>
    </fill>
    <fill>
      <patternFill patternType="solid">
        <fgColor theme="8"/>
        <bgColor theme="8"/>
      </patternFill>
    </fill>
    <fill>
      <patternFill patternType="solid">
        <fgColor rgb="FFE6B8AF"/>
        <bgColor rgb="FFE6B8AF"/>
      </patternFill>
    </fill>
    <fill>
      <patternFill patternType="solid">
        <fgColor rgb="FFEA9999"/>
        <bgColor rgb="FFEA9999"/>
      </patternFill>
    </fill>
    <fill>
      <patternFill patternType="solid">
        <fgColor rgb="FFB6D7A8"/>
        <bgColor rgb="FFB6D7A8"/>
      </patternFill>
    </fill>
    <fill>
      <patternFill patternType="solid">
        <fgColor rgb="FFFFE599"/>
        <bgColor rgb="FFFFE599"/>
      </patternFill>
    </fill>
    <fill>
      <patternFill patternType="solid">
        <fgColor rgb="FF48BEC4"/>
        <bgColor rgb="FF48BEC4"/>
      </patternFill>
    </fill>
    <fill>
      <patternFill patternType="solid">
        <fgColor rgb="FF999999"/>
        <bgColor rgb="FF999999"/>
      </patternFill>
    </fill>
    <fill>
      <patternFill patternType="solid">
        <fgColor rgb="FF666666"/>
        <bgColor rgb="FF666666"/>
      </patternFill>
    </fill>
    <fill>
      <patternFill patternType="solid">
        <fgColor rgb="FFEFEFEF"/>
        <bgColor rgb="FFEFEFEF"/>
      </patternFill>
    </fill>
    <fill>
      <patternFill patternType="solid">
        <fgColor rgb="FFA4C2F4"/>
        <bgColor rgb="FFA4C2F4"/>
      </patternFill>
    </fill>
    <fill>
      <patternFill patternType="solid">
        <fgColor rgb="FFF3F3F3"/>
        <bgColor rgb="FFF3F3F3"/>
      </patternFill>
    </fill>
  </fills>
  <borders count="7">
    <border/>
    <border>
      <right style="thick">
        <color rgb="FF000000"/>
      </right>
    </border>
    <border>
      <bottom style="thick">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top style="thin">
        <color rgb="FF000000"/>
      </top>
      <bottom style="thin">
        <color rgb="FF000000"/>
      </bottom>
    </border>
  </borders>
  <cellStyleXfs count="1">
    <xf borderId="0" fillId="0" fontId="0" numFmtId="0" applyAlignment="1" applyFont="1"/>
  </cellStyleXfs>
  <cellXfs count="52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1" numFmtId="164" xfId="0" applyAlignment="1" applyFont="1" applyNumberFormat="1">
      <alignment horizontal="center" shrinkToFit="0" vertical="bottom" wrapText="1"/>
    </xf>
    <xf borderId="0" fillId="2" fontId="1" numFmtId="0" xfId="0" applyAlignment="1" applyFont="1">
      <alignment horizontal="center" shrinkToFit="0" vertical="bottom" wrapText="1"/>
    </xf>
    <xf borderId="0" fillId="2" fontId="1" numFmtId="164" xfId="0" applyAlignment="1" applyFont="1" applyNumberFormat="1">
      <alignment horizontal="center" readingOrder="0" shrinkToFit="0" vertical="bottom" wrapText="1"/>
    </xf>
    <xf borderId="0" fillId="2" fontId="1" numFmtId="0" xfId="0" applyAlignment="1" applyFont="1">
      <alignment horizontal="center" shrinkToFit="0" vertical="bottom" wrapText="1"/>
    </xf>
    <xf borderId="0" fillId="2" fontId="1" numFmtId="165" xfId="0" applyAlignment="1" applyFont="1" applyNumberFormat="1">
      <alignment horizontal="center" shrinkToFit="0" vertical="bottom" wrapText="1"/>
    </xf>
    <xf borderId="0" fillId="3" fontId="2" numFmtId="164" xfId="0" applyAlignment="1" applyFill="1" applyFont="1" applyNumberFormat="1">
      <alignment horizontal="center" vertical="bottom"/>
    </xf>
    <xf borderId="0" fillId="4" fontId="1" numFmtId="164" xfId="0" applyAlignment="1" applyFill="1" applyFont="1" applyNumberFormat="1">
      <alignment horizontal="center" readingOrder="0" shrinkToFit="0" vertical="bottom" wrapText="1"/>
    </xf>
    <xf borderId="0" fillId="4" fontId="1" numFmtId="164" xfId="0" applyAlignment="1" applyFont="1" applyNumberFormat="1">
      <alignment horizontal="center" shrinkToFit="0" vertical="bottom" wrapText="1"/>
    </xf>
    <xf borderId="0" fillId="4" fontId="1" numFmtId="164" xfId="0" applyAlignment="1" applyFont="1" applyNumberFormat="1">
      <alignment horizontal="center" shrinkToFit="0" vertical="bottom" wrapText="1"/>
    </xf>
    <xf borderId="0" fillId="4" fontId="1" numFmtId="10" xfId="0" applyAlignment="1" applyFont="1" applyNumberFormat="1">
      <alignment horizontal="center" shrinkToFit="0" vertical="bottom" wrapText="1"/>
    </xf>
    <xf borderId="0" fillId="4" fontId="1" numFmtId="164" xfId="0" applyAlignment="1" applyFont="1" applyNumberFormat="1">
      <alignment horizontal="center" readingOrder="0" shrinkToFit="0" vertical="bottom" wrapText="1"/>
    </xf>
    <xf borderId="0" fillId="5" fontId="1" numFmtId="164" xfId="0" applyAlignment="1" applyFill="1" applyFont="1" applyNumberFormat="1">
      <alignment horizontal="center" shrinkToFit="0" vertical="bottom" wrapText="1"/>
    </xf>
    <xf borderId="0" fillId="3" fontId="2" numFmtId="164" xfId="0" applyAlignment="1" applyFont="1" applyNumberFormat="1">
      <alignment horizontal="center" vertical="bottom"/>
    </xf>
    <xf borderId="0" fillId="6" fontId="1" numFmtId="0" xfId="0" applyAlignment="1" applyFill="1" applyFont="1">
      <alignment horizontal="center" shrinkToFit="0" vertical="bottom" wrapText="0"/>
    </xf>
    <xf borderId="0" fillId="7" fontId="1" numFmtId="0" xfId="0" applyAlignment="1" applyFill="1" applyFont="1">
      <alignment horizontal="center" shrinkToFit="0" vertical="bottom" wrapText="1"/>
    </xf>
    <xf borderId="0" fillId="3" fontId="2" numFmtId="0" xfId="0" applyAlignment="1" applyFont="1">
      <alignment horizontal="center" vertical="bottom"/>
    </xf>
    <xf borderId="0" fillId="8" fontId="1" numFmtId="0" xfId="0" applyAlignment="1" applyFill="1" applyFont="1">
      <alignment horizontal="center" shrinkToFit="0" vertical="bottom" wrapText="1"/>
    </xf>
    <xf borderId="0" fillId="0" fontId="1" numFmtId="0" xfId="0" applyAlignment="1" applyFont="1">
      <alignment horizontal="center" shrinkToFit="0" vertical="bottom" wrapText="1"/>
    </xf>
    <xf borderId="0" fillId="4" fontId="3" numFmtId="10" xfId="0" applyAlignment="1" applyFont="1" applyNumberFormat="1">
      <alignment horizontal="center" shrinkToFit="0" vertical="bottom" wrapText="1"/>
    </xf>
    <xf borderId="0" fillId="4" fontId="3" numFmtId="164" xfId="0" applyAlignment="1" applyFont="1" applyNumberFormat="1">
      <alignment horizontal="center" readingOrder="0" shrinkToFit="0" vertical="bottom" wrapText="1"/>
    </xf>
    <xf borderId="0" fillId="6" fontId="1" numFmtId="0" xfId="0" applyAlignment="1" applyFont="1">
      <alignment horizontal="center" readingOrder="0" shrinkToFit="0" vertical="bottom" wrapText="0"/>
    </xf>
    <xf borderId="0" fillId="8" fontId="4" numFmtId="0" xfId="0" applyAlignment="1" applyFont="1">
      <alignment horizontal="center" readingOrder="0"/>
    </xf>
    <xf borderId="0" fillId="8" fontId="4" numFmtId="0" xfId="0" applyAlignment="1" applyFont="1">
      <alignment horizontal="left" readingOrder="0"/>
    </xf>
    <xf borderId="0" fillId="8" fontId="4" numFmtId="0" xfId="0" applyAlignment="1" applyFont="1">
      <alignment horizontal="left" readingOrder="0" shrinkToFit="0" wrapText="0"/>
    </xf>
    <xf borderId="0" fillId="8" fontId="2" numFmtId="0" xfId="0" applyAlignment="1" applyFont="1">
      <alignment horizontal="left" readingOrder="0" vertical="bottom"/>
    </xf>
    <xf borderId="0" fillId="8" fontId="2" numFmtId="0" xfId="0" applyAlignment="1" applyFont="1">
      <alignment horizontal="left" readingOrder="0" shrinkToFit="0" vertical="bottom" wrapText="0"/>
    </xf>
    <xf borderId="0" fillId="8" fontId="4" numFmtId="165" xfId="0" applyAlignment="1" applyFont="1" applyNumberFormat="1">
      <alignment horizontal="center" readingOrder="0"/>
    </xf>
    <xf borderId="0" fillId="3" fontId="4" numFmtId="164" xfId="0" applyAlignment="1" applyFont="1" applyNumberFormat="1">
      <alignment horizontal="center" vertical="bottom"/>
    </xf>
    <xf borderId="0" fillId="0" fontId="2" numFmtId="164" xfId="0" applyAlignment="1" applyFont="1" applyNumberFormat="1">
      <alignment horizontal="center" readingOrder="0" vertical="bottom"/>
    </xf>
    <xf borderId="0" fillId="0" fontId="2" numFmtId="10" xfId="0" applyAlignment="1" applyFont="1" applyNumberFormat="1">
      <alignment horizontal="center" readingOrder="0" vertical="bottom"/>
    </xf>
    <xf borderId="0" fillId="9" fontId="2" numFmtId="164" xfId="0" applyAlignment="1" applyFill="1" applyFont="1" applyNumberFormat="1">
      <alignment horizontal="center" vertical="bottom"/>
    </xf>
    <xf borderId="0" fillId="0" fontId="4" numFmtId="164" xfId="0" applyAlignment="1" applyFont="1" applyNumberFormat="1">
      <alignment horizontal="center" readingOrder="0"/>
    </xf>
    <xf borderId="0" fillId="0" fontId="4" numFmtId="164" xfId="0" applyAlignment="1" applyFont="1" applyNumberFormat="1">
      <alignment horizontal="center" readingOrder="0"/>
    </xf>
    <xf borderId="0" fillId="0" fontId="5" numFmtId="164" xfId="0" applyAlignment="1" applyFont="1" applyNumberFormat="1">
      <alignment horizontal="center" vertical="bottom"/>
    </xf>
    <xf borderId="0" fillId="0" fontId="4" numFmtId="164" xfId="0" applyAlignment="1" applyFont="1" applyNumberFormat="1">
      <alignment horizontal="center" readingOrder="0" vertical="bottom"/>
    </xf>
    <xf borderId="0" fillId="0" fontId="4" numFmtId="0" xfId="0" applyAlignment="1" applyFont="1">
      <alignment horizontal="center" readingOrder="0"/>
    </xf>
    <xf borderId="0" fillId="0" fontId="2" numFmtId="164" xfId="0" applyAlignment="1" applyFont="1" applyNumberFormat="1">
      <alignment horizontal="center" vertical="bottom"/>
    </xf>
    <xf borderId="0" fillId="0" fontId="6" numFmtId="164" xfId="0" applyAlignment="1" applyFont="1" applyNumberFormat="1">
      <alignment horizontal="center" vertical="bottom"/>
    </xf>
    <xf borderId="0" fillId="8" fontId="2" numFmtId="164" xfId="0" applyAlignment="1" applyFont="1" applyNumberFormat="1">
      <alignment horizontal="center" vertical="bottom"/>
    </xf>
    <xf borderId="0" fillId="0" fontId="4" numFmtId="0" xfId="0" applyAlignment="1" applyFont="1">
      <alignment horizontal="center" readingOrder="0" shrinkToFit="0" wrapText="0"/>
    </xf>
    <xf borderId="0" fillId="3" fontId="4" numFmtId="0" xfId="0" applyAlignment="1" applyFont="1">
      <alignment horizontal="center" vertical="bottom"/>
    </xf>
    <xf borderId="0" fillId="8" fontId="2" numFmtId="0" xfId="0" applyAlignment="1" applyFont="1">
      <alignment horizontal="left" vertical="bottom"/>
    </xf>
    <xf borderId="0" fillId="10" fontId="4" numFmtId="166" xfId="0" applyAlignment="1" applyFill="1" applyFont="1" applyNumberFormat="1">
      <alignment horizontal="center" readingOrder="0"/>
    </xf>
    <xf borderId="0" fillId="11" fontId="2" numFmtId="10" xfId="0" applyAlignment="1" applyFill="1" applyFont="1" applyNumberFormat="1">
      <alignment horizontal="center" readingOrder="0" vertical="bottom"/>
    </xf>
    <xf borderId="0" fillId="8" fontId="7" numFmtId="0" xfId="0" applyAlignment="1" applyFont="1">
      <alignment readingOrder="0" shrinkToFit="0" wrapText="0"/>
    </xf>
    <xf borderId="0" fillId="8" fontId="8" numFmtId="0" xfId="0" applyAlignment="1" applyFont="1">
      <alignment horizontal="center" readingOrder="0"/>
    </xf>
    <xf borderId="0" fillId="11" fontId="4" numFmtId="0" xfId="0" applyAlignment="1" applyFont="1">
      <alignment horizontal="center" readingOrder="0"/>
    </xf>
    <xf borderId="0" fillId="0" fontId="2" numFmtId="0" xfId="0" applyAlignment="1" applyFont="1">
      <alignment horizontal="left" readingOrder="0" vertical="bottom"/>
    </xf>
    <xf borderId="0" fillId="8" fontId="4" numFmtId="0" xfId="0" applyAlignment="1" applyFont="1">
      <alignment horizontal="center"/>
    </xf>
    <xf borderId="0" fillId="0" fontId="2" numFmtId="10" xfId="0" applyAlignment="1" applyFont="1" applyNumberFormat="1">
      <alignment horizontal="center" vertical="bottom"/>
    </xf>
    <xf borderId="0" fillId="8" fontId="4" numFmtId="0" xfId="0" applyAlignment="1" applyFont="1">
      <alignment horizontal="center"/>
    </xf>
    <xf borderId="0" fillId="5" fontId="4" numFmtId="0" xfId="0" applyAlignment="1" applyFont="1">
      <alignment horizontal="center" readingOrder="0"/>
    </xf>
    <xf borderId="0" fillId="0" fontId="4" numFmtId="0" xfId="0" applyAlignment="1" applyFont="1">
      <alignment horizontal="left" readingOrder="0"/>
    </xf>
    <xf borderId="0" fillId="0" fontId="4" numFmtId="0" xfId="0" applyAlignment="1" applyFont="1">
      <alignment horizontal="center"/>
    </xf>
    <xf borderId="0" fillId="0" fontId="4" numFmtId="0" xfId="0" applyAlignment="1" applyFont="1">
      <alignment horizontal="left" readingOrder="0" shrinkToFit="0" wrapText="0"/>
    </xf>
    <xf borderId="0" fillId="0" fontId="4" numFmtId="0" xfId="0" applyAlignment="1" applyFont="1">
      <alignment horizontal="center"/>
    </xf>
    <xf borderId="0" fillId="8" fontId="9" numFmtId="0" xfId="0" applyAlignment="1" applyFont="1">
      <alignment readingOrder="0"/>
    </xf>
    <xf borderId="0" fillId="8" fontId="2" numFmtId="0" xfId="0" applyAlignment="1" applyFont="1">
      <alignment horizontal="left" shrinkToFit="0" vertical="bottom" wrapText="0"/>
    </xf>
    <xf borderId="0" fillId="0" fontId="4" numFmtId="165" xfId="0" applyAlignment="1" applyFont="1" applyNumberFormat="1">
      <alignment horizontal="center" readingOrder="0"/>
    </xf>
    <xf borderId="0" fillId="8" fontId="4" numFmtId="165" xfId="0" applyAlignment="1" applyFont="1" applyNumberFormat="1">
      <alignment horizontal="center"/>
    </xf>
    <xf borderId="0" fillId="9" fontId="2" numFmtId="164" xfId="0" applyAlignment="1" applyFont="1" applyNumberFormat="1">
      <alignment horizontal="center" readingOrder="0" vertical="bottom"/>
    </xf>
    <xf borderId="0" fillId="8" fontId="4" numFmtId="0" xfId="0" applyAlignment="1" applyFont="1">
      <alignment horizontal="center" readingOrder="0"/>
    </xf>
    <xf borderId="0" fillId="0" fontId="2" numFmtId="164" xfId="0" applyAlignment="1" applyFont="1" applyNumberFormat="1">
      <alignment horizontal="center" readingOrder="0"/>
    </xf>
    <xf borderId="0" fillId="0" fontId="4" numFmtId="0" xfId="0" applyAlignment="1" applyFont="1">
      <alignment readingOrder="0" shrinkToFit="0" wrapText="0"/>
    </xf>
    <xf borderId="0" fillId="0" fontId="4" numFmtId="0" xfId="0" applyAlignment="1" applyFont="1">
      <alignment readingOrder="0"/>
    </xf>
    <xf borderId="0" fillId="5" fontId="4" numFmtId="0" xfId="0" applyAlignment="1" applyFont="1">
      <alignment horizontal="left" readingOrder="0"/>
    </xf>
    <xf borderId="0" fillId="5" fontId="4" numFmtId="0" xfId="0" applyAlignment="1" applyFont="1">
      <alignment horizontal="left" readingOrder="0" shrinkToFit="0" wrapText="0"/>
    </xf>
    <xf borderId="0" fillId="5" fontId="2" numFmtId="0" xfId="0" applyAlignment="1" applyFont="1">
      <alignment horizontal="left" readingOrder="0" vertical="bottom"/>
    </xf>
    <xf borderId="0" fillId="5" fontId="2" numFmtId="0" xfId="0" applyAlignment="1" applyFont="1">
      <alignment horizontal="left" readingOrder="0" shrinkToFit="0" vertical="bottom" wrapText="0"/>
    </xf>
    <xf borderId="0" fillId="5" fontId="4" numFmtId="165" xfId="0" applyAlignment="1" applyFont="1" applyNumberFormat="1">
      <alignment horizontal="center" readingOrder="0"/>
    </xf>
    <xf borderId="0" fillId="5" fontId="4" numFmtId="164" xfId="0" applyAlignment="1" applyFont="1" applyNumberFormat="1">
      <alignment horizontal="center" vertical="bottom"/>
    </xf>
    <xf borderId="0" fillId="5" fontId="2" numFmtId="164" xfId="0" applyAlignment="1" applyFont="1" applyNumberFormat="1">
      <alignment horizontal="center" readingOrder="0" vertical="bottom"/>
    </xf>
    <xf borderId="0" fillId="5" fontId="2" numFmtId="10" xfId="0" applyAlignment="1" applyFont="1" applyNumberFormat="1">
      <alignment horizontal="center" readingOrder="0" vertical="bottom"/>
    </xf>
    <xf borderId="0" fillId="5" fontId="2" numFmtId="164" xfId="0" applyAlignment="1" applyFont="1" applyNumberFormat="1">
      <alignment horizontal="center" vertical="bottom"/>
    </xf>
    <xf borderId="0" fillId="5" fontId="4" numFmtId="164" xfId="0" applyAlignment="1" applyFont="1" applyNumberFormat="1">
      <alignment horizontal="center" readingOrder="0"/>
    </xf>
    <xf borderId="0" fillId="5" fontId="4" numFmtId="164" xfId="0" applyAlignment="1" applyFont="1" applyNumberFormat="1">
      <alignment horizontal="center" readingOrder="0"/>
    </xf>
    <xf borderId="0" fillId="5" fontId="4" numFmtId="164" xfId="0" applyAlignment="1" applyFont="1" applyNumberFormat="1">
      <alignment horizontal="center" readingOrder="0" vertical="bottom"/>
    </xf>
    <xf borderId="0" fillId="5" fontId="6" numFmtId="164" xfId="0" applyAlignment="1" applyFont="1" applyNumberFormat="1">
      <alignment horizontal="center" vertical="bottom"/>
    </xf>
    <xf borderId="0" fillId="5" fontId="2" numFmtId="164" xfId="0" applyAlignment="1" applyFont="1" applyNumberFormat="1">
      <alignment horizontal="center" vertical="bottom"/>
    </xf>
    <xf borderId="0" fillId="5" fontId="4" numFmtId="0" xfId="0" applyAlignment="1" applyFont="1">
      <alignment horizontal="center" readingOrder="0" shrinkToFit="0" wrapText="0"/>
    </xf>
    <xf borderId="0" fillId="5" fontId="4" numFmtId="0" xfId="0" applyAlignment="1" applyFont="1">
      <alignment horizontal="center" vertical="bottom"/>
    </xf>
    <xf borderId="0" fillId="8" fontId="10" numFmtId="0" xfId="0" applyAlignment="1" applyFont="1">
      <alignment horizontal="center" readingOrder="0"/>
    </xf>
    <xf borderId="0" fillId="8" fontId="11" numFmtId="0" xfId="0" applyAlignment="1" applyFont="1">
      <alignment horizontal="center" readingOrder="0"/>
    </xf>
    <xf borderId="0" fillId="8" fontId="11" numFmtId="0" xfId="0" applyAlignment="1" applyFont="1">
      <alignment readingOrder="0"/>
    </xf>
    <xf borderId="0" fillId="8" fontId="2" numFmtId="0" xfId="0" applyAlignment="1" applyFont="1">
      <alignment horizontal="center" readingOrder="0" shrinkToFit="0" vertical="bottom" wrapText="0"/>
    </xf>
    <xf borderId="0" fillId="12" fontId="4" numFmtId="0" xfId="0" applyAlignment="1" applyFill="1" applyFont="1">
      <alignment horizontal="center"/>
    </xf>
    <xf borderId="0" fillId="12" fontId="4" numFmtId="0" xfId="0" applyAlignment="1" applyFont="1">
      <alignment horizontal="center" readingOrder="0"/>
    </xf>
    <xf borderId="0" fillId="12" fontId="4" numFmtId="0" xfId="0" applyAlignment="1" applyFont="1">
      <alignment horizontal="left" readingOrder="0"/>
    </xf>
    <xf borderId="0" fillId="12" fontId="4" numFmtId="0" xfId="0" applyAlignment="1" applyFont="1">
      <alignment horizontal="left" readingOrder="0" shrinkToFit="0" wrapText="0"/>
    </xf>
    <xf borderId="0" fillId="12" fontId="2" numFmtId="0" xfId="0" applyAlignment="1" applyFont="1">
      <alignment horizontal="left" vertical="bottom"/>
    </xf>
    <xf borderId="0" fillId="12" fontId="2" numFmtId="0" xfId="0" applyAlignment="1" applyFont="1">
      <alignment horizontal="left" shrinkToFit="0" vertical="bottom" wrapText="0"/>
    </xf>
    <xf borderId="0" fillId="12" fontId="4" numFmtId="165" xfId="0" applyAlignment="1" applyFont="1" applyNumberFormat="1">
      <alignment horizontal="center" readingOrder="0"/>
    </xf>
    <xf borderId="0" fillId="12" fontId="4" numFmtId="165" xfId="0" applyAlignment="1" applyFont="1" applyNumberFormat="1">
      <alignment horizontal="center"/>
    </xf>
    <xf borderId="0" fillId="12" fontId="2" numFmtId="164" xfId="0" applyAlignment="1" applyFont="1" applyNumberFormat="1">
      <alignment horizontal="center" vertical="bottom"/>
    </xf>
    <xf borderId="0" fillId="12" fontId="2" numFmtId="10" xfId="0" applyAlignment="1" applyFont="1" applyNumberFormat="1">
      <alignment horizontal="center" vertical="bottom"/>
    </xf>
    <xf borderId="0" fillId="12" fontId="4" numFmtId="164" xfId="0" applyAlignment="1" applyFont="1" applyNumberFormat="1">
      <alignment horizontal="center" readingOrder="0"/>
    </xf>
    <xf borderId="0" fillId="12" fontId="4" numFmtId="164" xfId="0" applyAlignment="1" applyFont="1" applyNumberFormat="1">
      <alignment horizontal="center" readingOrder="0" vertical="bottom"/>
    </xf>
    <xf borderId="0" fillId="12" fontId="2" numFmtId="164" xfId="0" applyAlignment="1" applyFont="1" applyNumberFormat="1">
      <alignment horizontal="center" readingOrder="0" vertical="bottom"/>
    </xf>
    <xf borderId="0" fillId="12" fontId="4" numFmtId="164" xfId="0" applyAlignment="1" applyFont="1" applyNumberFormat="1">
      <alignment horizontal="center" vertical="bottom"/>
    </xf>
    <xf borderId="0" fillId="12" fontId="4" numFmtId="0" xfId="0" applyAlignment="1" applyFont="1">
      <alignment horizontal="center" shrinkToFit="0" vertical="bottom" wrapText="0"/>
    </xf>
    <xf borderId="0" fillId="12" fontId="4" numFmtId="0" xfId="0" applyAlignment="1" applyFont="1">
      <alignment horizontal="center" vertical="bottom"/>
    </xf>
    <xf borderId="0" fillId="12" fontId="4" numFmtId="0" xfId="0" applyAlignment="1" applyFont="1">
      <alignment horizontal="center"/>
    </xf>
    <xf borderId="0" fillId="6" fontId="1" numFmtId="0" xfId="0" applyAlignment="1" applyFont="1">
      <alignment horizontal="center" readingOrder="0" shrinkToFit="0" vertical="bottom" wrapText="1"/>
    </xf>
    <xf borderId="0" fillId="8" fontId="4" numFmtId="0" xfId="0" applyAlignment="1" applyFont="1">
      <alignment horizontal="center" readingOrder="0" shrinkToFit="0" wrapText="1"/>
    </xf>
    <xf borderId="0" fillId="10" fontId="4" numFmtId="0" xfId="0" applyAlignment="1" applyFont="1">
      <alignment horizontal="left" readingOrder="0"/>
    </xf>
    <xf borderId="0" fillId="0" fontId="2" numFmtId="0" xfId="0" applyAlignment="1" applyFont="1">
      <alignment horizontal="left" vertical="bottom"/>
    </xf>
    <xf borderId="0" fillId="0" fontId="2" numFmtId="0" xfId="0" applyAlignment="1" applyFont="1">
      <alignment horizontal="left" readingOrder="0" shrinkToFit="0" vertical="bottom" wrapText="0"/>
    </xf>
    <xf borderId="0" fillId="13" fontId="4" numFmtId="0" xfId="0" applyAlignment="1" applyFill="1" applyFont="1">
      <alignment horizontal="center" readingOrder="0"/>
    </xf>
    <xf borderId="0" fillId="0" fontId="6" numFmtId="164" xfId="0" applyAlignment="1" applyFont="1" applyNumberFormat="1">
      <alignment horizontal="center" readingOrder="0" vertical="bottom"/>
    </xf>
    <xf borderId="0" fillId="3" fontId="4" numFmtId="164" xfId="0" applyAlignment="1" applyFont="1" applyNumberFormat="1">
      <alignment horizontal="center" vertical="bottom"/>
    </xf>
    <xf borderId="0" fillId="0" fontId="4" numFmtId="0" xfId="0" applyAlignment="1" applyFont="1">
      <alignment horizontal="center" vertical="bottom"/>
    </xf>
    <xf borderId="0" fillId="0" fontId="4" numFmtId="0" xfId="0" applyAlignment="1" applyFont="1">
      <alignment horizontal="center" readingOrder="0" vertical="bottom"/>
    </xf>
    <xf borderId="0" fillId="8" fontId="0" numFmtId="0" xfId="0" applyAlignment="1" applyFont="1">
      <alignment readingOrder="0"/>
    </xf>
    <xf borderId="0" fillId="14" fontId="2" numFmtId="164" xfId="0" applyAlignment="1" applyFill="1" applyFont="1" applyNumberFormat="1">
      <alignment horizontal="center" vertical="bottom"/>
    </xf>
    <xf borderId="0" fillId="0" fontId="2" numFmtId="0" xfId="0" applyAlignment="1" applyFont="1">
      <alignment horizontal="center" vertical="bottom"/>
    </xf>
    <xf borderId="0" fillId="10" fontId="2" numFmtId="0" xfId="0" applyAlignment="1" applyFont="1">
      <alignment vertical="bottom"/>
    </xf>
    <xf borderId="0" fillId="0" fontId="2" numFmtId="0" xfId="0" applyAlignment="1" applyFont="1">
      <alignment horizontal="center" readingOrder="0" vertical="bottom"/>
    </xf>
    <xf borderId="0" fillId="0" fontId="5" numFmtId="164" xfId="0" applyAlignment="1" applyFont="1" applyNumberFormat="1">
      <alignment horizontal="center" readingOrder="0" vertical="bottom"/>
    </xf>
    <xf borderId="0" fillId="15" fontId="4" numFmtId="0" xfId="0" applyAlignment="1" applyFill="1" applyFont="1">
      <alignment horizontal="center" readingOrder="0"/>
    </xf>
    <xf borderId="0" fillId="10" fontId="2" numFmtId="0" xfId="0" applyAlignment="1" applyFont="1">
      <alignment readingOrder="0" vertical="bottom"/>
    </xf>
    <xf borderId="0" fillId="0" fontId="6" numFmtId="0" xfId="0" applyAlignment="1" applyFont="1">
      <alignment horizontal="left" readingOrder="0" shrinkToFit="0" wrapText="0"/>
    </xf>
    <xf borderId="0" fillId="0" fontId="5" numFmtId="0" xfId="0" applyAlignment="1" applyFont="1">
      <alignment horizontal="left" vertical="bottom"/>
    </xf>
    <xf borderId="0" fillId="10" fontId="6" numFmtId="164" xfId="0" applyAlignment="1" applyFont="1" applyNumberFormat="1">
      <alignment horizontal="center" vertical="bottom"/>
    </xf>
    <xf borderId="0" fillId="0" fontId="5" numFmtId="0" xfId="0" applyAlignment="1" applyFont="1">
      <alignment horizontal="left" readingOrder="0" vertical="bottom"/>
    </xf>
    <xf borderId="0" fillId="8" fontId="12" numFmtId="0" xfId="0" applyAlignment="1" applyFont="1">
      <alignment horizontal="center" readingOrder="0"/>
    </xf>
    <xf borderId="0" fillId="0" fontId="4" numFmtId="0" xfId="0" applyAlignment="1" applyFont="1">
      <alignment horizontal="center" readingOrder="0" shrinkToFit="0" wrapText="0"/>
    </xf>
    <xf borderId="0" fillId="11" fontId="6" numFmtId="164" xfId="0" applyAlignment="1" applyFont="1" applyNumberFormat="1">
      <alignment horizontal="center" vertical="bottom"/>
    </xf>
    <xf borderId="0" fillId="0" fontId="6" numFmtId="0" xfId="0" applyAlignment="1" applyFont="1">
      <alignment readingOrder="0"/>
    </xf>
    <xf borderId="0" fillId="0" fontId="6" numFmtId="0" xfId="0" applyAlignment="1" applyFont="1">
      <alignment horizontal="center" readingOrder="0"/>
    </xf>
    <xf borderId="0" fillId="16" fontId="4" numFmtId="164" xfId="0" applyAlignment="1" applyFill="1" applyFont="1" applyNumberFormat="1">
      <alignment horizontal="center" readingOrder="0" vertical="bottom"/>
    </xf>
    <xf borderId="0" fillId="10" fontId="13" numFmtId="0" xfId="0" applyAlignment="1" applyFont="1">
      <alignment vertical="bottom"/>
    </xf>
    <xf borderId="0" fillId="8" fontId="14" numFmtId="0" xfId="0" applyAlignment="1" applyFont="1">
      <alignment horizontal="center" readingOrder="0"/>
    </xf>
    <xf borderId="0" fillId="0" fontId="8" numFmtId="0" xfId="0" applyAlignment="1" applyFont="1">
      <alignment horizontal="center" readingOrder="0"/>
    </xf>
    <xf borderId="0" fillId="8" fontId="9" numFmtId="0" xfId="0" applyAlignment="1" applyFont="1">
      <alignment horizontal="left" readingOrder="0"/>
    </xf>
    <xf borderId="0" fillId="0" fontId="2" numFmtId="0" xfId="0" applyAlignment="1" applyFont="1">
      <alignment horizontal="left" readingOrder="0" vertical="bottom"/>
    </xf>
    <xf borderId="0" fillId="0" fontId="2" numFmtId="0" xfId="0" applyAlignment="1" applyFont="1">
      <alignment horizontal="left" vertical="bottom"/>
    </xf>
    <xf borderId="0" fillId="8" fontId="15" numFmtId="0" xfId="0" applyAlignment="1" applyFont="1">
      <alignment horizontal="center" readingOrder="0"/>
    </xf>
    <xf borderId="0" fillId="8" fontId="9" numFmtId="0" xfId="0" applyAlignment="1" applyFont="1">
      <alignment readingOrder="0"/>
    </xf>
    <xf borderId="0" fillId="0" fontId="4" numFmtId="0" xfId="0" applyAlignment="1" applyFont="1">
      <alignment horizontal="left" readingOrder="0" shrinkToFit="0" vertical="bottom" wrapText="0"/>
    </xf>
    <xf borderId="0" fillId="0" fontId="16" numFmtId="0" xfId="0" applyAlignment="1" applyFont="1">
      <alignment horizontal="center" readingOrder="0"/>
    </xf>
    <xf borderId="0" fillId="0" fontId="2" numFmtId="0" xfId="0" applyAlignment="1" applyFont="1">
      <alignment horizontal="left" shrinkToFit="0" vertical="bottom" wrapText="0"/>
    </xf>
    <xf borderId="0" fillId="10" fontId="6" numFmtId="0" xfId="0" applyAlignment="1" applyFont="1">
      <alignment horizontal="left" readingOrder="0"/>
    </xf>
    <xf borderId="0" fillId="8" fontId="6" numFmtId="0" xfId="0" applyAlignment="1" applyFont="1">
      <alignment readingOrder="0"/>
    </xf>
    <xf borderId="0" fillId="3" fontId="2" numFmtId="0" xfId="0" applyAlignment="1" applyFont="1">
      <alignment vertical="bottom"/>
    </xf>
    <xf borderId="0" fillId="8" fontId="4" numFmtId="0" xfId="0" applyAlignment="1" applyFont="1">
      <alignment horizontal="left" readingOrder="0" shrinkToFit="0" vertical="bottom" wrapText="0"/>
    </xf>
    <xf borderId="0" fillId="11" fontId="4" numFmtId="164" xfId="0" applyAlignment="1" applyFont="1" applyNumberFormat="1">
      <alignment horizontal="center" readingOrder="0"/>
    </xf>
    <xf borderId="0" fillId="17" fontId="4" numFmtId="0" xfId="0" applyAlignment="1" applyFill="1" applyFont="1">
      <alignment horizontal="center"/>
    </xf>
    <xf borderId="0" fillId="8" fontId="4" numFmtId="166" xfId="0" applyAlignment="1" applyFont="1" applyNumberFormat="1">
      <alignment horizontal="center" readingOrder="0"/>
    </xf>
    <xf borderId="0" fillId="8" fontId="9" numFmtId="164" xfId="0" applyAlignment="1" applyFont="1" applyNumberFormat="1">
      <alignment readingOrder="0"/>
    </xf>
    <xf borderId="0" fillId="0" fontId="17" numFmtId="0" xfId="0" applyAlignment="1" applyFont="1">
      <alignment horizontal="center" readingOrder="0"/>
    </xf>
    <xf borderId="0" fillId="0" fontId="17" numFmtId="0" xfId="0" applyAlignment="1" applyFont="1">
      <alignment horizontal="center" vertical="bottom"/>
    </xf>
    <xf borderId="0" fillId="10" fontId="2" numFmtId="0" xfId="0" applyAlignment="1" applyFont="1">
      <alignment readingOrder="0"/>
    </xf>
    <xf borderId="0" fillId="8" fontId="2" numFmtId="0" xfId="0" applyAlignment="1" applyFont="1">
      <alignment readingOrder="0"/>
    </xf>
    <xf borderId="0" fillId="0" fontId="18" numFmtId="0" xfId="0" applyAlignment="1" applyFont="1">
      <alignment readingOrder="0"/>
    </xf>
    <xf borderId="0" fillId="8" fontId="2" numFmtId="0" xfId="0" applyAlignment="1" applyFont="1">
      <alignment horizontal="center" readingOrder="0"/>
    </xf>
    <xf borderId="0" fillId="8" fontId="19" numFmtId="0" xfId="0" applyAlignment="1" applyFont="1">
      <alignment horizontal="center" readingOrder="0"/>
    </xf>
    <xf borderId="0" fillId="8" fontId="2" numFmtId="0" xfId="0" applyAlignment="1" applyFont="1">
      <alignment horizontal="center" vertical="bottom"/>
    </xf>
    <xf borderId="0" fillId="8" fontId="2" numFmtId="0" xfId="0" applyAlignment="1" applyFont="1">
      <alignment horizontal="center" readingOrder="0" vertical="bottom"/>
    </xf>
    <xf borderId="0" fillId="8" fontId="2" numFmtId="0" xfId="0" applyAlignment="1" applyFont="1">
      <alignment shrinkToFit="0" vertical="bottom" wrapText="0"/>
    </xf>
    <xf borderId="0" fillId="8" fontId="2" numFmtId="0" xfId="0" applyAlignment="1" applyFont="1">
      <alignment vertical="bottom"/>
    </xf>
    <xf borderId="0" fillId="0" fontId="2" numFmtId="0" xfId="0" applyAlignment="1" applyFont="1">
      <alignment shrinkToFit="0" vertical="bottom" wrapText="0"/>
    </xf>
    <xf borderId="0" fillId="8" fontId="20" numFmtId="0" xfId="0" applyAlignment="1" applyFont="1">
      <alignment horizontal="center" vertical="bottom"/>
    </xf>
    <xf borderId="0" fillId="8" fontId="2" numFmtId="165" xfId="0" applyAlignment="1" applyFont="1" applyNumberFormat="1">
      <alignment horizontal="center" vertical="bottom"/>
    </xf>
    <xf borderId="0" fillId="8" fontId="2" numFmtId="165" xfId="0" applyAlignment="1" applyFont="1" applyNumberFormat="1">
      <alignment horizontal="center" readingOrder="0" vertical="bottom"/>
    </xf>
    <xf borderId="0" fillId="3" fontId="2" numFmtId="164" xfId="0" applyAlignment="1" applyFont="1" applyNumberFormat="1">
      <alignment vertical="bottom"/>
    </xf>
    <xf borderId="0" fillId="8" fontId="2" numFmtId="0" xfId="0" applyAlignment="1" applyFont="1">
      <alignment vertical="bottom"/>
    </xf>
    <xf borderId="0" fillId="0" fontId="2" numFmtId="164" xfId="0" applyAlignment="1" applyFont="1" applyNumberFormat="1">
      <alignment horizontal="center" vertical="bottom"/>
    </xf>
    <xf borderId="0" fillId="3" fontId="2" numFmtId="164" xfId="0" applyAlignment="1" applyFont="1" applyNumberFormat="1">
      <alignment vertical="bottom"/>
    </xf>
    <xf borderId="0" fillId="8" fontId="2" numFmtId="0" xfId="0" applyAlignment="1" applyFont="1">
      <alignment readingOrder="0" vertical="bottom"/>
    </xf>
    <xf borderId="0" fillId="18" fontId="4" numFmtId="0" xfId="0" applyAlignment="1" applyFill="1" applyFont="1">
      <alignment horizontal="center" readingOrder="0"/>
    </xf>
    <xf borderId="0" fillId="8" fontId="4" numFmtId="167" xfId="0" applyAlignment="1" applyFont="1" applyNumberFormat="1">
      <alignment horizontal="center" readingOrder="0"/>
    </xf>
    <xf borderId="0" fillId="8" fontId="21" numFmtId="0" xfId="0" applyAlignment="1" applyFont="1">
      <alignment horizontal="center" readingOrder="0"/>
    </xf>
    <xf borderId="0" fillId="10" fontId="21" numFmtId="0" xfId="0" applyAlignment="1" applyFont="1">
      <alignment horizontal="left" readingOrder="0"/>
    </xf>
    <xf borderId="0" fillId="0" fontId="21" numFmtId="0" xfId="0" applyAlignment="1" applyFont="1">
      <alignment horizontal="left" readingOrder="0"/>
    </xf>
    <xf borderId="0" fillId="8" fontId="21" numFmtId="0" xfId="0" applyAlignment="1" applyFont="1">
      <alignment horizontal="left" readingOrder="0" shrinkToFit="0" vertical="bottom" wrapText="0"/>
    </xf>
    <xf borderId="0" fillId="8" fontId="21" numFmtId="165" xfId="0" applyAlignment="1" applyFont="1" applyNumberFormat="1">
      <alignment horizontal="center" readingOrder="0"/>
    </xf>
    <xf borderId="0" fillId="3" fontId="21" numFmtId="164" xfId="0" applyAlignment="1" applyFont="1" applyNumberFormat="1">
      <alignment horizontal="center" vertical="bottom"/>
    </xf>
    <xf borderId="0" fillId="8" fontId="21" numFmtId="0" xfId="0" applyAlignment="1" applyFont="1">
      <alignment horizontal="left" readingOrder="0"/>
    </xf>
    <xf borderId="0" fillId="0" fontId="21" numFmtId="164" xfId="0" applyAlignment="1" applyFont="1" applyNumberFormat="1">
      <alignment horizontal="center" readingOrder="0" vertical="bottom"/>
    </xf>
    <xf borderId="0" fillId="0" fontId="21" numFmtId="10" xfId="0" applyAlignment="1" applyFont="1" applyNumberFormat="1">
      <alignment horizontal="center" readingOrder="0" vertical="bottom"/>
    </xf>
    <xf borderId="0" fillId="9" fontId="21" numFmtId="164" xfId="0" applyAlignment="1" applyFont="1" applyNumberFormat="1">
      <alignment horizontal="center" vertical="bottom"/>
    </xf>
    <xf borderId="0" fillId="0" fontId="21" numFmtId="164" xfId="0" applyAlignment="1" applyFont="1" applyNumberFormat="1">
      <alignment horizontal="center" readingOrder="0"/>
    </xf>
    <xf borderId="0" fillId="0" fontId="21" numFmtId="164" xfId="0" applyAlignment="1" applyFont="1" applyNumberFormat="1">
      <alignment horizontal="center" readingOrder="0"/>
    </xf>
    <xf borderId="0" fillId="0" fontId="21" numFmtId="0" xfId="0" applyAlignment="1" applyFont="1">
      <alignment horizontal="center" readingOrder="0"/>
    </xf>
    <xf borderId="0" fillId="0" fontId="21" numFmtId="164" xfId="0" applyAlignment="1" applyFont="1" applyNumberFormat="1">
      <alignment horizontal="center" vertical="bottom"/>
    </xf>
    <xf borderId="0" fillId="0" fontId="0" numFmtId="164" xfId="0" applyAlignment="1" applyFont="1" applyNumberFormat="1">
      <alignment horizontal="center" vertical="bottom"/>
    </xf>
    <xf borderId="0" fillId="8" fontId="21" numFmtId="164" xfId="0" applyAlignment="1" applyFont="1" applyNumberFormat="1">
      <alignment horizontal="center" vertical="bottom"/>
    </xf>
    <xf borderId="0" fillId="3" fontId="21" numFmtId="164" xfId="0" applyAlignment="1" applyFont="1" applyNumberFormat="1">
      <alignment horizontal="center" vertical="bottom"/>
    </xf>
    <xf borderId="0" fillId="3" fontId="21" numFmtId="0" xfId="0" applyAlignment="1" applyFont="1">
      <alignment horizontal="center" vertical="bottom"/>
    </xf>
    <xf borderId="0" fillId="8" fontId="6" numFmtId="0" xfId="0" applyAlignment="1" applyFont="1">
      <alignment horizontal="left" readingOrder="0" shrinkToFit="0" vertical="top" wrapText="0"/>
    </xf>
    <xf borderId="0" fillId="10" fontId="4" numFmtId="0" xfId="0" applyAlignment="1" applyFont="1">
      <alignment horizontal="center" readingOrder="0" shrinkToFit="0" wrapText="0"/>
    </xf>
    <xf borderId="0" fillId="10" fontId="4" numFmtId="164" xfId="0" applyAlignment="1" applyFont="1" applyNumberFormat="1">
      <alignment horizontal="center" readingOrder="0" vertical="bottom"/>
    </xf>
    <xf borderId="0" fillId="8" fontId="22" numFmtId="0" xfId="0" applyAlignment="1" applyFont="1">
      <alignment horizontal="center" readingOrder="0"/>
    </xf>
    <xf borderId="0" fillId="10" fontId="23" numFmtId="0" xfId="0" applyAlignment="1" applyFont="1">
      <alignment readingOrder="0"/>
    </xf>
    <xf borderId="0" fillId="0" fontId="4" numFmtId="0" xfId="0" applyAlignment="1" applyFont="1">
      <alignment horizontal="left" readingOrder="0" shrinkToFit="0" wrapText="0"/>
    </xf>
    <xf borderId="0" fillId="8" fontId="9" numFmtId="164" xfId="0" applyAlignment="1" applyFont="1" applyNumberFormat="1">
      <alignment horizontal="center" readingOrder="0"/>
    </xf>
    <xf borderId="0" fillId="19" fontId="24" numFmtId="0" xfId="0" applyAlignment="1" applyFill="1" applyFont="1">
      <alignment horizontal="left" readingOrder="0"/>
    </xf>
    <xf borderId="0" fillId="8" fontId="6" numFmtId="0" xfId="0" applyAlignment="1" applyFont="1">
      <alignment horizontal="center" readingOrder="0"/>
    </xf>
    <xf borderId="0" fillId="8" fontId="6" numFmtId="0" xfId="0" applyAlignment="1" applyFont="1">
      <alignment horizontal="left" readingOrder="0" shrinkToFit="0" wrapText="0"/>
    </xf>
    <xf borderId="0" fillId="10" fontId="4" numFmtId="0" xfId="0" applyAlignment="1" applyFont="1">
      <alignment readingOrder="0"/>
    </xf>
    <xf borderId="0" fillId="0" fontId="4" numFmtId="168" xfId="0" applyAlignment="1" applyFont="1" applyNumberFormat="1">
      <alignment horizontal="center" readingOrder="0"/>
    </xf>
    <xf borderId="0" fillId="0" fontId="4" numFmtId="168" xfId="0" applyAlignment="1" applyFont="1" applyNumberFormat="1">
      <alignment horizontal="center" readingOrder="0" vertical="bottom"/>
    </xf>
    <xf borderId="0" fillId="0" fontId="2" numFmtId="0" xfId="0" applyAlignment="1" applyFont="1">
      <alignment vertical="bottom"/>
    </xf>
    <xf borderId="0" fillId="0" fontId="2" numFmtId="168" xfId="0" applyAlignment="1" applyFont="1" applyNumberFormat="1">
      <alignment horizontal="center" vertical="bottom"/>
    </xf>
    <xf borderId="0" fillId="7" fontId="4" numFmtId="165" xfId="0" applyAlignment="1" applyFont="1" applyNumberFormat="1">
      <alignment horizontal="center" readingOrder="0"/>
    </xf>
    <xf borderId="0" fillId="16" fontId="4" numFmtId="164" xfId="0" applyAlignment="1" applyFont="1" applyNumberFormat="1">
      <alignment horizontal="center" readingOrder="0"/>
    </xf>
    <xf borderId="0" fillId="8" fontId="5" numFmtId="0" xfId="0" applyAlignment="1" applyFont="1">
      <alignment horizontal="left" readingOrder="0" vertical="bottom"/>
    </xf>
    <xf borderId="0" fillId="8" fontId="5" numFmtId="0" xfId="0" applyAlignment="1" applyFont="1">
      <alignment horizontal="left" readingOrder="0" shrinkToFit="0" vertical="bottom" wrapText="0"/>
    </xf>
    <xf borderId="0" fillId="8" fontId="25" numFmtId="0" xfId="0" applyAlignment="1" applyFont="1">
      <alignment horizontal="center" readingOrder="0"/>
    </xf>
    <xf borderId="0" fillId="8" fontId="6" numFmtId="165" xfId="0" applyAlignment="1" applyFont="1" applyNumberFormat="1">
      <alignment horizontal="center" readingOrder="0"/>
    </xf>
    <xf borderId="0" fillId="3" fontId="6" numFmtId="164" xfId="0" applyAlignment="1" applyFont="1" applyNumberFormat="1">
      <alignment horizontal="center" vertical="bottom"/>
    </xf>
    <xf borderId="0" fillId="8" fontId="6" numFmtId="0" xfId="0" applyAlignment="1" applyFont="1">
      <alignment horizontal="left" readingOrder="0"/>
    </xf>
    <xf borderId="0" fillId="0" fontId="5" numFmtId="10" xfId="0" applyAlignment="1" applyFont="1" applyNumberFormat="1">
      <alignment horizontal="center" readingOrder="0" vertical="bottom"/>
    </xf>
    <xf borderId="0" fillId="9" fontId="5" numFmtId="164" xfId="0" applyAlignment="1" applyFont="1" applyNumberFormat="1">
      <alignment horizontal="center" vertical="bottom"/>
    </xf>
    <xf borderId="0" fillId="0" fontId="6" numFmtId="164" xfId="0" applyAlignment="1" applyFont="1" applyNumberFormat="1">
      <alignment horizontal="center" readingOrder="0"/>
    </xf>
    <xf borderId="0" fillId="0" fontId="6" numFmtId="164" xfId="0" applyAlignment="1" applyFont="1" applyNumberFormat="1">
      <alignment horizontal="center" readingOrder="0"/>
    </xf>
    <xf borderId="0" fillId="8" fontId="5" numFmtId="164" xfId="0" applyAlignment="1" applyFont="1" applyNumberFormat="1">
      <alignment horizontal="center" vertical="bottom"/>
    </xf>
    <xf borderId="0" fillId="3" fontId="5" numFmtId="164" xfId="0" applyAlignment="1" applyFont="1" applyNumberFormat="1">
      <alignment horizontal="center" vertical="bottom"/>
    </xf>
    <xf borderId="0" fillId="0" fontId="6" numFmtId="0" xfId="0" applyAlignment="1" applyFont="1">
      <alignment horizontal="center" readingOrder="0" shrinkToFit="0" wrapText="0"/>
    </xf>
    <xf borderId="0" fillId="3" fontId="6" numFmtId="0" xfId="0" applyAlignment="1" applyFont="1">
      <alignment horizontal="center" vertical="bottom"/>
    </xf>
    <xf borderId="0" fillId="0" fontId="6" numFmtId="0" xfId="0" applyAlignment="1" applyFont="1">
      <alignment horizontal="center" vertical="bottom"/>
    </xf>
    <xf borderId="0" fillId="0" fontId="6" numFmtId="168" xfId="0" applyAlignment="1" applyFont="1" applyNumberFormat="1">
      <alignment horizontal="center" readingOrder="0" vertical="bottom"/>
    </xf>
    <xf borderId="0" fillId="15" fontId="4" numFmtId="164" xfId="0" applyAlignment="1" applyFont="1" applyNumberFormat="1">
      <alignment horizontal="center" readingOrder="0"/>
    </xf>
    <xf borderId="0" fillId="0" fontId="2" numFmtId="0" xfId="0" applyAlignment="1" applyFont="1">
      <alignment vertical="bottom"/>
    </xf>
    <xf borderId="0" fillId="8" fontId="2" numFmtId="0" xfId="0" applyAlignment="1" applyFont="1">
      <alignment shrinkToFit="0" vertical="bottom" wrapText="0"/>
    </xf>
    <xf borderId="0" fillId="0" fontId="2" numFmtId="0" xfId="0" applyAlignment="1" applyFont="1">
      <alignment readingOrder="0" vertical="bottom"/>
    </xf>
    <xf borderId="0" fillId="0" fontId="20" numFmtId="0" xfId="0" applyAlignment="1" applyFont="1">
      <alignment horizontal="left" readingOrder="0" vertical="bottom"/>
    </xf>
    <xf borderId="0" fillId="0" fontId="5" numFmtId="0" xfId="0" applyAlignment="1" applyFont="1">
      <alignment horizontal="left" vertical="bottom"/>
    </xf>
    <xf borderId="0" fillId="0" fontId="5" numFmtId="10" xfId="0" applyAlignment="1" applyFont="1" applyNumberFormat="1">
      <alignment horizontal="center" vertical="bottom"/>
    </xf>
    <xf borderId="0" fillId="9" fontId="5" numFmtId="164" xfId="0" applyAlignment="1" applyFont="1" applyNumberFormat="1">
      <alignment horizontal="center" readingOrder="0" vertical="bottom"/>
    </xf>
    <xf borderId="0" fillId="8" fontId="15" numFmtId="0" xfId="0" applyAlignment="1" applyFont="1">
      <alignment horizontal="left" readingOrder="0"/>
    </xf>
    <xf borderId="0" fillId="8" fontId="5" numFmtId="0" xfId="0" applyAlignment="1" applyFont="1">
      <alignment horizontal="center" readingOrder="0"/>
    </xf>
    <xf borderId="0" fillId="8" fontId="20" numFmtId="0" xfId="0" applyAlignment="1" applyFont="1">
      <alignment horizontal="left" readingOrder="0" vertical="bottom"/>
    </xf>
    <xf borderId="0" fillId="10" fontId="4" numFmtId="165" xfId="0" applyAlignment="1" applyFont="1" applyNumberFormat="1">
      <alignment horizontal="center" readingOrder="0"/>
    </xf>
    <xf borderId="0" fillId="8" fontId="20" numFmtId="0" xfId="0" applyAlignment="1" applyFont="1">
      <alignment vertical="bottom"/>
    </xf>
    <xf borderId="0" fillId="0" fontId="2" numFmtId="164" xfId="0" applyAlignment="1" applyFont="1" applyNumberFormat="1">
      <alignment horizontal="center" readingOrder="0" vertical="bottom"/>
    </xf>
    <xf borderId="0" fillId="5" fontId="4" numFmtId="0" xfId="0" applyAlignment="1" applyFont="1">
      <alignment horizontal="center" readingOrder="0" vertical="bottom"/>
    </xf>
    <xf borderId="0" fillId="14" fontId="4" numFmtId="0" xfId="0" applyAlignment="1" applyFont="1">
      <alignment horizontal="left" readingOrder="0"/>
    </xf>
    <xf borderId="0" fillId="8" fontId="4" numFmtId="0" xfId="0" applyAlignment="1" applyFont="1">
      <alignment horizontal="center" readingOrder="0" shrinkToFit="0" wrapText="0"/>
    </xf>
    <xf borderId="0" fillId="0" fontId="4" numFmtId="165" xfId="0" applyAlignment="1" applyFont="1" applyNumberFormat="1">
      <alignment horizontal="center"/>
    </xf>
    <xf borderId="0" fillId="2" fontId="4" numFmtId="0" xfId="0" applyAlignment="1" applyFont="1">
      <alignment vertical="bottom"/>
    </xf>
    <xf borderId="0" fillId="2" fontId="4" numFmtId="169" xfId="0" applyAlignment="1" applyFont="1" applyNumberFormat="1">
      <alignment horizontal="center" vertical="bottom"/>
    </xf>
    <xf borderId="1" fillId="2" fontId="4" numFmtId="0" xfId="0" applyAlignment="1" applyBorder="1" applyFont="1">
      <alignment vertical="bottom"/>
    </xf>
    <xf borderId="0" fillId="2" fontId="26" numFmtId="0" xfId="0" applyAlignment="1" applyFont="1">
      <alignment horizontal="center" vertical="bottom"/>
    </xf>
    <xf borderId="0" fillId="2" fontId="26" numFmtId="0" xfId="0" applyAlignment="1" applyFont="1">
      <alignment horizontal="left" vertical="bottom"/>
    </xf>
    <xf borderId="0" fillId="2" fontId="26" numFmtId="0" xfId="0" applyAlignment="1" applyFont="1">
      <alignment horizontal="center" readingOrder="0" vertical="bottom"/>
    </xf>
    <xf borderId="0" fillId="2" fontId="26" numFmtId="0" xfId="0" applyAlignment="1" applyFont="1">
      <alignment horizontal="left" vertical="bottom"/>
    </xf>
    <xf borderId="0" fillId="2" fontId="26" numFmtId="0" xfId="0" applyAlignment="1" applyFont="1">
      <alignment horizontal="center" vertical="bottom"/>
    </xf>
    <xf borderId="0" fillId="2" fontId="26" numFmtId="165" xfId="0" applyAlignment="1" applyFont="1" applyNumberFormat="1">
      <alignment horizontal="center" vertical="bottom"/>
    </xf>
    <xf borderId="0" fillId="3" fontId="26" numFmtId="0" xfId="0" applyAlignment="1" applyFont="1">
      <alignment horizontal="center" vertical="bottom"/>
    </xf>
    <xf borderId="0" fillId="4" fontId="27" numFmtId="0" xfId="0" applyAlignment="1" applyFont="1">
      <alignment horizontal="center" readingOrder="0" vertical="bottom"/>
    </xf>
    <xf borderId="0" fillId="4" fontId="26" numFmtId="0" xfId="0" applyAlignment="1" applyFont="1">
      <alignment horizontal="center" vertical="bottom"/>
    </xf>
    <xf borderId="0" fillId="7" fontId="28" numFmtId="0" xfId="0" applyAlignment="1" applyFont="1">
      <alignment horizontal="center" readingOrder="0" vertical="bottom"/>
    </xf>
    <xf borderId="0" fillId="0" fontId="26" numFmtId="0" xfId="0" applyAlignment="1" applyFont="1">
      <alignment horizontal="center" vertical="bottom"/>
    </xf>
    <xf borderId="0" fillId="2" fontId="29" numFmtId="0" xfId="0" applyAlignment="1" applyFont="1">
      <alignment vertical="bottom"/>
    </xf>
    <xf borderId="0" fillId="2" fontId="4" numFmtId="0" xfId="0" applyAlignment="1" applyFont="1">
      <alignment horizontal="center" vertical="bottom"/>
    </xf>
    <xf borderId="0" fillId="2" fontId="4" numFmtId="0" xfId="0" applyAlignment="1" applyFont="1">
      <alignment horizontal="left" vertical="bottom"/>
    </xf>
    <xf borderId="0" fillId="2" fontId="4" numFmtId="0" xfId="0" applyAlignment="1" applyFont="1">
      <alignment horizontal="center" readingOrder="0" vertical="bottom"/>
    </xf>
    <xf borderId="0" fillId="2" fontId="4" numFmtId="0" xfId="0" applyAlignment="1" applyFont="1">
      <alignment horizontal="center" vertical="bottom"/>
    </xf>
    <xf borderId="0" fillId="2" fontId="4" numFmtId="164" xfId="0" applyAlignment="1" applyFont="1" applyNumberFormat="1">
      <alignment horizontal="left" vertical="bottom"/>
    </xf>
    <xf borderId="0" fillId="2" fontId="4" numFmtId="0" xfId="0" applyAlignment="1" applyFont="1">
      <alignment horizontal="left" readingOrder="0" vertical="bottom"/>
    </xf>
    <xf borderId="0" fillId="2" fontId="4" numFmtId="165" xfId="0" applyAlignment="1" applyFont="1" applyNumberFormat="1">
      <alignment horizontal="center" vertical="bottom"/>
    </xf>
    <xf borderId="0" fillId="4" fontId="4" numFmtId="164" xfId="0" applyAlignment="1" applyFont="1" applyNumberFormat="1">
      <alignment horizontal="left" vertical="bottom"/>
    </xf>
    <xf borderId="0" fillId="4" fontId="4" numFmtId="164" xfId="0" applyAlignment="1" applyFont="1" applyNumberFormat="1">
      <alignment horizontal="center" vertical="bottom"/>
    </xf>
    <xf borderId="0" fillId="4" fontId="4" numFmtId="10" xfId="0" applyAlignment="1" applyFont="1" applyNumberFormat="1">
      <alignment horizontal="center" vertical="bottom"/>
    </xf>
    <xf borderId="0" fillId="4" fontId="4" numFmtId="164" xfId="0" applyAlignment="1" applyFont="1" applyNumberFormat="1">
      <alignment horizontal="center" vertical="bottom"/>
    </xf>
    <xf borderId="0" fillId="7" fontId="30" numFmtId="0" xfId="0" applyFont="1"/>
    <xf borderId="0" fillId="2" fontId="31" numFmtId="0" xfId="0" applyAlignment="1" applyFont="1">
      <alignment vertical="bottom"/>
    </xf>
    <xf borderId="0" fillId="2" fontId="31" numFmtId="169" xfId="0" applyAlignment="1" applyFont="1" applyNumberFormat="1">
      <alignment horizontal="center" shrinkToFit="0" vertical="bottom" wrapText="1"/>
    </xf>
    <xf borderId="1" fillId="2" fontId="8" numFmtId="0" xfId="0" applyAlignment="1" applyBorder="1" applyFont="1">
      <alignment readingOrder="0" vertical="bottom"/>
    </xf>
    <xf borderId="0" fillId="0" fontId="4" numFmtId="169" xfId="0" applyAlignment="1" applyFont="1" applyNumberFormat="1">
      <alignment horizontal="center" readingOrder="0"/>
    </xf>
    <xf borderId="1" fillId="0" fontId="4" numFmtId="0" xfId="0" applyAlignment="1" applyBorder="1" applyFont="1">
      <alignment readingOrder="0"/>
    </xf>
    <xf borderId="0" fillId="0" fontId="4" numFmtId="0" xfId="0" applyFont="1"/>
    <xf borderId="1" fillId="0" fontId="4" numFmtId="0" xfId="0" applyAlignment="1" applyBorder="1" applyFont="1">
      <alignment readingOrder="0" shrinkToFit="0" wrapText="0"/>
    </xf>
    <xf borderId="0" fillId="8" fontId="11" numFmtId="49" xfId="0" applyAlignment="1" applyFont="1" applyNumberFormat="1">
      <alignment horizontal="center" readingOrder="0"/>
    </xf>
    <xf borderId="0" fillId="20" fontId="4" numFmtId="0" xfId="0" applyAlignment="1" applyFill="1" applyFont="1">
      <alignment horizontal="center"/>
    </xf>
    <xf borderId="0" fillId="20" fontId="4" numFmtId="0" xfId="0" applyAlignment="1" applyFont="1">
      <alignment horizontal="center" readingOrder="0"/>
    </xf>
    <xf borderId="0" fillId="8" fontId="2" numFmtId="165" xfId="0" applyAlignment="1" applyFont="1" applyNumberFormat="1">
      <alignment vertical="bottom"/>
    </xf>
    <xf borderId="1" fillId="0" fontId="2" numFmtId="0" xfId="0" applyAlignment="1" applyBorder="1" applyFont="1">
      <alignment readingOrder="0" vertical="bottom"/>
    </xf>
    <xf borderId="0" fillId="8" fontId="4" numFmtId="0" xfId="0" applyAlignment="1" applyFont="1">
      <alignment horizontal="center" readingOrder="0"/>
    </xf>
    <xf borderId="1" fillId="8" fontId="9" numFmtId="0" xfId="0" applyAlignment="1" applyBorder="1" applyFont="1">
      <alignment readingOrder="0"/>
    </xf>
    <xf borderId="0" fillId="0" fontId="4" numFmtId="169" xfId="0" applyAlignment="1" applyFont="1" applyNumberFormat="1">
      <alignment horizontal="center"/>
    </xf>
    <xf borderId="0" fillId="8" fontId="4" numFmtId="0" xfId="0" applyFont="1"/>
    <xf borderId="0" fillId="8" fontId="4" numFmtId="169" xfId="0" applyAlignment="1" applyFont="1" applyNumberFormat="1">
      <alignment horizontal="center"/>
    </xf>
    <xf borderId="0" fillId="8" fontId="4" numFmtId="0" xfId="0" applyAlignment="1" applyFont="1">
      <alignment readingOrder="0"/>
    </xf>
    <xf borderId="1" fillId="8" fontId="4" numFmtId="0" xfId="0" applyAlignment="1" applyBorder="1" applyFont="1">
      <alignment readingOrder="0"/>
    </xf>
    <xf borderId="1" fillId="0" fontId="4" numFmtId="0" xfId="0" applyBorder="1" applyFont="1"/>
    <xf borderId="0" fillId="2" fontId="32" numFmtId="0" xfId="0" applyAlignment="1" applyFont="1">
      <alignment horizontal="center" readingOrder="0" vertical="bottom"/>
    </xf>
    <xf borderId="0" fillId="2" fontId="32" numFmtId="164" xfId="0" applyAlignment="1" applyFont="1" applyNumberFormat="1">
      <alignment horizontal="center" readingOrder="0" vertical="bottom"/>
    </xf>
    <xf borderId="0" fillId="3" fontId="4" numFmtId="0" xfId="0" applyAlignment="1" applyFont="1">
      <alignment horizontal="left" readingOrder="0" shrinkToFit="0" wrapText="0"/>
    </xf>
    <xf borderId="0" fillId="0" fontId="6" numFmtId="0" xfId="0" applyAlignment="1" applyFont="1">
      <alignment readingOrder="0" shrinkToFit="0" wrapText="0"/>
    </xf>
    <xf borderId="0" fillId="8" fontId="23" numFmtId="0" xfId="0" applyAlignment="1" applyFont="1">
      <alignment readingOrder="0"/>
    </xf>
    <xf borderId="0" fillId="21" fontId="2" numFmtId="0" xfId="0" applyAlignment="1" applyFill="1" applyFont="1">
      <alignment readingOrder="0" vertical="bottom"/>
    </xf>
    <xf borderId="0" fillId="21" fontId="2" numFmtId="0" xfId="0" applyAlignment="1" applyFont="1">
      <alignment vertical="bottom"/>
    </xf>
    <xf borderId="0" fillId="21" fontId="2" numFmtId="0" xfId="0" applyAlignment="1" applyFont="1">
      <alignment horizontal="center" vertical="bottom"/>
    </xf>
    <xf borderId="0" fillId="21" fontId="2" numFmtId="0" xfId="0" applyAlignment="1" applyFont="1">
      <alignment horizontal="center" readingOrder="0" vertical="bottom"/>
    </xf>
    <xf borderId="0" fillId="11" fontId="20" numFmtId="170" xfId="0" applyAlignment="1" applyFont="1" applyNumberFormat="1">
      <alignment horizontal="center" shrinkToFit="0" vertical="bottom" wrapText="1"/>
    </xf>
    <xf borderId="0" fillId="11" fontId="2" numFmtId="164" xfId="0" applyAlignment="1" applyFont="1" applyNumberFormat="1">
      <alignment horizontal="center" vertical="bottom"/>
    </xf>
    <xf borderId="0" fillId="11" fontId="2" numFmtId="170" xfId="0" applyAlignment="1" applyFont="1" applyNumberFormat="1">
      <alignment vertical="bottom"/>
    </xf>
    <xf borderId="0" fillId="11" fontId="2" numFmtId="164" xfId="0" applyAlignment="1" applyFont="1" applyNumberFormat="1">
      <alignment vertical="bottom"/>
    </xf>
    <xf borderId="0" fillId="15" fontId="20" numFmtId="0" xfId="0" applyAlignment="1" applyFont="1">
      <alignment horizontal="center" vertical="bottom"/>
    </xf>
    <xf borderId="0" fillId="15" fontId="2" numFmtId="0" xfId="0" applyAlignment="1" applyFont="1">
      <alignment horizontal="center" vertical="bottom"/>
    </xf>
    <xf borderId="2" fillId="5" fontId="33" numFmtId="0" xfId="0" applyAlignment="1" applyBorder="1" applyFont="1">
      <alignment horizontal="center" readingOrder="0" shrinkToFit="0" vertical="bottom" wrapText="1"/>
    </xf>
    <xf borderId="2" fillId="21" fontId="33" numFmtId="0" xfId="0" applyAlignment="1" applyBorder="1" applyFont="1">
      <alignment horizontal="center" shrinkToFit="0" vertical="bottom" wrapText="1"/>
    </xf>
    <xf borderId="2" fillId="21" fontId="34" numFmtId="0" xfId="0" applyAlignment="1" applyBorder="1" applyFont="1">
      <alignment horizontal="center" readingOrder="0" shrinkToFit="0" vertical="bottom" wrapText="1"/>
    </xf>
    <xf borderId="2" fillId="21" fontId="34" numFmtId="0" xfId="0" applyAlignment="1" applyBorder="1" applyFont="1">
      <alignment horizontal="center" shrinkToFit="0" vertical="bottom" wrapText="1"/>
    </xf>
    <xf borderId="2" fillId="3" fontId="2" numFmtId="0" xfId="0" applyAlignment="1" applyBorder="1" applyFont="1">
      <alignment vertical="bottom"/>
    </xf>
    <xf borderId="2" fillId="11" fontId="34" numFmtId="170" xfId="0" applyAlignment="1" applyBorder="1" applyFont="1" applyNumberFormat="1">
      <alignment horizontal="center" shrinkToFit="0" vertical="bottom" wrapText="1"/>
    </xf>
    <xf borderId="2" fillId="11" fontId="34" numFmtId="165" xfId="0" applyAlignment="1" applyBorder="1" applyFont="1" applyNumberFormat="1">
      <alignment horizontal="center" shrinkToFit="0" vertical="bottom" wrapText="1"/>
    </xf>
    <xf borderId="2" fillId="11" fontId="34" numFmtId="0" xfId="0" applyAlignment="1" applyBorder="1" applyFont="1">
      <alignment horizontal="center" readingOrder="0" shrinkToFit="0" vertical="bottom" wrapText="1"/>
    </xf>
    <xf borderId="2" fillId="11" fontId="35" numFmtId="10" xfId="0" applyAlignment="1" applyBorder="1" applyFont="1" applyNumberFormat="1">
      <alignment horizontal="center" shrinkToFit="0" vertical="bottom" wrapText="1"/>
    </xf>
    <xf borderId="2" fillId="11" fontId="34" numFmtId="164" xfId="0" applyAlignment="1" applyBorder="1" applyFont="1" applyNumberFormat="1">
      <alignment horizontal="center" readingOrder="0" shrinkToFit="0" vertical="bottom" wrapText="1"/>
    </xf>
    <xf borderId="2" fillId="11" fontId="34" numFmtId="164" xfId="0" applyAlignment="1" applyBorder="1" applyFont="1" applyNumberFormat="1">
      <alignment horizontal="center" readingOrder="0" shrinkToFit="0" vertical="bottom" wrapText="1"/>
    </xf>
    <xf borderId="2" fillId="11" fontId="34" numFmtId="164" xfId="0" applyAlignment="1" applyBorder="1" applyFont="1" applyNumberFormat="1">
      <alignment horizontal="center" shrinkToFit="0" vertical="bottom" wrapText="1"/>
    </xf>
    <xf borderId="2" fillId="15" fontId="34" numFmtId="0" xfId="0" applyAlignment="1" applyBorder="1" applyFont="1">
      <alignment horizontal="center" readingOrder="0" vertical="bottom"/>
    </xf>
    <xf borderId="2" fillId="15" fontId="34" numFmtId="0" xfId="0" applyAlignment="1" applyBorder="1" applyFont="1">
      <alignment horizontal="center" vertical="bottom"/>
    </xf>
    <xf borderId="2" fillId="15" fontId="34" numFmtId="0" xfId="0" applyAlignment="1" applyBorder="1" applyFont="1">
      <alignment horizontal="center" readingOrder="0" shrinkToFit="0" vertical="bottom" wrapText="1"/>
    </xf>
    <xf borderId="2" fillId="15" fontId="34" numFmtId="0" xfId="0" applyAlignment="1" applyBorder="1" applyFont="1">
      <alignment horizontal="center" shrinkToFit="0" vertical="bottom" wrapText="1"/>
    </xf>
    <xf borderId="0" fillId="0" fontId="4" numFmtId="170" xfId="0" applyAlignment="1" applyFont="1" applyNumberFormat="1">
      <alignment horizontal="center" readingOrder="0"/>
    </xf>
    <xf borderId="0" fillId="0" fontId="21" numFmtId="10" xfId="0" applyAlignment="1" applyFont="1" applyNumberFormat="1">
      <alignment horizontal="center" readingOrder="0"/>
    </xf>
    <xf borderId="0" fillId="0" fontId="2" numFmtId="170" xfId="0" applyAlignment="1" applyFont="1" applyNumberFormat="1">
      <alignment horizontal="center" readingOrder="0"/>
    </xf>
    <xf borderId="0" fillId="0" fontId="2" numFmtId="0" xfId="0" applyAlignment="1" applyFont="1">
      <alignment horizontal="center" vertical="bottom"/>
    </xf>
    <xf borderId="0" fillId="0" fontId="2" numFmtId="0" xfId="0" applyAlignment="1" applyFont="1">
      <alignment horizontal="center"/>
    </xf>
    <xf borderId="0" fillId="0" fontId="2" numFmtId="14" xfId="0" applyAlignment="1" applyFont="1" applyNumberFormat="1">
      <alignment horizontal="center" vertical="bottom"/>
    </xf>
    <xf borderId="0" fillId="22" fontId="4" numFmtId="0" xfId="0" applyAlignment="1" applyFill="1" applyFont="1">
      <alignment horizontal="center" readingOrder="0"/>
    </xf>
    <xf borderId="0" fillId="0" fontId="21" numFmtId="170" xfId="0" applyAlignment="1" applyFont="1" applyNumberFormat="1">
      <alignment horizontal="center" readingOrder="0"/>
    </xf>
    <xf borderId="0" fillId="0" fontId="2" numFmtId="170" xfId="0" applyAlignment="1" applyFont="1" applyNumberFormat="1">
      <alignment horizontal="center" readingOrder="0" vertical="bottom"/>
    </xf>
    <xf borderId="0" fillId="0" fontId="2" numFmtId="165" xfId="0" applyAlignment="1" applyFont="1" applyNumberFormat="1">
      <alignment horizontal="center" readingOrder="0" vertical="bottom"/>
    </xf>
    <xf borderId="0" fillId="8" fontId="2" numFmtId="164" xfId="0" applyAlignment="1" applyFont="1" applyNumberFormat="1">
      <alignment horizontal="center" readingOrder="0" vertical="bottom"/>
    </xf>
    <xf borderId="0" fillId="0" fontId="4" numFmtId="164" xfId="0" applyAlignment="1" applyFont="1" applyNumberFormat="1">
      <alignment horizontal="center"/>
    </xf>
    <xf borderId="0" fillId="23" fontId="21" numFmtId="10" xfId="0" applyAlignment="1" applyFill="1" applyFont="1" applyNumberFormat="1">
      <alignment horizontal="center" readingOrder="0"/>
    </xf>
    <xf borderId="0" fillId="0" fontId="2" numFmtId="170" xfId="0" applyAlignment="1" applyFont="1" applyNumberFormat="1">
      <alignment horizontal="center" readingOrder="0" vertical="bottom"/>
    </xf>
    <xf borderId="0" fillId="0" fontId="2" numFmtId="165" xfId="0" applyAlignment="1" applyFont="1" applyNumberFormat="1">
      <alignment horizontal="center" vertical="bottom"/>
    </xf>
    <xf borderId="0" fillId="0" fontId="2" numFmtId="171" xfId="0" applyAlignment="1" applyFont="1" applyNumberFormat="1">
      <alignment horizontal="center" readingOrder="0" vertical="bottom"/>
    </xf>
    <xf borderId="0" fillId="3" fontId="2" numFmtId="0" xfId="0" applyAlignment="1" applyFont="1">
      <alignment readingOrder="0" vertical="bottom"/>
    </xf>
    <xf borderId="0" fillId="0" fontId="4" numFmtId="170" xfId="0" applyAlignment="1" applyFont="1" applyNumberFormat="1">
      <alignment horizontal="center"/>
    </xf>
    <xf borderId="0" fillId="0" fontId="2" numFmtId="170" xfId="0" applyAlignment="1" applyFont="1" applyNumberFormat="1">
      <alignment horizontal="center" vertical="bottom"/>
    </xf>
    <xf borderId="0" fillId="21" fontId="36" numFmtId="0" xfId="0" applyAlignment="1" applyFont="1">
      <alignment horizontal="center" shrinkToFit="0" vertical="bottom" wrapText="1"/>
    </xf>
    <xf borderId="0" fillId="24" fontId="21" numFmtId="0" xfId="0" applyAlignment="1" applyFill="1" applyFont="1">
      <alignment horizontal="center" readingOrder="0"/>
    </xf>
    <xf borderId="0" fillId="25" fontId="4" numFmtId="0" xfId="0" applyAlignment="1" applyFill="1" applyFont="1">
      <alignment horizontal="center" readingOrder="0" vertical="bottom"/>
    </xf>
    <xf borderId="0" fillId="25" fontId="21" numFmtId="0" xfId="0" applyAlignment="1" applyFont="1">
      <alignment horizontal="center" readingOrder="0"/>
    </xf>
    <xf borderId="0" fillId="8" fontId="37" numFmtId="0" xfId="0" applyAlignment="1" applyFont="1">
      <alignment readingOrder="0"/>
    </xf>
    <xf borderId="0" fillId="24" fontId="2" numFmtId="0" xfId="0" applyAlignment="1" applyFont="1">
      <alignment horizontal="center" readingOrder="0" vertical="bottom"/>
    </xf>
    <xf borderId="0" fillId="8" fontId="38" numFmtId="0" xfId="0" applyAlignment="1" applyFont="1">
      <alignment readingOrder="0"/>
    </xf>
    <xf borderId="0" fillId="0" fontId="4" numFmtId="167" xfId="0" applyAlignment="1" applyFont="1" applyNumberFormat="1">
      <alignment horizontal="center" readingOrder="0"/>
    </xf>
    <xf borderId="0" fillId="26" fontId="21" numFmtId="0" xfId="0" applyAlignment="1" applyFill="1" applyFont="1">
      <alignment horizontal="center" readingOrder="0"/>
    </xf>
    <xf borderId="0" fillId="8" fontId="4" numFmtId="164" xfId="0" applyAlignment="1" applyFont="1" applyNumberFormat="1">
      <alignment horizontal="center" readingOrder="0"/>
    </xf>
    <xf borderId="0" fillId="0" fontId="39" numFmtId="0" xfId="0" applyAlignment="1" applyFont="1">
      <alignment horizontal="center" readingOrder="0"/>
    </xf>
    <xf borderId="0" fillId="8" fontId="2" numFmtId="0" xfId="0" applyAlignment="1" applyFont="1">
      <alignment horizontal="center" vertical="bottom"/>
    </xf>
    <xf borderId="0" fillId="23" fontId="21" numFmtId="170" xfId="0" applyAlignment="1" applyFont="1" applyNumberFormat="1">
      <alignment horizontal="center" readingOrder="0"/>
    </xf>
    <xf borderId="0" fillId="0" fontId="2" numFmtId="167" xfId="0" applyAlignment="1" applyFont="1" applyNumberFormat="1">
      <alignment horizontal="center" vertical="bottom"/>
    </xf>
    <xf borderId="0" fillId="27" fontId="2" numFmtId="165" xfId="0" applyAlignment="1" applyFill="1" applyFont="1" applyNumberFormat="1">
      <alignment horizontal="center" vertical="bottom"/>
    </xf>
    <xf borderId="0" fillId="23" fontId="2" numFmtId="10" xfId="0" applyAlignment="1" applyFont="1" applyNumberFormat="1">
      <alignment horizontal="center" vertical="bottom"/>
    </xf>
    <xf borderId="0" fillId="8" fontId="40" numFmtId="0" xfId="0" applyAlignment="1" applyFont="1">
      <alignment readingOrder="0"/>
    </xf>
    <xf borderId="0" fillId="8" fontId="2" numFmtId="166" xfId="0" applyAlignment="1" applyFont="1" applyNumberFormat="1">
      <alignment horizontal="center" readingOrder="0" vertical="bottom"/>
    </xf>
    <xf borderId="0" fillId="0" fontId="41" numFmtId="0" xfId="0" applyAlignment="1" applyFont="1">
      <alignment readingOrder="0" vertical="bottom"/>
    </xf>
    <xf borderId="0" fillId="13" fontId="2" numFmtId="164" xfId="0" applyAlignment="1" applyFont="1" applyNumberFormat="1">
      <alignment horizontal="center" readingOrder="0" vertical="bottom"/>
    </xf>
    <xf borderId="0" fillId="24" fontId="2" numFmtId="0" xfId="0" applyAlignment="1" applyFont="1">
      <alignment horizontal="center" vertical="bottom"/>
    </xf>
    <xf borderId="0" fillId="0" fontId="2" numFmtId="170" xfId="0" applyAlignment="1" applyFont="1" applyNumberFormat="1">
      <alignment horizontal="center" vertical="bottom"/>
    </xf>
    <xf borderId="0" fillId="0" fontId="2" numFmtId="14" xfId="0" applyAlignment="1" applyFont="1" applyNumberFormat="1">
      <alignment vertical="bottom"/>
    </xf>
    <xf borderId="0" fillId="8" fontId="2" numFmtId="167" xfId="0" applyAlignment="1" applyFont="1" applyNumberFormat="1">
      <alignment vertical="bottom"/>
    </xf>
    <xf borderId="0" fillId="0" fontId="4" numFmtId="166" xfId="0" applyAlignment="1" applyFont="1" applyNumberFormat="1">
      <alignment horizontal="center" readingOrder="0"/>
    </xf>
    <xf borderId="0" fillId="8" fontId="2" numFmtId="164" xfId="0" applyAlignment="1" applyFont="1" applyNumberFormat="1">
      <alignment vertical="bottom"/>
    </xf>
    <xf borderId="0" fillId="11" fontId="2" numFmtId="0" xfId="0" applyAlignment="1" applyFont="1">
      <alignment horizontal="center" readingOrder="0" vertical="bottom"/>
    </xf>
    <xf borderId="0" fillId="21" fontId="26" numFmtId="0" xfId="0" applyAlignment="1" applyFont="1">
      <alignment vertical="bottom"/>
    </xf>
    <xf borderId="0" fillId="2" fontId="27" numFmtId="0" xfId="0" applyAlignment="1" applyFont="1">
      <alignment horizontal="center" shrinkToFit="0" vertical="bottom" wrapText="1"/>
    </xf>
    <xf borderId="0" fillId="2" fontId="42" numFmtId="0" xfId="0" applyAlignment="1" applyFont="1">
      <alignment horizontal="center" shrinkToFit="0" vertical="bottom" wrapText="1"/>
    </xf>
    <xf borderId="0" fillId="3" fontId="26" numFmtId="0" xfId="0" applyAlignment="1" applyFont="1">
      <alignment vertical="bottom"/>
    </xf>
    <xf borderId="0" fillId="4" fontId="27" numFmtId="0" xfId="0" applyAlignment="1" applyFont="1">
      <alignment horizontal="center" shrinkToFit="0" vertical="bottom" wrapText="1"/>
    </xf>
    <xf borderId="0" fillId="14" fontId="26" numFmtId="0" xfId="0" applyAlignment="1" applyFont="1">
      <alignment vertical="bottom"/>
    </xf>
    <xf borderId="0" fillId="2" fontId="26" numFmtId="0" xfId="0" applyAlignment="1" applyFont="1">
      <alignment vertical="bottom"/>
    </xf>
    <xf borderId="0" fillId="2" fontId="26" numFmtId="164" xfId="0" applyAlignment="1" applyFont="1" applyNumberFormat="1">
      <alignment vertical="bottom"/>
    </xf>
    <xf borderId="0" fillId="2" fontId="26" numFmtId="165" xfId="0" applyAlignment="1" applyFont="1" applyNumberFormat="1">
      <alignment vertical="bottom"/>
    </xf>
    <xf borderId="0" fillId="3" fontId="26" numFmtId="164" xfId="0" applyAlignment="1" applyFont="1" applyNumberFormat="1">
      <alignment vertical="bottom"/>
    </xf>
    <xf borderId="0" fillId="4" fontId="26" numFmtId="164" xfId="0" applyAlignment="1" applyFont="1" applyNumberFormat="1">
      <alignment vertical="bottom"/>
    </xf>
    <xf borderId="0" fillId="4" fontId="26" numFmtId="10" xfId="0" applyAlignment="1" applyFont="1" applyNumberFormat="1">
      <alignment vertical="bottom"/>
    </xf>
    <xf borderId="0" fillId="4" fontId="26" numFmtId="164" xfId="0" applyAlignment="1" applyFont="1" applyNumberFormat="1">
      <alignment vertical="bottom"/>
    </xf>
    <xf borderId="0" fillId="3" fontId="26" numFmtId="164" xfId="0" applyAlignment="1" applyFont="1" applyNumberFormat="1">
      <alignment vertical="bottom"/>
    </xf>
    <xf borderId="0" fillId="14" fontId="26" numFmtId="0" xfId="0" applyAlignment="1" applyFont="1">
      <alignment horizontal="center" vertical="bottom"/>
    </xf>
    <xf borderId="0" fillId="21" fontId="43" numFmtId="0" xfId="0" applyAlignment="1" applyFont="1">
      <alignment horizontal="center" shrinkToFit="0" vertical="bottom" wrapText="1"/>
    </xf>
    <xf borderId="0" fillId="2" fontId="43" numFmtId="0" xfId="0" applyAlignment="1" applyFont="1">
      <alignment horizontal="center" shrinkToFit="0" vertical="bottom" wrapText="1"/>
    </xf>
    <xf borderId="0" fillId="2" fontId="43" numFmtId="164" xfId="0" applyAlignment="1" applyFont="1" applyNumberFormat="1">
      <alignment horizontal="center" shrinkToFit="0" vertical="bottom" wrapText="1"/>
    </xf>
    <xf borderId="0" fillId="2" fontId="43" numFmtId="0" xfId="0" applyAlignment="1" applyFont="1">
      <alignment horizontal="center" readingOrder="0" shrinkToFit="0" vertical="bottom" wrapText="1"/>
    </xf>
    <xf borderId="0" fillId="5" fontId="43" numFmtId="0" xfId="0" applyAlignment="1" applyFont="1">
      <alignment horizontal="center" readingOrder="0" shrinkToFit="0" vertical="bottom" wrapText="1"/>
    </xf>
    <xf borderId="0" fillId="2" fontId="43" numFmtId="165" xfId="0" applyAlignment="1" applyFont="1" applyNumberFormat="1">
      <alignment horizontal="center" shrinkToFit="0" vertical="bottom" wrapText="1"/>
    </xf>
    <xf borderId="0" fillId="4" fontId="43" numFmtId="0" xfId="0" applyAlignment="1" applyFont="1">
      <alignment horizontal="center" shrinkToFit="0" vertical="bottom" wrapText="1"/>
    </xf>
    <xf borderId="0" fillId="4" fontId="43" numFmtId="164" xfId="0" applyAlignment="1" applyFont="1" applyNumberFormat="1">
      <alignment horizontal="center" shrinkToFit="0" vertical="bottom" wrapText="1"/>
    </xf>
    <xf borderId="0" fillId="4" fontId="43" numFmtId="164" xfId="0" applyAlignment="1" applyFont="1" applyNumberFormat="1">
      <alignment horizontal="center" readingOrder="0" shrinkToFit="0" vertical="bottom" wrapText="1"/>
    </xf>
    <xf borderId="0" fillId="4" fontId="44" numFmtId="164" xfId="0" applyAlignment="1" applyFont="1" applyNumberFormat="1">
      <alignment horizontal="center" readingOrder="0" shrinkToFit="0" vertical="bottom" wrapText="1"/>
    </xf>
    <xf borderId="0" fillId="4" fontId="43" numFmtId="0" xfId="0" applyAlignment="1" applyFont="1">
      <alignment horizontal="center" readingOrder="0" shrinkToFit="0" vertical="bottom" wrapText="1"/>
    </xf>
    <xf borderId="0" fillId="4" fontId="43" numFmtId="164" xfId="0" applyAlignment="1" applyFont="1" applyNumberFormat="1">
      <alignment horizontal="center" readingOrder="0" vertical="bottom"/>
    </xf>
    <xf borderId="0" fillId="4" fontId="43" numFmtId="164" xfId="0" applyAlignment="1" applyFont="1" applyNumberFormat="1">
      <alignment horizontal="center" vertical="bottom"/>
    </xf>
    <xf borderId="0" fillId="4" fontId="43" numFmtId="164" xfId="0" applyAlignment="1" applyFont="1" applyNumberFormat="1">
      <alignment horizontal="center" shrinkToFit="0" vertical="bottom" wrapText="1"/>
    </xf>
    <xf borderId="0" fillId="14" fontId="43" numFmtId="0" xfId="0" applyAlignment="1" applyFont="1">
      <alignment horizontal="center" shrinkToFit="0" vertical="bottom" wrapText="1"/>
    </xf>
    <xf borderId="0" fillId="0" fontId="26" numFmtId="0" xfId="0" applyAlignment="1" applyFont="1">
      <alignment readingOrder="0"/>
    </xf>
    <xf borderId="0" fillId="0" fontId="26" numFmtId="0" xfId="0" applyFont="1"/>
    <xf borderId="0" fillId="0" fontId="2" numFmtId="172" xfId="0" applyAlignment="1" applyFont="1" applyNumberFormat="1">
      <alignment vertical="bottom"/>
    </xf>
    <xf borderId="0" fillId="0" fontId="2" numFmtId="10" xfId="0" applyAlignment="1" applyFont="1" applyNumberFormat="1">
      <alignment vertical="bottom"/>
    </xf>
    <xf borderId="0" fillId="0" fontId="26" numFmtId="167" xfId="0" applyAlignment="1" applyFont="1" applyNumberFormat="1">
      <alignment readingOrder="0"/>
    </xf>
    <xf borderId="0" fillId="0" fontId="2" numFmtId="172" xfId="0" applyAlignment="1" applyFont="1" applyNumberFormat="1">
      <alignment readingOrder="0" vertical="bottom"/>
    </xf>
    <xf borderId="0" fillId="10" fontId="26" numFmtId="0" xfId="0" applyAlignment="1" applyFont="1">
      <alignment readingOrder="0"/>
    </xf>
    <xf borderId="0" fillId="0" fontId="26" numFmtId="173" xfId="0" applyAlignment="1" applyFont="1" applyNumberFormat="1">
      <alignment readingOrder="0"/>
    </xf>
    <xf borderId="0" fillId="0" fontId="2" numFmtId="164" xfId="0" applyAlignment="1" applyFont="1" applyNumberFormat="1">
      <alignment readingOrder="0" vertical="bottom"/>
    </xf>
    <xf borderId="0" fillId="0" fontId="2" numFmtId="170" xfId="0" applyAlignment="1" applyFont="1" applyNumberFormat="1">
      <alignment readingOrder="0" vertical="bottom"/>
    </xf>
    <xf borderId="0" fillId="0" fontId="2" numFmtId="10" xfId="0" applyAlignment="1" applyFont="1" applyNumberFormat="1">
      <alignment readingOrder="0" vertical="bottom"/>
    </xf>
    <xf borderId="0" fillId="28" fontId="26" numFmtId="0" xfId="0" applyAlignment="1" applyFill="1" applyFont="1">
      <alignment readingOrder="0"/>
    </xf>
    <xf borderId="0" fillId="28" fontId="26" numFmtId="0" xfId="0" applyFont="1"/>
    <xf borderId="0" fillId="28" fontId="26" numFmtId="164" xfId="0" applyAlignment="1" applyFont="1" applyNumberFormat="1">
      <alignment vertical="bottom"/>
    </xf>
    <xf borderId="0" fillId="28" fontId="2" numFmtId="0" xfId="0" applyAlignment="1" applyFont="1">
      <alignment vertical="bottom"/>
    </xf>
    <xf borderId="0" fillId="28" fontId="2" numFmtId="0" xfId="0" applyAlignment="1" applyFont="1">
      <alignment readingOrder="0" vertical="bottom"/>
    </xf>
    <xf borderId="0" fillId="28" fontId="2" numFmtId="172" xfId="0" applyAlignment="1" applyFont="1" applyNumberFormat="1">
      <alignment vertical="bottom"/>
    </xf>
    <xf borderId="0" fillId="28" fontId="2" numFmtId="10" xfId="0" applyAlignment="1" applyFont="1" applyNumberFormat="1">
      <alignment readingOrder="0" vertical="bottom"/>
    </xf>
    <xf borderId="0" fillId="28" fontId="2" numFmtId="164" xfId="0" applyAlignment="1" applyFont="1" applyNumberFormat="1">
      <alignment horizontal="center" vertical="bottom"/>
    </xf>
    <xf borderId="0" fillId="28" fontId="4" numFmtId="164" xfId="0" applyAlignment="1" applyFont="1" applyNumberFormat="1">
      <alignment horizontal="center" readingOrder="0"/>
    </xf>
    <xf borderId="0" fillId="28" fontId="2" numFmtId="164" xfId="0" applyAlignment="1" applyFont="1" applyNumberFormat="1">
      <alignment horizontal="center" readingOrder="0" vertical="bottom"/>
    </xf>
    <xf borderId="0" fillId="0" fontId="2" numFmtId="4" xfId="0" applyAlignment="1" applyFont="1" applyNumberFormat="1">
      <alignment readingOrder="0" vertical="bottom"/>
    </xf>
    <xf borderId="0" fillId="10" fontId="0" numFmtId="0" xfId="0" applyAlignment="1" applyFont="1">
      <alignment readingOrder="0"/>
    </xf>
    <xf borderId="0" fillId="0" fontId="26" numFmtId="9" xfId="0" applyAlignment="1" applyFont="1" applyNumberFormat="1">
      <alignment readingOrder="0"/>
    </xf>
    <xf borderId="0" fillId="15" fontId="26" numFmtId="0" xfId="0" applyAlignment="1" applyFont="1">
      <alignment readingOrder="0"/>
    </xf>
    <xf borderId="0" fillId="28" fontId="4" numFmtId="0" xfId="0" applyFont="1"/>
    <xf borderId="0" fillId="29" fontId="26" numFmtId="164" xfId="0" applyAlignment="1" applyFill="1" applyFont="1" applyNumberFormat="1">
      <alignment vertical="bottom"/>
    </xf>
    <xf borderId="0" fillId="29" fontId="26" numFmtId="0" xfId="0" applyFont="1"/>
    <xf borderId="0" fillId="29" fontId="2" numFmtId="164" xfId="0" applyAlignment="1" applyFont="1" applyNumberFormat="1">
      <alignment horizontal="center" vertical="bottom"/>
    </xf>
    <xf borderId="0" fillId="29" fontId="4" numFmtId="0" xfId="0" applyFont="1"/>
    <xf borderId="0" fillId="0" fontId="2" numFmtId="0" xfId="0" applyAlignment="1" applyFont="1">
      <alignment readingOrder="0"/>
    </xf>
    <xf borderId="0" fillId="14" fontId="26" numFmtId="0" xfId="0" applyAlignment="1" applyFont="1">
      <alignment readingOrder="0"/>
    </xf>
    <xf borderId="0" fillId="28" fontId="2" numFmtId="172" xfId="0" applyAlignment="1" applyFont="1" applyNumberFormat="1">
      <alignment readingOrder="0" vertical="bottom"/>
    </xf>
    <xf borderId="0" fillId="28" fontId="26" numFmtId="9" xfId="0" applyAlignment="1" applyFont="1" applyNumberFormat="1">
      <alignment readingOrder="0"/>
    </xf>
    <xf borderId="0" fillId="30" fontId="20" numFmtId="0" xfId="0" applyAlignment="1" applyFill="1" applyFont="1">
      <alignment vertical="bottom"/>
    </xf>
    <xf borderId="0" fillId="30" fontId="2" numFmtId="0" xfId="0" applyAlignment="1" applyFont="1">
      <alignment readingOrder="0" vertical="bottom"/>
    </xf>
    <xf borderId="0" fillId="0" fontId="2" numFmtId="164" xfId="0" applyAlignment="1" applyFont="1" applyNumberFormat="1">
      <alignment horizontal="right" vertical="bottom"/>
    </xf>
    <xf borderId="0" fillId="8" fontId="13" numFmtId="0" xfId="0" applyAlignment="1" applyFont="1">
      <alignment readingOrder="0" vertical="bottom"/>
    </xf>
    <xf borderId="0" fillId="0" fontId="2" numFmtId="164" xfId="0" applyAlignment="1" applyFont="1" applyNumberFormat="1">
      <alignment horizontal="right" readingOrder="0" vertical="bottom"/>
    </xf>
    <xf borderId="0" fillId="14" fontId="2" numFmtId="0" xfId="0" applyAlignment="1" applyFont="1">
      <alignment vertical="bottom"/>
    </xf>
    <xf borderId="0" fillId="14" fontId="2" numFmtId="164" xfId="0" applyAlignment="1" applyFont="1" applyNumberFormat="1">
      <alignment horizontal="right" readingOrder="0" vertical="bottom"/>
    </xf>
    <xf borderId="0" fillId="14" fontId="2" numFmtId="0" xfId="0" applyAlignment="1" applyFont="1">
      <alignment readingOrder="0" vertical="bottom"/>
    </xf>
    <xf borderId="0" fillId="14" fontId="4" numFmtId="0" xfId="0" applyFont="1"/>
    <xf borderId="0" fillId="10" fontId="2" numFmtId="0" xfId="0" applyAlignment="1" applyFont="1">
      <alignment vertical="bottom"/>
    </xf>
    <xf borderId="0" fillId="10" fontId="2" numFmtId="0" xfId="0" applyAlignment="1" applyFont="1">
      <alignment horizontal="left" vertical="bottom"/>
    </xf>
    <xf borderId="0" fillId="10" fontId="2" numFmtId="0" xfId="0" applyAlignment="1" applyFont="1">
      <alignment horizontal="right" vertical="bottom"/>
    </xf>
    <xf borderId="0" fillId="0" fontId="2" numFmtId="0" xfId="0" applyAlignment="1" applyFont="1">
      <alignment horizontal="right" vertical="bottom"/>
    </xf>
    <xf borderId="0" fillId="8" fontId="45" numFmtId="0" xfId="0" applyAlignment="1" applyFont="1">
      <alignment vertical="bottom"/>
    </xf>
    <xf borderId="3" fillId="0" fontId="20" numFmtId="0" xfId="0" applyAlignment="1" applyBorder="1" applyFont="1">
      <alignment horizontal="center"/>
    </xf>
    <xf borderId="3" fillId="30" fontId="20" numFmtId="0" xfId="0" applyAlignment="1" applyBorder="1" applyFont="1">
      <alignment horizontal="center"/>
    </xf>
    <xf borderId="3" fillId="30" fontId="20" numFmtId="0" xfId="0" applyAlignment="1" applyBorder="1" applyFont="1">
      <alignment horizontal="center" readingOrder="0" shrinkToFit="0" wrapText="1"/>
    </xf>
    <xf borderId="3" fillId="30" fontId="20" numFmtId="0" xfId="0" applyAlignment="1" applyBorder="1" applyFont="1">
      <alignment horizontal="center" shrinkToFit="0" wrapText="1"/>
    </xf>
    <xf borderId="3" fillId="30" fontId="46" numFmtId="0" xfId="0" applyAlignment="1" applyBorder="1" applyFont="1">
      <alignment horizontal="center" readingOrder="0" shrinkToFit="0" wrapText="1"/>
    </xf>
    <xf borderId="0" fillId="0" fontId="4" numFmtId="0" xfId="0" applyAlignment="1" applyFont="1">
      <alignment horizontal="center" readingOrder="0" vertical="center"/>
    </xf>
    <xf borderId="0" fillId="0" fontId="4" numFmtId="0" xfId="0" applyAlignment="1" applyFont="1">
      <alignment horizontal="center" readingOrder="0" shrinkToFit="0" wrapText="1"/>
    </xf>
    <xf borderId="3" fillId="0" fontId="2" numFmtId="0" xfId="0" applyAlignment="1" applyBorder="1" applyFont="1">
      <alignment horizontal="center"/>
    </xf>
    <xf borderId="3" fillId="0" fontId="2" numFmtId="9" xfId="0" applyAlignment="1" applyBorder="1" applyFont="1" applyNumberFormat="1">
      <alignment horizontal="center"/>
    </xf>
    <xf borderId="3" fillId="0" fontId="2" numFmtId="168" xfId="0" applyAlignment="1" applyBorder="1" applyFont="1" applyNumberFormat="1">
      <alignment horizontal="center"/>
    </xf>
    <xf borderId="3" fillId="0" fontId="2" numFmtId="166" xfId="0" applyAlignment="1" applyBorder="1" applyFont="1" applyNumberFormat="1">
      <alignment horizontal="center"/>
    </xf>
    <xf borderId="3" fillId="0" fontId="2" numFmtId="165" xfId="0" applyAlignment="1" applyBorder="1" applyFont="1" applyNumberFormat="1">
      <alignment horizontal="center"/>
    </xf>
    <xf borderId="3" fillId="0" fontId="2" numFmtId="174" xfId="0" applyAlignment="1" applyBorder="1" applyFont="1" applyNumberFormat="1">
      <alignment horizontal="center"/>
    </xf>
    <xf borderId="3" fillId="0" fontId="2" numFmtId="0" xfId="0" applyAlignment="1" applyBorder="1" applyFont="1">
      <alignment horizontal="center" readingOrder="0"/>
    </xf>
    <xf borderId="3" fillId="14" fontId="2" numFmtId="165" xfId="0" applyAlignment="1" applyBorder="1" applyFont="1" applyNumberFormat="1">
      <alignment horizontal="center" readingOrder="0"/>
    </xf>
    <xf borderId="0" fillId="10" fontId="4" numFmtId="0" xfId="0" applyAlignment="1" applyFont="1">
      <alignment horizontal="center"/>
    </xf>
    <xf borderId="0" fillId="0" fontId="47" numFmtId="0" xfId="0" applyAlignment="1" applyFont="1">
      <alignment horizontal="center" readingOrder="0"/>
    </xf>
    <xf borderId="3" fillId="0" fontId="2" numFmtId="4" xfId="0" applyAlignment="1" applyBorder="1" applyFont="1" applyNumberFormat="1">
      <alignment horizontal="center" readingOrder="0"/>
    </xf>
    <xf borderId="3" fillId="0" fontId="2" numFmtId="175" xfId="0" applyAlignment="1" applyBorder="1" applyFont="1" applyNumberFormat="1">
      <alignment horizontal="center"/>
    </xf>
    <xf borderId="3" fillId="0" fontId="2" numFmtId="164" xfId="0" applyAlignment="1" applyBorder="1" applyFont="1" applyNumberFormat="1">
      <alignment horizontal="center" readingOrder="0"/>
    </xf>
    <xf borderId="4" fillId="0" fontId="2" numFmtId="167" xfId="0" applyAlignment="1" applyBorder="1" applyFont="1" applyNumberFormat="1">
      <alignment horizontal="center"/>
    </xf>
    <xf borderId="3" fillId="0" fontId="2" numFmtId="164" xfId="0" applyAlignment="1" applyBorder="1" applyFont="1" applyNumberFormat="1">
      <alignment horizontal="center" readingOrder="0"/>
    </xf>
    <xf borderId="3" fillId="10" fontId="2" numFmtId="0" xfId="0" applyAlignment="1" applyBorder="1" applyFont="1">
      <alignment horizontal="center" readingOrder="0"/>
    </xf>
    <xf borderId="3" fillId="0" fontId="2" numFmtId="165" xfId="0" applyAlignment="1" applyBorder="1" applyFont="1" applyNumberFormat="1">
      <alignment horizontal="center" readingOrder="0"/>
    </xf>
    <xf borderId="4" fillId="0" fontId="2" numFmtId="166" xfId="0" applyAlignment="1" applyBorder="1" applyFont="1" applyNumberFormat="1">
      <alignment horizontal="center"/>
    </xf>
    <xf borderId="4" fillId="0" fontId="4" numFmtId="166" xfId="0" applyAlignment="1" applyBorder="1" applyFont="1" applyNumberFormat="1">
      <alignment horizontal="center" readingOrder="0" vertical="center"/>
    </xf>
    <xf borderId="0" fillId="0" fontId="47" numFmtId="0" xfId="0" applyAlignment="1" applyFont="1">
      <alignment readingOrder="0"/>
    </xf>
    <xf borderId="3" fillId="0" fontId="2" numFmtId="166" xfId="0" applyAlignment="1" applyBorder="1" applyFont="1" applyNumberFormat="1">
      <alignment horizontal="center" readingOrder="0"/>
    </xf>
    <xf borderId="3" fillId="31" fontId="2" numFmtId="0" xfId="0" applyAlignment="1" applyBorder="1" applyFill="1" applyFont="1">
      <alignment horizontal="center" readingOrder="0"/>
    </xf>
    <xf borderId="3" fillId="0" fontId="2" numFmtId="168" xfId="0" applyAlignment="1" applyBorder="1" applyFont="1" applyNumberFormat="1">
      <alignment horizontal="center" readingOrder="0"/>
    </xf>
    <xf borderId="4" fillId="8" fontId="2" numFmtId="166" xfId="0" applyAlignment="1" applyBorder="1" applyFont="1" applyNumberFormat="1">
      <alignment horizontal="center"/>
    </xf>
    <xf borderId="4" fillId="32" fontId="2" numFmtId="166" xfId="0" applyAlignment="1" applyBorder="1" applyFill="1" applyFont="1" applyNumberFormat="1">
      <alignment horizontal="center"/>
    </xf>
    <xf borderId="3" fillId="31" fontId="2" numFmtId="0" xfId="0" applyAlignment="1" applyBorder="1" applyFont="1">
      <alignment horizontal="center"/>
    </xf>
    <xf borderId="3" fillId="12" fontId="2" numFmtId="0" xfId="0" applyAlignment="1" applyBorder="1" applyFont="1">
      <alignment horizontal="center" readingOrder="0"/>
    </xf>
    <xf borderId="3" fillId="14" fontId="2" numFmtId="166" xfId="0" applyAlignment="1" applyBorder="1" applyFont="1" applyNumberFormat="1">
      <alignment horizontal="center" readingOrder="0"/>
    </xf>
    <xf borderId="3" fillId="0" fontId="2" numFmtId="9" xfId="0" applyAlignment="1" applyBorder="1" applyFont="1" applyNumberFormat="1">
      <alignment horizontal="center" readingOrder="0"/>
    </xf>
    <xf borderId="3" fillId="20" fontId="2" numFmtId="0" xfId="0" applyAlignment="1" applyBorder="1" applyFont="1">
      <alignment horizontal="center" readingOrder="0"/>
    </xf>
    <xf borderId="3" fillId="0" fontId="2" numFmtId="49" xfId="0" applyAlignment="1" applyBorder="1" applyFont="1" applyNumberFormat="1">
      <alignment horizontal="center"/>
    </xf>
    <xf borderId="3" fillId="0" fontId="2" numFmtId="0" xfId="0" applyAlignment="1" applyBorder="1" applyFont="1">
      <alignment horizontal="center"/>
    </xf>
    <xf borderId="3" fillId="0" fontId="2" numFmtId="164" xfId="0" applyAlignment="1" applyBorder="1" applyFont="1" applyNumberFormat="1">
      <alignment readingOrder="0"/>
    </xf>
    <xf borderId="3" fillId="0" fontId="2" numFmtId="166" xfId="0" applyAlignment="1" applyBorder="1" applyFont="1" applyNumberFormat="1">
      <alignment readingOrder="0"/>
    </xf>
    <xf borderId="3" fillId="11" fontId="2" numFmtId="0" xfId="0" applyAlignment="1" applyBorder="1" applyFont="1">
      <alignment horizontal="center" readingOrder="0"/>
    </xf>
    <xf borderId="3" fillId="0" fontId="2" numFmtId="49" xfId="0" applyBorder="1" applyFont="1" applyNumberFormat="1"/>
    <xf borderId="0" fillId="0" fontId="2" numFmtId="49" xfId="0" applyFont="1" applyNumberFormat="1"/>
    <xf borderId="5" fillId="0" fontId="2" numFmtId="49" xfId="0" applyBorder="1" applyFont="1" applyNumberFormat="1"/>
    <xf borderId="0" fillId="0" fontId="2" numFmtId="0" xfId="0" applyFont="1"/>
    <xf borderId="3" fillId="0" fontId="4" numFmtId="166" xfId="0" applyAlignment="1" applyBorder="1" applyFont="1" applyNumberFormat="1">
      <alignment horizontal="center" readingOrder="0"/>
    </xf>
    <xf borderId="3" fillId="0" fontId="2" numFmtId="176" xfId="0" applyAlignment="1" applyBorder="1" applyFont="1" applyNumberFormat="1">
      <alignment horizontal="center"/>
    </xf>
    <xf borderId="3" fillId="0" fontId="2" numFmtId="49" xfId="0" applyAlignment="1" applyBorder="1" applyFont="1" applyNumberFormat="1">
      <alignment horizontal="center" readingOrder="0"/>
    </xf>
    <xf borderId="3" fillId="0" fontId="2" numFmtId="167" xfId="0" applyAlignment="1" applyBorder="1" applyFont="1" applyNumberFormat="1">
      <alignment horizontal="center" readingOrder="0"/>
    </xf>
    <xf borderId="0" fillId="0" fontId="48" numFmtId="0" xfId="0" applyAlignment="1" applyFont="1">
      <alignment horizontal="center" readingOrder="0"/>
    </xf>
    <xf borderId="3" fillId="0" fontId="48" numFmtId="0" xfId="0" applyAlignment="1" applyBorder="1" applyFont="1">
      <alignment horizontal="center" readingOrder="0"/>
    </xf>
    <xf borderId="3" fillId="0" fontId="2" numFmtId="164" xfId="0" applyAlignment="1" applyBorder="1" applyFont="1" applyNumberFormat="1">
      <alignment horizontal="center"/>
    </xf>
    <xf borderId="3" fillId="14" fontId="2" numFmtId="49" xfId="0" applyAlignment="1" applyBorder="1" applyFont="1" applyNumberFormat="1">
      <alignment horizontal="center" readingOrder="0"/>
    </xf>
    <xf borderId="4" fillId="0" fontId="4" numFmtId="167" xfId="0" applyAlignment="1" applyBorder="1" applyFont="1" applyNumberFormat="1">
      <alignment horizontal="center" readingOrder="0" vertical="center"/>
    </xf>
    <xf borderId="0" fillId="11" fontId="4" numFmtId="0" xfId="0" applyAlignment="1" applyFont="1">
      <alignment horizontal="center"/>
    </xf>
    <xf borderId="4" fillId="8" fontId="49" numFmtId="0" xfId="0" applyAlignment="1" applyBorder="1" applyFont="1">
      <alignment horizontal="center" readingOrder="0"/>
    </xf>
    <xf borderId="0" fillId="8" fontId="50" numFmtId="0" xfId="0" applyAlignment="1" applyFont="1">
      <alignment horizontal="center" readingOrder="0"/>
    </xf>
    <xf borderId="3" fillId="13" fontId="2" numFmtId="0" xfId="0" applyAlignment="1" applyBorder="1" applyFont="1">
      <alignment horizontal="center" readingOrder="0"/>
    </xf>
    <xf borderId="3" fillId="0" fontId="51" numFmtId="0" xfId="0" applyAlignment="1" applyBorder="1" applyFont="1">
      <alignment horizontal="center" readingOrder="0"/>
    </xf>
    <xf borderId="6" fillId="0" fontId="52" numFmtId="0" xfId="0" applyAlignment="1" applyBorder="1" applyFont="1">
      <alignment horizontal="center" readingOrder="0"/>
    </xf>
    <xf borderId="6" fillId="0" fontId="51" numFmtId="0" xfId="0" applyAlignment="1" applyBorder="1" applyFont="1">
      <alignment horizontal="center" readingOrder="0"/>
    </xf>
    <xf borderId="3" fillId="10" fontId="2" numFmtId="166" xfId="0" applyAlignment="1" applyBorder="1" applyFont="1" applyNumberFormat="1">
      <alignment horizontal="center"/>
    </xf>
    <xf borderId="0" fillId="0" fontId="51" numFmtId="0" xfId="0" applyAlignment="1" applyFont="1">
      <alignment horizontal="center" readingOrder="0"/>
    </xf>
    <xf borderId="3" fillId="0" fontId="51" numFmtId="0" xfId="0" applyAlignment="1" applyBorder="1" applyFont="1">
      <alignment horizontal="center"/>
    </xf>
    <xf borderId="2" fillId="0" fontId="4" numFmtId="0" xfId="0" applyAlignment="1" applyBorder="1" applyFont="1">
      <alignment horizontal="center" readingOrder="0"/>
    </xf>
    <xf borderId="2" fillId="30" fontId="4" numFmtId="0" xfId="0" applyAlignment="1" applyBorder="1" applyFont="1">
      <alignment horizontal="center"/>
    </xf>
    <xf borderId="4" fillId="0" fontId="4" numFmtId="0" xfId="0" applyAlignment="1" applyBorder="1" applyFont="1">
      <alignment horizontal="center" readingOrder="0"/>
    </xf>
    <xf borderId="3" fillId="10" fontId="2" numFmtId="166" xfId="0" applyAlignment="1" applyBorder="1" applyFont="1" applyNumberFormat="1">
      <alignment horizontal="center" readingOrder="0"/>
    </xf>
    <xf borderId="2" fillId="5" fontId="8" numFmtId="0" xfId="0" applyAlignment="1" applyBorder="1" applyFont="1">
      <alignment horizontal="center" readingOrder="0"/>
    </xf>
    <xf borderId="3" fillId="8" fontId="2" numFmtId="166" xfId="0" applyAlignment="1" applyBorder="1" applyFont="1" applyNumberFormat="1">
      <alignment horizontal="center"/>
    </xf>
    <xf borderId="3" fillId="32" fontId="2" numFmtId="166" xfId="0" applyAlignment="1" applyBorder="1" applyFont="1" applyNumberFormat="1">
      <alignment horizontal="center"/>
    </xf>
    <xf borderId="0" fillId="0" fontId="2" numFmtId="0" xfId="0" applyAlignment="1" applyFont="1">
      <alignment horizontal="center" readingOrder="0"/>
    </xf>
    <xf borderId="3" fillId="32" fontId="2" numFmtId="165" xfId="0" applyAlignment="1" applyBorder="1" applyFont="1" applyNumberFormat="1">
      <alignment horizontal="center"/>
    </xf>
    <xf borderId="3" fillId="32" fontId="2" numFmtId="166" xfId="0" applyAlignment="1" applyBorder="1" applyFont="1" applyNumberFormat="1">
      <alignment horizontal="center" readingOrder="0"/>
    </xf>
    <xf borderId="4" fillId="32" fontId="2" numFmtId="166" xfId="0" applyAlignment="1" applyBorder="1" applyFont="1" applyNumberFormat="1">
      <alignment horizontal="center" readingOrder="0"/>
    </xf>
    <xf borderId="4" fillId="0" fontId="2" numFmtId="166" xfId="0" applyAlignment="1" applyBorder="1" applyFont="1" applyNumberFormat="1">
      <alignment horizontal="center" readingOrder="0"/>
    </xf>
    <xf borderId="3" fillId="0" fontId="23" numFmtId="0" xfId="0" applyAlignment="1" applyBorder="1" applyFont="1">
      <alignment horizontal="center" readingOrder="0"/>
    </xf>
    <xf borderId="3" fillId="0" fontId="2" numFmtId="167" xfId="0" applyAlignment="1" applyBorder="1" applyFont="1" applyNumberFormat="1">
      <alignment horizontal="center"/>
    </xf>
    <xf borderId="4" fillId="10" fontId="2" numFmtId="166" xfId="0" applyAlignment="1" applyBorder="1" applyFont="1" applyNumberFormat="1">
      <alignment horizontal="center"/>
    </xf>
    <xf borderId="6" fillId="0" fontId="2" numFmtId="0" xfId="0" applyAlignment="1" applyBorder="1" applyFont="1">
      <alignment horizontal="center" readingOrder="0"/>
    </xf>
    <xf borderId="0" fillId="0" fontId="8" numFmtId="0" xfId="0" applyAlignment="1" applyFont="1">
      <alignment readingOrder="0"/>
    </xf>
    <xf borderId="0" fillId="0" fontId="4" numFmtId="166" xfId="0" applyAlignment="1" applyFont="1" applyNumberFormat="1">
      <alignment readingOrder="0"/>
    </xf>
    <xf borderId="0" fillId="0" fontId="4" numFmtId="0" xfId="0" applyAlignment="1" applyFont="1">
      <alignmen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FFD966"/>
          <bgColor rgb="FFFFD966"/>
        </patternFill>
      </fill>
      <border/>
    </dxf>
  </dxfs>
  <tableStyles count="1">
    <tableStyle count="2" pivot="0" name="Agent Contract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20ed73ca-2598-4639-8d39-feb811df9d8a}">
    <Anchor>
      <Comment id="{5b7e568e-a1f8-4be2-bc1e-14e5be68eba0}"/>
    </Anchor>
    <History>
      <Event time="2025-04-01T23:06:00.00" id="{65e105a9-fa74-4b7b-a240-014867dd8ae7}">
        <Attribution userId="placeholder@email.com" userName="Jam Bernardo" userProvider="google-sheets"/>
        <Anchor>
          <Comment id="{5b7e568e-a1f8-4be2-bc1e-14e5be68eba0}"/>
        </Anchor>
        <Create/>
      </Event>
      <Event time="2025-04-01T23:06:00.00" id="{40d101df-8858-4996-b7e5-581c48f0bc45}">
        <Attribution userId="placeholder@email.com" userName="Jam Bernardo" userProvider="google-sheets"/>
        <Anchor>
          <Comment id="{5b7e568e-a1f8-4be2-bc1e-14e5be68eba0}"/>
        </Anchor>
        <Assign userId="isabel@coryhometeam.com" userName="isabel@coryhometeam.com" userProvider="google-sheets"/>
      </Event>
    </History>
  </Task>
  <Task id="{b2611334-f306-4a5f-b178-0a6bb59f4a98}">
    <Anchor>
      <Comment id="{e5ca3d4f-91c7-46fd-b940-88e30a3e61f5}"/>
    </Anchor>
    <History>
      <Event time="2025-07-02T17:47:03.00" id="{6ca30421-49eb-4994-b880-9c9a0c75e90a}">
        <Attribution userId="placeholder@email.com" userName="Rafael Bernardo" userProvider="google-sheets"/>
        <Anchor>
          <Comment id="{e5ca3d4f-91c7-46fd-b940-88e30a3e61f5}"/>
        </Anchor>
        <Create/>
      </Event>
      <Event time="2025-07-02T17:47:03.00" id="{2fe09977-e301-4c88-abab-faef4fe292e5}">
        <Attribution userId="placeholder@email.com" userName="Rafael Bernardo" userProvider="google-sheets"/>
        <Anchor>
          <Comment id="{e5ca3d4f-91c7-46fd-b940-88e30a3e61f5}"/>
        </Anchor>
        <Assign userId="isabel@coryhometeam.com" userName="isabel@coryhometeam.com" userProvider="google-sheets"/>
      </Event>
    </History>
  </Task>
  <Task id="{814289e5-403b-42a7-8301-5cf1676dcbed}">
    <Anchor>
      <Comment id="{6cd3d1f9-5df9-46a8-9069-d5fd4da6bdc2}"/>
    </Anchor>
    <History>
      <Event time="2025-06-26T20:49:08.00" id="{b8480c71-99a5-4448-9a41-bf8ff7da4964}">
        <Attribution userId="placeholder@email.com" userName="Rafael Bernardo" userProvider="google-sheets"/>
        <Anchor>
          <Comment id="{6cd3d1f9-5df9-46a8-9069-d5fd4da6bdc2}"/>
        </Anchor>
        <Create/>
      </Event>
      <Event time="2025-06-26T20:49:08.00" id="{de22ba77-de1b-4ba6-8f90-966ae980cf81}">
        <Attribution userId="placeholder@email.com" userName="Rafael Bernardo" userProvider="google-sheets"/>
        <Anchor>
          <Comment id="{6cd3d1f9-5df9-46a8-9069-d5fd4da6bdc2}"/>
        </Anchor>
        <Assign userId="isabel@coryhometeam.com" userName="isabel@coryhometeam.com" userProvider="google-sheets"/>
      </Event>
    </History>
  </Task>
  <Task id="{61b2496e-b195-4c2b-9a81-98e99b8f528b}">
    <Anchor>
      <Comment id="{a8701e8a-4088-4870-931e-84f89b4fc69e}"/>
    </Anchor>
    <History>
      <Event time="2025-06-23T19:23:33.00" id="{7fa3e24d-6c60-4482-a39a-1056c5a2b27e}">
        <Attribution userId="placeholder@email.com" userName="Jam Bernardo" userProvider="google-sheets"/>
        <Anchor>
          <Comment id="{a8701e8a-4088-4870-931e-84f89b4fc69e}"/>
        </Anchor>
        <Create/>
      </Event>
      <Event time="2025-06-23T19:23:33.00" id="{88a6c94e-2416-47f9-9544-0f7986ef17a0}">
        <Attribution userId="placeholder@email.com" userName="Jam Bernardo" userProvider="google-sheets"/>
        <Anchor>
          <Comment id="{a8701e8a-4088-4870-931e-84f89b4fc69e}"/>
        </Anchor>
        <Assign userId="isabel@coryhometeam.com" userName="isabel@coryhometeam.com" userProvider="google-sheets"/>
      </Event>
    </History>
  </Task>
  <Task id="{490b564f-fc80-4a66-9576-4b97a1f3c3da}">
    <Anchor>
      <Comment id="{be8ad9c8-dcea-4e0f-befd-46adcb736d13}"/>
    </Anchor>
    <History>
      <Event time="2025-06-23T18:30:18.00" id="{7e1e8b3c-35ce-4d7a-950c-38290b189fa9}">
        <Attribution userId="placeholder@email.com" userName="Dana Martinez" userProvider="google-sheets"/>
        <Anchor>
          <Comment id="{be8ad9c8-dcea-4e0f-befd-46adcb736d13}"/>
        </Anchor>
        <Create/>
      </Event>
      <Event time="2025-06-23T18:30:18.00" id="{e056ae5a-3f3e-4df3-a6de-7af5f8c0f041}">
        <Attribution userId="placeholder@email.com" userName="Dana Martinez" userProvider="google-sheets"/>
        <Anchor>
          <Comment id="{be8ad9c8-dcea-4e0f-befd-46adcb736d13}"/>
        </Anchor>
        <Assign userId="isabel@coryhometeam.com" userName="isabel@coryhometeam.com" userProvider="google-sheets"/>
      </Event>
    </History>
  </Task>
  <Task id="{479c804c-726d-4852-906e-476e4a181872}">
    <Anchor>
      <Comment id="{43f675a4-d4ed-4b5a-988b-20742e795718}"/>
    </Anchor>
    <History>
      <Event time="2025-01-07T17:37:10.00" id="{56f5415c-3f64-4ace-b860-4f2bf194daf5}">
        <Attribution userId="placeholder@email.com" userName="Jam Bernardo" userProvider="google-sheets"/>
        <Anchor>
          <Comment id="{43f675a4-d4ed-4b5a-988b-20742e795718}"/>
        </Anchor>
        <Create/>
      </Event>
      <Event time="2025-01-07T17:37:10.00" id="{bcc094fa-6959-4e3a-8202-02ca047111a4}">
        <Attribution userId="placeholder@email.com" userName="Jam Bernardo" userProvider="google-sheets"/>
        <Anchor>
          <Comment id="{43f675a4-d4ed-4b5a-988b-20742e795718}"/>
        </Anchor>
        <Assign userId="isabel@coryhometeam.com" userName="isabel@coryhometeam.com" userProvider="google-sheets"/>
      </Event>
    </History>
  </Task>
  <Task id="{0cd8072e-4ead-4a72-a387-c3fe71f393fd}">
    <Anchor>
      <Comment id="{d8608206-b67e-4170-b02c-fe2b3ee60eff}"/>
    </Anchor>
    <History>
      <Event time="2025-01-07T17:11:21.00" id="{40b6ddfa-24c5-4a10-a8d1-756d3a1cd906}">
        <Attribution userId="placeholder@email.com" userName="Rafael Bernardo" userProvider="google-sheets"/>
        <Anchor>
          <Comment id="{d8608206-b67e-4170-b02c-fe2b3ee60eff}"/>
        </Anchor>
        <Create/>
      </Event>
      <Event time="2025-01-07T17:11:21.00" id="{742150d5-5e9c-4d33-a565-0418851c6e09}">
        <Attribution userId="placeholder@email.com" userName="Rafael Bernardo" userProvider="google-sheets"/>
        <Anchor>
          <Comment id="{d8608206-b67e-4170-b02c-fe2b3ee60eff}"/>
        </Anchor>
        <Assign userId="isabel@coryhometeam.com" userName="isabel@coryhometeam.com" userProvider="google-sheets"/>
      </Event>
    </History>
  </Task>
  <Task id="{9cc4a759-36d9-40b3-9ab0-6a6ed909b915}">
    <Anchor>
      <Comment id="{96d44535-1402-4313-a7bc-774e5ead22bc}"/>
    </Anchor>
    <History>
      <Event time="2025-01-23T16:57:27.00" id="{236764d6-6684-4696-bb31-02baac913d8e}">
        <Attribution userId="placeholder@email.com" userName="Rafael Bernardo" userProvider="google-sheets"/>
        <Anchor>
          <Comment id="{96d44535-1402-4313-a7bc-774e5ead22bc}"/>
        </Anchor>
        <Create/>
      </Event>
      <Event time="2025-01-23T16:57:27.00" id="{68d21237-d89f-4369-9c63-912706b0b3f2}">
        <Attribution userId="placeholder@email.com" userName="Rafael Bernardo" userProvider="google-sheets"/>
        <Anchor>
          <Comment id="{96d44535-1402-4313-a7bc-774e5ead22bc}"/>
        </Anchor>
        <Assign userId="isabel@coryhometeam.com" userName="isabel@coryhometeam.com" userProvider="google-sheets"/>
      </Event>
    </History>
  </Task>
  <Task id="{3ce771e1-efe1-4aa2-8fde-ad81aab28e5d}">
    <Anchor>
      <Comment id="{72965167-79c1-4f7e-882f-c072af8307c5}"/>
    </Anchor>
    <History>
      <Event time="2025-04-15T11:35:19.00" id="{d5482d75-3b37-4942-9e5b-b26949211e61}">
        <Attribution userId="placeholder@email.com" userName="Rafael Bernardo" userProvider="google-sheets"/>
        <Anchor>
          <Comment id="{72965167-79c1-4f7e-882f-c072af8307c5}"/>
        </Anchor>
        <Create/>
      </Event>
      <Event time="2025-04-15T11:35:19.00" id="{efffc803-9bca-4f1a-b432-75820c83dcd0}">
        <Attribution userId="placeholder@email.com" userName="Rafael Bernardo" userProvider="google-sheets"/>
        <Anchor>
          <Comment id="{72965167-79c1-4f7e-882f-c072af8307c5}"/>
        </Anchor>
        <Assign userId="isabel@coryhometeam.com" userName="isabel@coryhometeam.com" userProvider="google-sheets"/>
      </Event>
    </History>
  </Task>
  <Task id="{2927653d-ebe6-4a5b-84f2-fc88df616a29}">
    <Anchor>
      <Comment id="{8cd608a7-73ee-4322-bda2-34e53a699165}"/>
    </Anchor>
    <History>
      <Event time="2025-02-06T17:11:18.00" id="{b4ca2299-6058-44bb-9c11-7dc07c4eb936}">
        <Attribution userId="placeholder@email.com" userName="Rafael Bernardo" userProvider="google-sheets"/>
        <Anchor>
          <Comment id="{8cd608a7-73ee-4322-bda2-34e53a699165}"/>
        </Anchor>
        <Create/>
      </Event>
      <Event time="2025-02-06T17:11:18.00" id="{0cf6373d-fd2f-463f-a6fb-34731f482054}">
        <Attribution userId="placeholder@email.com" userName="Rafael Bernardo" userProvider="google-sheets"/>
        <Anchor>
          <Comment id="{8cd608a7-73ee-4322-bda2-34e53a699165}"/>
        </Anchor>
        <Assign userId="isabel@coryhometeam.com" userName="isabel@coryhometeam.com" userProvider="google-sheets"/>
      </Event>
    </History>
  </Task>
  <Task id="{bd04c3cb-34ea-4642-a04c-d4457cf84eaf}">
    <Anchor>
      <Comment id="{83189293-5dfe-4393-8bbb-3701ceb4563a}"/>
    </Anchor>
    <History>
      <Event time="2025-08-21T22:44:45.00" id="{346a2339-e804-4f10-b0af-bfa12960a4dc}">
        <Attribution userId="placeholder@email.com" userName="Rafael Bernardo" userProvider="google-sheets"/>
        <Anchor>
          <Comment id="{83189293-5dfe-4393-8bbb-3701ceb4563a}"/>
        </Anchor>
        <Create/>
      </Event>
      <Event time="2025-08-21T22:44:45.00" id="{7fe6915e-8819-4efc-bcf1-b65a32f350a4}">
        <Attribution userId="placeholder@email.com" userName="Rafael Bernardo" userProvider="google-sheets"/>
        <Anchor>
          <Comment id="{83189293-5dfe-4393-8bbb-3701ceb4563a}"/>
        </Anchor>
        <Assign userId="isabel@coryhometeam.com" userName="isabel@coryhometeam.com" userProvider="google-sheets"/>
      </Event>
    </History>
  </Task>
  <Task id="{5766d212-7622-4b1c-9c51-15fe1c45d0b9}">
    <Anchor>
      <Comment id="{466a45c4-6351-40c6-82d9-1204c9865040}"/>
    </Anchor>
    <History>
      <Event time="2025-06-24T21:14:27.00" id="{17121403-cbd2-48d8-8c9a-a772fe13e2b9}">
        <Attribution userId="placeholder@email.com" userName="Rafael Bernardo" userProvider="google-sheets"/>
        <Anchor>
          <Comment id="{466a45c4-6351-40c6-82d9-1204c9865040}"/>
        </Anchor>
        <Create/>
      </Event>
      <Event time="2025-06-24T21:14:27.00" id="{405b2145-615f-4fc1-8cf1-28bf816f3a50}">
        <Attribution userId="placeholder@email.com" userName="Rafael Bernardo" userProvider="google-sheets"/>
        <Anchor>
          <Comment id="{466a45c4-6351-40c6-82d9-1204c9865040}"/>
        </Anchor>
        <Assign userId="isabel@coryhometeam.com" userName="isabel@coryhometeam.com" userProvider="google-sheets"/>
      </Event>
    </History>
  </Task>
  <Task id="{62206c03-7f03-46b0-ab2a-f467ec49f46f}">
    <Anchor>
      <Comment id="{cb07e0b0-87bf-4883-af9f-b6bd563f2a93}"/>
    </Anchor>
    <History>
      <Event time="2025-08-15T17:53:42.00" id="{15ad933c-d647-4ff0-a607-443cb7cdab43}">
        <Attribution userId="placeholder@email.com" userName="Jam Bernardo" userProvider="google-sheets"/>
        <Anchor>
          <Comment id="{cb07e0b0-87bf-4883-af9f-b6bd563f2a93}"/>
        </Anchor>
        <Create/>
      </Event>
      <Event time="2025-08-15T17:53:42.00" id="{f12810ce-1b49-46f3-836e-826c24e6cc2a}">
        <Attribution userId="placeholder@email.com" userName="Jam Bernardo" userProvider="google-sheets"/>
        <Anchor>
          <Comment id="{cb07e0b0-87bf-4883-af9f-b6bd563f2a93}"/>
        </Anchor>
        <Assign userId="isabel@coryhometeam.com" userName="isabel@coryhometeam.com" userProvider="google-sheets"/>
      </Event>
    </History>
  </Task>
  <Task id="{f82121a9-e459-4f17-a94e-a76eba58c28c}">
    <Anchor>
      <Comment id="{23abf761-cb53-49c3-8181-a69ef3d8fae6}"/>
    </Anchor>
    <History>
      <Event time="2025-06-24T21:14:23.00" id="{8ad00c1f-4e7d-4e9e-8c41-eb2901370f85}">
        <Attribution userId="placeholder@email.com" userName="Dana Martinez" userProvider="google-sheets"/>
        <Anchor>
          <Comment id="{23abf761-cb53-49c3-8181-a69ef3d8fae6}"/>
        </Anchor>
        <Create/>
      </Event>
      <Event time="2025-06-24T21:14:23.00" id="{d46d13c7-52c1-48f0-ab55-1222446455c7}">
        <Attribution userId="placeholder@email.com" userName="Dana Martinez" userProvider="google-sheets"/>
        <Anchor>
          <Comment id="{23abf761-cb53-49c3-8181-a69ef3d8fae6}"/>
        </Anchor>
        <Assign userId="isabel@coryhometeam.com" userName="isabel@coryhometeam.com" userProvider="google-sheets"/>
      </Event>
    </History>
  </Task>
  <Task id="{ff48c3c2-3d04-4967-b02b-ee988c2ab64c}">
    <Anchor>
      <Comment id="{21648889-77dc-4541-8f50-837332c5a54e}"/>
    </Anchor>
    <History>
      <Event time="2025-05-21T14:14:50.00" id="{9cbf9ce0-9a1c-49d5-bdb6-4fb767f2b185}">
        <Attribution userId="placeholder@email.com" userName="Rafael Bernardo" userProvider="google-sheets"/>
        <Anchor>
          <Comment id="{21648889-77dc-4541-8f50-837332c5a54e}"/>
        </Anchor>
        <Create/>
      </Event>
      <Event time="2025-05-21T14:14:50.00" id="{c5bea48a-e4d0-4920-8e5e-e1204d8c302d}">
        <Attribution userId="placeholder@email.com" userName="Rafael Bernardo" userProvider="google-sheets"/>
        <Anchor>
          <Comment id="{21648889-77dc-4541-8f50-837332c5a54e}"/>
        </Anchor>
        <Assign userId="isabel@coryhometeam.com" userName="isabel@coryhometeam.com" userProvider="google-sheets"/>
      </Event>
    </History>
  </Task>
  <Task id="{50ef525f-7512-4407-85cf-e20f06689f74}">
    <Anchor>
      <Comment id="{81a991c6-c95b-4417-a9f7-5bf883b70aba}"/>
    </Anchor>
    <History>
      <Event time="2025-10-06T20:17:02.00" id="{39294918-6c55-4775-b992-ece59e3a2f91}">
        <Attribution userId="placeholder@email.com" userName="Rafael Bernardo" userProvider="google-sheets"/>
        <Anchor>
          <Comment id="{81a991c6-c95b-4417-a9f7-5bf883b70aba}"/>
        </Anchor>
        <Create/>
      </Event>
      <Event time="2025-10-06T20:17:02.00" id="{7498b223-91aa-4827-8b81-f36ed7671add}">
        <Attribution userId="placeholder@email.com" userName="Rafael Bernardo" userProvider="google-sheets"/>
        <Anchor>
          <Comment id="{81a991c6-c95b-4417-a9f7-5bf883b70aba}"/>
        </Anchor>
        <Assign userId="isabel@coryhometeam.com" userName="isabel@coryhometeam.com" userProvider="google-sheets"/>
      </Event>
    </History>
  </Task>
  <Task id="{40608f92-d615-4dee-aa75-34e3d36d234a}">
    <Anchor>
      <Comment id="{470441b8-04b6-4724-9c03-803953cef86e}"/>
    </Anchor>
    <History>
      <Event time="2025-03-24T15:38:05.00" id="{cb3de771-6f85-4297-9d69-ced92f72f60d}">
        <Attribution userId="placeholder@email.com" userName="Jam Bernardo" userProvider="google-sheets"/>
        <Anchor>
          <Comment id="{470441b8-04b6-4724-9c03-803953cef86e}"/>
        </Anchor>
        <Create/>
      </Event>
      <Event time="2025-03-24T15:38:05.00" id="{397465d7-627a-474d-a8fc-7c2478cba82f}">
        <Attribution userId="placeholder@email.com" userName="Jam Bernardo" userProvider="google-sheets"/>
        <Anchor>
          <Comment id="{470441b8-04b6-4724-9c03-803953cef86e}"/>
        </Anchor>
        <Assign userId="isabel@coryhometeam.com" userName="isabel@coryhometeam.com" userProvider="google-sheets"/>
      </Event>
    </History>
  </Task>
  <Task id="{3159d986-d4bc-415e-9be6-ce48499b3197}">
    <Anchor>
      <Comment id="{860b8fd8-c5a9-42e7-a125-88ffa233e4dc}"/>
    </Anchor>
    <History>
      <Event time="2025-04-02T23:09:44.00" id="{918e5563-1e1a-4a53-884a-b94e90018eaa}">
        <Attribution userId="placeholder@email.com" userName="Jam Bernardo" userProvider="google-sheets"/>
        <Anchor>
          <Comment id="{860b8fd8-c5a9-42e7-a125-88ffa233e4dc}"/>
        </Anchor>
        <Create/>
      </Event>
      <Event time="2025-04-02T23:09:44.00" id="{cf32b8ab-9ad2-4948-b908-dc6ab0da3d96}">
        <Attribution userId="placeholder@email.com" userName="Jam Bernardo" userProvider="google-sheets"/>
        <Anchor>
          <Comment id="{860b8fd8-c5a9-42e7-a125-88ffa233e4dc}"/>
        </Anchor>
        <Assign userId="isabel@coryhometeam.com" userName="isabel@coryhometeam.com" userProvider="google-sheets"/>
      </Event>
    </History>
  </Task>
  <Task id="{caf1ee59-5e69-48ff-a528-62ef5da7fd2d}">
    <Anchor>
      <Comment id="{fd0a8476-4361-43c9-80a3-18a06ed7c8ee}"/>
    </Anchor>
    <History>
      <Event time="2025-09-18T22:20:12.00" id="{9d9efe39-6076-49c7-8210-d035d4bfb0b6}">
        <Attribution userId="placeholder@email.com" userName="Jam Bernardo" userProvider="google-sheets"/>
        <Anchor>
          <Comment id="{fd0a8476-4361-43c9-80a3-18a06ed7c8ee}"/>
        </Anchor>
        <Create/>
      </Event>
      <Event time="2025-09-18T22:20:12.00" id="{b4ec3ec7-4913-4981-b72f-3f7f14a4cb7d}">
        <Attribution userId="placeholder@email.com" userName="Jam Bernardo" userProvider="google-sheets"/>
        <Anchor>
          <Comment id="{fd0a8476-4361-43c9-80a3-18a06ed7c8ee}"/>
        </Anchor>
        <Assign userId="isabel@coryhometeam.com" userName="isabel@coryhometeam.com" userProvider="google-sheets"/>
      </Event>
    </History>
  </Task>
  <Task id="{682e0ce7-29fc-46dc-bf61-035ee3767047}">
    <Anchor>
      <Comment id="{77424916-9a77-45dc-856f-99dd6966d7db}"/>
    </Anchor>
    <History>
      <Event time="2025-08-21T23:56:52.00" id="{b0298b39-68c9-41b7-8b12-f06ddb0366b4}">
        <Attribution userId="placeholder@email.com" userName="Jam Bernardo" userProvider="google-sheets"/>
        <Anchor>
          <Comment id="{77424916-9a77-45dc-856f-99dd6966d7db}"/>
        </Anchor>
        <Create/>
      </Event>
      <Event time="2025-08-21T23:56:52.00" id="{02c52f00-7689-49ba-93e0-0f0338005e2c}">
        <Attribution userId="placeholder@email.com" userName="Jam Bernardo" userProvider="google-sheets"/>
        <Anchor>
          <Comment id="{77424916-9a77-45dc-856f-99dd6966d7db}"/>
        </Anchor>
        <Assign userId="isabel@coryhometeam.com" userName="isabel@coryhometeam.com" userProvider="google-sheets"/>
      </Event>
    </History>
  </Task>
  <Task id="{5f545f1e-32de-4819-a5d0-a6015eed43a3}">
    <Anchor>
      <Comment id="{47024e94-8f49-420e-b327-018b9e00ca19}"/>
    </Anchor>
    <History>
      <Event time="2025-05-02T14:21:31.00" id="{5aa0094f-e78e-470e-8a4a-ad518c94eb78}">
        <Attribution userId="placeholder@email.com" userName="Rafael Bernardo" userProvider="google-sheets"/>
        <Anchor>
          <Comment id="{47024e94-8f49-420e-b327-018b9e00ca19}"/>
        </Anchor>
        <Create/>
      </Event>
      <Event time="2025-05-02T14:21:31.00" id="{062099a0-5334-4aa4-8cad-4f8333d6ce72}">
        <Attribution userId="placeholder@email.com" userName="Rafael Bernardo" userProvider="google-sheets"/>
        <Anchor>
          <Comment id="{47024e94-8f49-420e-b327-018b9e00ca19}"/>
        </Anchor>
        <Assign userId="isabel@coryhometeam.com" userName="isabel@coryhometeam.com" userProvider="google-sheets"/>
      </Event>
    </History>
  </Task>
  <Task id="{065cc8c4-1088-4fb6-b1bb-63f82d85e052}">
    <Anchor>
      <Comment id="{edb50359-1661-4c72-9425-7eecd9032071}"/>
    </Anchor>
    <History>
      <Event time="2025-09-18T22:22:05.00" id="{f982f3e4-460a-4679-a726-f405f1ad511c}">
        <Attribution userId="placeholder@email.com" userName="Jam Bernardo" userProvider="google-sheets"/>
        <Anchor>
          <Comment id="{edb50359-1661-4c72-9425-7eecd9032071}"/>
        </Anchor>
        <Create/>
      </Event>
      <Event time="2025-09-18T22:22:05.00" id="{9d6f66e7-196e-43aa-981e-32399955a8ab}">
        <Attribution userId="placeholder@email.com" userName="Jam Bernardo" userProvider="google-sheets"/>
        <Anchor>
          <Comment id="{edb50359-1661-4c72-9425-7eecd9032071}"/>
        </Anchor>
        <Assign userId="isabel@coryhometeam.com" userName="isabel@coryhometeam.com" userProvider="google-sheets"/>
      </Event>
    </History>
  </Task>
  <Task id="{0d157369-a8aa-4edd-9866-a6621015df2c}">
    <Anchor>
      <Comment id="{a54ee93c-e867-4213-880a-d11a90257403}"/>
    </Anchor>
    <History>
      <Event time="2025-08-22T00:01:04.00" id="{ffbddde7-11b1-4624-999d-db7bcb77cc83}">
        <Attribution userId="placeholder@email.com" userName="Jam Bernardo" userProvider="google-sheets"/>
        <Anchor>
          <Comment id="{a54ee93c-e867-4213-880a-d11a90257403}"/>
        </Anchor>
        <Create/>
      </Event>
      <Event time="2025-08-22T00:01:04.00" id="{ba44bbbf-ca86-46da-8669-7129cf20051c}">
        <Attribution userId="placeholder@email.com" userName="Jam Bernardo" userProvider="google-sheets"/>
        <Anchor>
          <Comment id="{a54ee93c-e867-4213-880a-d11a90257403}"/>
        </Anchor>
        <Assign userId="isabel@coryhometeam.com" userName="isabel@coryhometeam.com" userProvider="google-sheets"/>
      </Event>
    </History>
  </Task>
  <Task id="{1aac2e43-11c7-476f-86dc-daa975042cf3}">
    <Anchor>
      <Comment id="{aed36ce0-2d6f-4b3a-928c-90d3592adcf2}"/>
    </Anchor>
    <History>
      <Event time="2026-06-09T18:07:19.00" id="{308ce017-0e67-423b-b373-e6e740564cbe}">
        <Attribution userId="placeholder@email.com" userName="Remy Victoria" userProvider="google-sheets"/>
        <Anchor>
          <Comment id="{4896719e-f8a8-416b-9987-afb93fe552f0}"/>
        </Anchor>
        <Create/>
      </Event>
      <Event time="2026-06-09T18:07:19.00" id="{711055b9-2c09-4389-9839-1d62709b5e63}">
        <Attribution userId="placeholder@email.com" userName="Remy Victoria" userProvider="google-sheets"/>
        <Anchor>
          <Comment id="{4896719e-f8a8-416b-9987-afb93fe552f0}"/>
        </Anchor>
        <Assign userId="blake@coryhometeam.com" userName="blake@coryhometeam.com" userProvider="google-sheets"/>
      </Event>
    </History>
  </Task>
  <Task id="{9533bddf-0bad-44b2-ba17-2f2458a9bcbd}">
    <Anchor>
      <Comment id="{9a2fd6dc-57dc-42eb-b3fb-49663919b69f}"/>
    </Anchor>
    <History>
      <Event time="2025-08-15T15:26:04.00" id="{ebdc9301-5464-4e97-a218-e71815b065e5}">
        <Attribution userId="placeholder@email.com" userName="Rafael Bernardo" userProvider="google-sheets"/>
        <Anchor>
          <Comment id="{9a2fd6dc-57dc-42eb-b3fb-49663919b69f}"/>
        </Anchor>
        <Create/>
      </Event>
      <Event time="2025-08-15T15:26:04.00" id="{d6abae09-49c7-4155-b4f1-3f02829ab3b0}">
        <Attribution userId="placeholder@email.com" userName="Rafael Bernardo" userProvider="google-sheets"/>
        <Anchor>
          <Comment id="{9a2fd6dc-57dc-42eb-b3fb-49663919b69f}"/>
        </Anchor>
        <Assign userId="isabel@coryhometeam.com" userName="isabel@coryhometeam.com" userProvider="google-sheets"/>
      </Event>
    </History>
  </Task>
  <Task id="{14875053-5796-44ef-9716-2f1cef476a12}">
    <Anchor>
      <Comment id="{0d82fbde-75d1-42eb-b02c-15f6735f7223}"/>
    </Anchor>
    <History>
      <Event time="2025-02-06T17:03:09.00" id="{8bd97d88-d1fa-4e0a-96e3-f352d5e73b4d}">
        <Attribution userId="placeholder@email.com" userName="Rafael Bernardo" userProvider="google-sheets"/>
        <Anchor>
          <Comment id="{0d82fbde-75d1-42eb-b02c-15f6735f7223}"/>
        </Anchor>
        <Create/>
      </Event>
      <Event time="2025-02-06T17:03:09.00" id="{5926c060-1956-4fb6-acd1-c6dd9ce3a9dd}">
        <Attribution userId="placeholder@email.com" userName="Rafael Bernardo" userProvider="google-sheets"/>
        <Anchor>
          <Comment id="{0d82fbde-75d1-42eb-b02c-15f6735f7223}"/>
        </Anchor>
        <Assign userId="isabel@coryhometeam.com" userName="isabel@coryhometeam.com" userProvider="google-sheets"/>
      </Event>
    </History>
  </Task>
  <Task id="{f3443774-6ced-4e6b-ad95-71f49033f955}">
    <Anchor>
      <Comment id="{4d3f2ae5-c2a9-4c6a-8ed4-13dfb36b2247}"/>
    </Anchor>
    <History>
      <Event time="2025-03-24T15:38:25.00" id="{a74d7011-f6fa-4291-ad16-62790caec440}">
        <Attribution userId="placeholder@email.com" userName="Jam Bernardo" userProvider="google-sheets"/>
        <Anchor>
          <Comment id="{4d3f2ae5-c2a9-4c6a-8ed4-13dfb36b2247}"/>
        </Anchor>
        <Create/>
      </Event>
      <Event time="2025-03-24T15:38:25.00" id="{0b7e39d1-d04a-4bdb-9c0d-d1d0aaa95be1}">
        <Attribution userId="placeholder@email.com" userName="Jam Bernardo" userProvider="google-sheets"/>
        <Anchor>
          <Comment id="{4d3f2ae5-c2a9-4c6a-8ed4-13dfb36b2247}"/>
        </Anchor>
        <Assign userId="isabel@coryhometeam.com" userName="isabel@coryhometeam.com" userProvider="google-sheets"/>
      </Event>
    </History>
  </Task>
  <Task id="{c543fd53-0777-4637-86d8-05e8b6d34536}">
    <Anchor>
      <Comment id="{352e962d-9b83-4e84-8632-a81f475b08c1}"/>
    </Anchor>
    <History>
      <Event time="2025-03-27T21:19:45.00" id="{43620aa1-ffa2-404b-9054-8a01c363ea4c}">
        <Attribution userId="placeholder@email.com" userName="Rafael Bernardo" userProvider="google-sheets"/>
        <Anchor>
          <Comment id="{352e962d-9b83-4e84-8632-a81f475b08c1}"/>
        </Anchor>
        <Create/>
      </Event>
      <Event time="2025-03-27T21:19:45.00" id="{f21ed4fc-bdc4-40b8-ac48-d44a0686af91}">
        <Attribution userId="placeholder@email.com" userName="Rafael Bernardo" userProvider="google-sheets"/>
        <Anchor>
          <Comment id="{352e962d-9b83-4e84-8632-a81f475b08c1}"/>
        </Anchor>
        <Assign userId="isabel@coryhometeam.com" userName="isabel@coryhometeam.com" userProvider="google-sheets"/>
      </Event>
    </History>
  </Task>
  <Task id="{b4925c3b-1ce0-4d47-811c-46092cd4d669}">
    <Anchor>
      <Comment id="{dd67602c-4352-4f89-8717-c1b901d8eea5}"/>
    </Anchor>
    <History>
      <Event time="2025-05-02T18:49:56.00" id="{8df473b1-e10d-482f-bce1-54fd9974129f}">
        <Attribution userId="placeholder@email.com" userName="Jam Bernardo" userProvider="google-sheets"/>
        <Anchor>
          <Comment id="{dd67602c-4352-4f89-8717-c1b901d8eea5}"/>
        </Anchor>
        <Create/>
      </Event>
      <Event time="2025-05-02T18:49:56.00" id="{a36a6445-b2d5-4664-a954-df42e42fa9da}">
        <Attribution userId="placeholder@email.com" userName="Jam Bernardo" userProvider="google-sheets"/>
        <Anchor>
          <Comment id="{dd67602c-4352-4f89-8717-c1b901d8eea5}"/>
        </Anchor>
        <Assign userId="isabel@coryhometeam.com" userName="isabel@coryhometeam.com" userProvider="google-sheets"/>
      </Event>
    </History>
  </Task>
  <Task id="{365d7680-59eb-47b4-a3ed-4e822a7bb9d0}">
    <Anchor>
      <Comment id="{efdea76e-332e-4b6c-8bae-3dd97be0ef51}"/>
    </Anchor>
    <History>
      <Event time="2025-05-02T23:32:34.00" id="{f4aff8bb-78a6-42f4-88b0-4d842bc3f3c1}">
        <Attribution userId="placeholder@email.com" userName="Jam Bernardo" userProvider="google-sheets"/>
        <Anchor>
          <Comment id="{efdea76e-332e-4b6c-8bae-3dd97be0ef51}"/>
        </Anchor>
        <Create/>
      </Event>
      <Event time="2025-05-02T23:32:34.00" id="{8f37d891-bca2-4f9a-b509-83c7deb56c48}">
        <Attribution userId="placeholder@email.com" userName="Jam Bernardo" userProvider="google-sheets"/>
        <Anchor>
          <Comment id="{efdea76e-332e-4b6c-8bae-3dd97be0ef51}"/>
        </Anchor>
        <Assign userId="isabel@coryhometeam.com" userName="isabel@coryhometeam.com" userProvider="google-sheets"/>
      </Event>
    </History>
  </Task>
  <Task id="{78b82715-47bd-4a84-bdfe-2baf0097d89c}">
    <Anchor>
      <Comment id="{23ff1d18-eb5e-46fd-9bc4-3358bf29421e}"/>
    </Anchor>
    <History>
      <Event time="2025-05-02T20:04:32.00" id="{83186526-bc96-4fc7-b252-afe35ac299cd}">
        <Attribution userId="placeholder@email.com" userName="Jam Bernardo" userProvider="google-sheets"/>
        <Anchor>
          <Comment id="{23ff1d18-eb5e-46fd-9bc4-3358bf29421e}"/>
        </Anchor>
        <Create/>
      </Event>
      <Event time="2025-05-02T20:04:32.00" id="{7ad271c4-b9f7-4c02-b3ea-11e051ff5b94}">
        <Attribution userId="placeholder@email.com" userName="Jam Bernardo" userProvider="google-sheets"/>
        <Anchor>
          <Comment id="{23ff1d18-eb5e-46fd-9bc4-3358bf29421e}"/>
        </Anchor>
        <Assign userId="isabel@coryhometeam.com" userName="isabel@coryhometeam.com" userProvider="google-sheets"/>
      </Event>
    </History>
  </Task>
  <Task id="{62a5a17c-fc2b-4e42-99ec-46bedc6dd864}">
    <Anchor>
      <Comment id="{04917be0-bf7a-45a8-a024-7f5a01f48747}"/>
    </Anchor>
    <History>
      <Event time="2025-05-05T12:47:52.00" id="{af59a504-f519-43b1-a2a0-7f37c2434197}">
        <Attribution userId="placeholder@email.com" userName="Rafael Bernardo" userProvider="google-sheets"/>
        <Anchor>
          <Comment id="{04917be0-bf7a-45a8-a024-7f5a01f48747}"/>
        </Anchor>
        <Create/>
      </Event>
      <Event time="2025-05-05T12:47:52.00" id="{46a153be-bf46-44bd-b5ab-3a5558f3a5e6}">
        <Attribution userId="placeholder@email.com" userName="Rafael Bernardo" userProvider="google-sheets"/>
        <Anchor>
          <Comment id="{04917be0-bf7a-45a8-a024-7f5a01f48747}"/>
        </Anchor>
        <Assign userId="isabel@coryhometeam.com" userName="isabel@coryhometeam.com" userProvider="google-sheets"/>
      </Event>
    </History>
  </Task>
  <Task id="{e648fd2d-6f16-41fc-8b4f-932852b81cd8}">
    <Anchor>
      <Comment id="{4bb7300e-ee66-40e6-93e4-cc27a5127ca7}"/>
    </Anchor>
    <History>
      <Event time="2025-03-27T21:09:01.00" id="{1ebe828c-6b9a-41fa-8a0b-e91c2a84b353}">
        <Attribution userId="placeholder@email.com" userName="Rafael Bernardo" userProvider="google-sheets"/>
        <Anchor>
          <Comment id="{4bb7300e-ee66-40e6-93e4-cc27a5127ca7}"/>
        </Anchor>
        <Create/>
      </Event>
      <Event time="2025-03-27T21:09:01.00" id="{c139d340-a5e4-477e-8ce0-1e5c134d4d27}">
        <Attribution userId="placeholder@email.com" userName="Rafael Bernardo" userProvider="google-sheets"/>
        <Anchor>
          <Comment id="{4bb7300e-ee66-40e6-93e4-cc27a5127ca7}"/>
        </Anchor>
        <Assign userId="isabel@coryhometeam.com" userName="isabel@coryhometeam.com" userProvider="google-sheets"/>
      </Event>
    </History>
  </Task>
  <Task id="{f996afd1-03a2-42cf-8fa2-a529e96c6e06}">
    <Anchor>
      <Comment id="{0920fc8e-582d-422b-8670-6f5733e195ca}"/>
    </Anchor>
    <History>
      <Event time="2025-11-04T14:12:27.00" id="{50294b94-f92c-4739-9939-93fd8aaa622c}">
        <Attribution userId="placeholder@email.com" userName="Rafael Bernardo" userProvider="google-sheets"/>
        <Anchor>
          <Comment id="{0920fc8e-582d-422b-8670-6f5733e195ca}"/>
        </Anchor>
        <Create/>
      </Event>
      <Event time="2025-11-04T14:12:27.00" id="{db9941d7-c52a-4128-a855-0499805192f4}">
        <Attribution userId="placeholder@email.com" userName="Rafael Bernardo" userProvider="google-sheets"/>
        <Anchor>
          <Comment id="{0920fc8e-582d-422b-8670-6f5733e195ca}"/>
        </Anchor>
        <Assign userId="isabel@coryhometeam.com" userName="isabel@coryhometeam.com" userProvider="google-sheets"/>
      </Event>
    </History>
  </Task>
  <Task id="{18ad3e49-d9ef-4b56-afd4-1ca8303541cf}">
    <Anchor>
      <Comment id="{74c49905-aa83-4dbc-87cf-7eae0d9f1975}"/>
    </Anchor>
    <History>
      <Event time="2025-03-11T07:49:33.00" id="{fab802e9-f23c-4e18-90ea-bbf4cacfe6b4}">
        <Attribution userId="placeholder@email.com" userName="Rafael Bernardo" userProvider="google-sheets"/>
        <Anchor>
          <Comment id="{74c49905-aa83-4dbc-87cf-7eae0d9f1975}"/>
        </Anchor>
        <Create/>
      </Event>
      <Event time="2025-03-11T07:49:33.00" id="{9afc5798-335b-487e-a66a-5d81416d97b4}">
        <Attribution userId="placeholder@email.com" userName="Rafael Bernardo" userProvider="google-sheets"/>
        <Anchor>
          <Comment id="{74c49905-aa83-4dbc-87cf-7eae0d9f1975}"/>
        </Anchor>
        <Assign userId="isabel@coryhometeam.com" userName="isabel@coryhometeam.com" userProvider="google-sheets"/>
      </Event>
    </History>
  </Task>
  <Task id="{a3d96b7b-453c-4b1f-be66-c63790819a92}">
    <Anchor>
      <Comment id="{b0a9a4c1-0fd1-4c99-a165-5a91105c51d0}"/>
    </Anchor>
    <History>
      <Event time="2025-04-23T10:23:15.00" id="{12a38768-d520-4340-b3ac-aa76545113c3}">
        <Attribution userId="placeholder@email.com" userName="Rafael Bernardo" userProvider="google-sheets"/>
        <Anchor>
          <Comment id="{b0a9a4c1-0fd1-4c99-a165-5a91105c51d0}"/>
        </Anchor>
        <Create/>
      </Event>
      <Event time="2025-04-23T10:23:15.00" id="{340d2410-254d-46f8-abc5-fe6412cf0083}">
        <Attribution userId="placeholder@email.com" userName="Rafael Bernardo" userProvider="google-sheets"/>
        <Anchor>
          <Comment id="{b0a9a4c1-0fd1-4c99-a165-5a91105c51d0}"/>
        </Anchor>
        <Assign userId="isabel@coryhometeam.com" userName="isabel@coryhometeam.com" userProvider="google-sheets"/>
      </Event>
    </History>
  </Task>
  <Task id="{6c7ac35c-45fc-4005-af3d-62cf20d95d33}">
    <Anchor>
      <Comment id="{76ae7f27-ac7a-4e64-9deb-2537aba85b42}"/>
    </Anchor>
    <History>
      <Event time="2025-07-28T23:38:20.00" id="{dce0b260-6774-4d99-bcea-0f92706763a0}">
        <Attribution userId="placeholder@email.com" userName="Jam Bernardo" userProvider="google-sheets"/>
        <Anchor>
          <Comment id="{76ae7f27-ac7a-4e64-9deb-2537aba85b42}"/>
        </Anchor>
        <Create/>
      </Event>
      <Event time="2025-07-28T23:38:20.00" id="{823346cd-d318-48a3-bd20-55e07432a6c2}">
        <Attribution userId="placeholder@email.com" userName="Jam Bernardo" userProvider="google-sheets"/>
        <Anchor>
          <Comment id="{76ae7f27-ac7a-4e64-9deb-2537aba85b42}"/>
        </Anchor>
        <Assign userId="isabel@coryhometeam.com" userName="isabel@coryhometeam.com" userProvider="google-sheets"/>
      </Event>
    </History>
  </Task>
  <Task id="{53562cd8-a4f1-44f1-8591-c78d6a14a9f4}">
    <Anchor>
      <Comment id="{144213bd-9e9e-4a66-ab2b-737bc2d5e53c}"/>
    </Anchor>
    <History>
      <Event time="2025-05-13T12:24:39.00" id="{da79f407-4482-4c25-b4a6-e7b724ffca0f}">
        <Attribution userId="placeholder@email.com" userName="Rafael Bernardo" userProvider="google-sheets"/>
        <Anchor>
          <Comment id="{144213bd-9e9e-4a66-ab2b-737bc2d5e53c}"/>
        </Anchor>
        <Create/>
      </Event>
      <Event time="2025-05-13T12:24:39.00" id="{d45b7b87-8991-4234-8cff-090ea333aa38}">
        <Attribution userId="placeholder@email.com" userName="Rafael Bernardo" userProvider="google-sheets"/>
        <Anchor>
          <Comment id="{144213bd-9e9e-4a66-ab2b-737bc2d5e53c}"/>
        </Anchor>
        <Assign userId="isabel@coryhometeam.com" userName="isabel@coryhometeam.com" userProvider="google-sheets"/>
      </Event>
    </History>
  </Task>
  <Task id="{6b3e86f3-8f16-4949-9cf1-6c90c50d77f2}">
    <Anchor>
      <Comment id="{70d2e878-d4c0-4eea-9651-f5e9d09f82e0}"/>
    </Anchor>
    <History>
      <Event time="2025-07-01T19:56:17.00" id="{fa5bf8da-c00b-4c9c-8500-f5b69ba075e6}">
        <Attribution userId="placeholder@email.com" userName="Kenia Bautista" userProvider="google-sheets"/>
        <Anchor>
          <Comment id="{70d2e878-d4c0-4eea-9651-f5e9d09f82e0}"/>
        </Anchor>
        <Create/>
      </Event>
      <Event time="2025-07-01T19:56:17.00" id="{10501141-3db3-4040-8a5e-788eb8ecaeaa}">
        <Attribution userId="placeholder@email.com" userName="Kenia Bautista" userProvider="google-sheets"/>
        <Anchor>
          <Comment id="{70d2e878-d4c0-4eea-9651-f5e9d09f82e0}"/>
        </Anchor>
        <Assign userId="dana@coryhometeam.com" userName="dana@coryhometeam.com" userProvider="google-sheets"/>
      </Event>
    </History>
  </Task>
  <Task id="{17113126-3647-4515-a433-e90d829ce440}">
    <Anchor>
      <Comment id="{8dfbaa02-e356-4380-9c52-f84867be0f0a}"/>
    </Anchor>
    <History>
      <Event time="2025-12-04T19:20:44.00" id="{20563f80-8aa4-49a6-8c94-b70b4b8ce496}">
        <Attribution userId="placeholder@email.com" userName="Jam Bernardo" userProvider="google-sheets"/>
        <Anchor>
          <Comment id="{8dfbaa02-e356-4380-9c52-f84867be0f0a}"/>
        </Anchor>
        <Create/>
      </Event>
      <Event time="2025-12-04T19:20:44.00" id="{5372df54-d3b7-4f8e-a26c-2cb0c096275b}">
        <Attribution userId="placeholder@email.com" userName="Jam Bernardo" userProvider="google-sheets"/>
        <Anchor>
          <Comment id="{8dfbaa02-e356-4380-9c52-f84867be0f0a}"/>
        </Anchor>
        <Assign userId="isabel@coryhometeam.com" userName="isabel@coryhometeam.com" userProvider="google-sheets"/>
      </Event>
    </History>
  </Task>
  <Task id="{ebb1efc5-b4c3-40ef-af38-5abf43cf2098}">
    <Anchor>
      <Comment id="{5bd970bd-e413-4f1c-9f65-689c1c9cd180}"/>
    </Anchor>
    <History>
      <Event time="2025-09-12T20:09:28.00" id="{a5b92054-1823-4bd2-84c6-480d260e6798}">
        <Attribution userId="placeholder@email.com" userName="Rafael Bernardo" userProvider="google-sheets"/>
        <Anchor>
          <Comment id="{5bd970bd-e413-4f1c-9f65-689c1c9cd180}"/>
        </Anchor>
        <Create/>
      </Event>
      <Event time="2025-09-12T20:09:28.00" id="{c84633ea-89fb-4953-9326-c3ccdbf3eaad}">
        <Attribution userId="placeholder@email.com" userName="Rafael Bernardo" userProvider="google-sheets"/>
        <Anchor>
          <Comment id="{5bd970bd-e413-4f1c-9f65-689c1c9cd180}"/>
        </Anchor>
        <Assign userId="isabel@coryhometeam.com" userName="isabel@coryhometeam.com" userProvider="google-sheets"/>
      </Event>
    </History>
  </Task>
  <Task id="{b71b51ed-52d7-4862-9184-fa2b81ff3bec}">
    <Anchor>
      <Comment id="{f7814ac3-d398-43a2-8be8-8946378a3c17}"/>
    </Anchor>
    <History>
      <Event time="2025-09-25T06:50:02.00" id="{335b7fb3-7b8a-43c4-b380-05c75214b02e}">
        <Attribution userId="placeholder@email.com" userName="Rafael Bernardo" userProvider="google-sheets"/>
        <Anchor>
          <Comment id="{f7814ac3-d398-43a2-8be8-8946378a3c17}"/>
        </Anchor>
        <Create/>
      </Event>
      <Event time="2025-09-25T06:50:02.00" id="{3bfeb2c1-98fe-4c44-99ab-45bbfa3b1794}">
        <Attribution userId="placeholder@email.com" userName="Rafael Bernardo" userProvider="google-sheets"/>
        <Anchor>
          <Comment id="{f7814ac3-d398-43a2-8be8-8946378a3c17}"/>
        </Anchor>
        <Assign userId="isabel@coryhometeam.com" userName="isabel@coryhometeam.com" userProvider="google-sheets"/>
      </Event>
    </History>
  </Task>
  <Task id="{60e6bdc9-825b-4617-99be-7e551e32b03b}">
    <Anchor>
      <Comment id="{c489f165-93f5-46c8-865a-8538afd405ee}"/>
    </Anchor>
    <History>
      <Event time="2025-08-15T20:23:22.00" id="{707ef3b0-245f-4e24-b129-b742500c5b1f}">
        <Attribution userId="placeholder@email.com" userName="Jam Bernardo" userProvider="google-sheets"/>
        <Anchor>
          <Comment id="{c489f165-93f5-46c8-865a-8538afd405ee}"/>
        </Anchor>
        <Create/>
      </Event>
      <Event time="2025-08-15T20:23:22.00" id="{2ae1df8e-3078-4a41-bdc9-a3cd59a00062}">
        <Attribution userId="placeholder@email.com" userName="Jam Bernardo" userProvider="google-sheets"/>
        <Anchor>
          <Comment id="{c489f165-93f5-46c8-865a-8538afd405ee}"/>
        </Anchor>
        <Assign userId="isabel@coryhometeam.com" userName="isabel@coryhometeam.com" userProvider="google-sheets"/>
      </Event>
    </History>
  </Task>
  <Task id="{add4a95f-7c75-4de5-9fd0-158dd6bb2fc0}">
    <Anchor>
      <Comment id="{0ed22a62-5ee3-4e7e-99c2-ae2a17f8a40c}"/>
    </Anchor>
    <History>
      <Event time="2025-10-16T23:23:24.00" id="{55b7ce91-3b47-4d8f-b3fe-ea54dd0f0dce}">
        <Attribution userId="placeholder@email.com" userName="Jam Bernardo" userProvider="google-sheets"/>
        <Anchor>
          <Comment id="{0ed22a62-5ee3-4e7e-99c2-ae2a17f8a40c}"/>
        </Anchor>
        <Create/>
      </Event>
      <Event time="2025-10-16T23:23:24.00" id="{86bbc12d-4406-4561-a3a6-35a532552b7d}">
        <Attribution userId="placeholder@email.com" userName="Jam Bernardo" userProvider="google-sheets"/>
        <Anchor>
          <Comment id="{0ed22a62-5ee3-4e7e-99c2-ae2a17f8a40c}"/>
        </Anchor>
        <Assign userId="isabel@coryhometeam.com" userName="isabel@coryhometeam.com" userProvider="google-sheets"/>
      </Event>
    </History>
  </Task>
  <Task id="{0230c235-f5a2-4e6d-b844-8e8f860949a7}">
    <Anchor>
      <Comment id="{07e4b77b-baa7-446c-a365-ea028af5f485}"/>
    </Anchor>
    <History>
      <Event time="2025-05-13T12:27:00.00" id="{ab027027-41d4-4fd6-ba5b-9bce6bbcb2d5}">
        <Attribution userId="placeholder@email.com" userName="Rafael Bernardo" userProvider="google-sheets"/>
        <Anchor>
          <Comment id="{07e4b77b-baa7-446c-a365-ea028af5f485}"/>
        </Anchor>
        <Create/>
      </Event>
      <Event time="2025-05-13T12:27:00.00" id="{75ae0171-fbb6-4f1b-a019-fd4b4f96394b}">
        <Attribution userId="placeholder@email.com" userName="Rafael Bernardo" userProvider="google-sheets"/>
        <Anchor>
          <Comment id="{07e4b77b-baa7-446c-a365-ea028af5f485}"/>
        </Anchor>
        <Assign userId="isabel@coryhometeam.com" userName="isabel@coryhometeam.com" userProvider="google-sheets"/>
      </Event>
    </History>
  </Task>
  <Task id="{0bbe2e03-508e-4e16-ae6e-8fe42fc050cb}">
    <Anchor>
      <Comment id="{e56051e7-9fea-4d01-8291-6bbd4e4c0d80}"/>
    </Anchor>
    <History>
      <Event time="2025-10-16T23:25:19.00" id="{26194910-3e57-4b56-8ccc-fe381110b21c}">
        <Attribution userId="placeholder@email.com" userName="Jam Bernardo" userProvider="google-sheets"/>
        <Anchor>
          <Comment id="{e56051e7-9fea-4d01-8291-6bbd4e4c0d80}"/>
        </Anchor>
        <Create/>
      </Event>
      <Event time="2025-10-16T23:25:19.00" id="{3c9c6b96-608c-483c-aad1-936a4b51ad2c}">
        <Attribution userId="placeholder@email.com" userName="Jam Bernardo" userProvider="google-sheets"/>
        <Anchor>
          <Comment id="{e56051e7-9fea-4d01-8291-6bbd4e4c0d80}"/>
        </Anchor>
        <Assign userId="isabel@coryhometeam.com" userName="isabel@coryhometeam.com" userProvider="google-sheets"/>
      </Event>
    </History>
  </Task>
  <Task id="{50e3854b-070a-4b94-b64a-a180d1601220}">
    <Anchor>
      <Comment id="{b08dd57f-a5fe-4683-9f3c-cc5cd9f10b95}"/>
    </Anchor>
    <History>
      <Event time="2025-01-03T16:37:27.00" id="{019d5f88-b83c-431e-b367-86e62875815d}">
        <Attribution userId="placeholder@email.com" userName="Jam Bernardo" userProvider="google-sheets"/>
        <Anchor>
          <Comment id="{b08dd57f-a5fe-4683-9f3c-cc5cd9f10b95}"/>
        </Anchor>
        <Create/>
      </Event>
      <Event time="2025-01-03T16:37:27.00" id="{8a51ee97-558a-4b61-a6a2-5580b7db4763}">
        <Attribution userId="placeholder@email.com" userName="Jam Bernardo" userProvider="google-sheets"/>
        <Anchor>
          <Comment id="{b08dd57f-a5fe-4683-9f3c-cc5cd9f10b95}"/>
        </Anchor>
        <Assign userId="isabel@coryhometeam.com" userName="isabel@coryhometeam.com" userProvider="google-sheets"/>
      </Event>
    </History>
  </Task>
  <Task id="{f7f82b5f-3575-4dff-be98-d9266d597a17}">
    <Anchor>
      <Comment id="{a979def0-0746-43c3-bdaf-4a6ebb155354}"/>
    </Anchor>
    <History>
      <Event time="2025-01-22T16:27:13.00" id="{1a520ea8-93f3-403d-8332-afbc1dd21e27}">
        <Attribution userId="placeholder@email.com" userName="Rafael Bernardo" userProvider="google-sheets"/>
        <Anchor>
          <Comment id="{a979def0-0746-43c3-bdaf-4a6ebb155354}"/>
        </Anchor>
        <Create/>
      </Event>
      <Event time="2025-01-22T16:27:13.00" id="{56c4cb4f-7d17-40e1-8126-078713d4441d}">
        <Attribution userId="placeholder@email.com" userName="Rafael Bernardo" userProvider="google-sheets"/>
        <Anchor>
          <Comment id="{a979def0-0746-43c3-bdaf-4a6ebb155354}"/>
        </Anchor>
        <Assign userId="isabel@coryhometeam.com" userName="isabel@coryhometeam.com" userProvider="google-sheets"/>
      </Event>
    </History>
  </Task>
  <Task id="{8b36be6b-4349-4eda-ab3b-3076db18c99c}">
    <Anchor>
      <Comment id="{675ad8d1-46d7-49dd-83da-7636f3e8ffc8}"/>
    </Anchor>
    <History>
      <Event time="2025-09-23T00:36:58.00" id="{93dca131-1683-4621-b009-91f033822a56}">
        <Attribution userId="placeholder@email.com" userName="Jam Bernardo" userProvider="google-sheets"/>
        <Anchor>
          <Comment id="{675ad8d1-46d7-49dd-83da-7636f3e8ffc8}"/>
        </Anchor>
        <Create/>
      </Event>
      <Event time="2025-09-23T00:36:58.00" id="{c07bafa3-2ad4-4439-91b3-a2aa1ce9c360}">
        <Attribution userId="placeholder@email.com" userName="Jam Bernardo" userProvider="google-sheets"/>
        <Anchor>
          <Comment id="{675ad8d1-46d7-49dd-83da-7636f3e8ffc8}"/>
        </Anchor>
        <Assign userId="isabel@coryhometeam.com" userName="isabel@coryhometeam.com" userProvider="google-sheets"/>
      </Event>
    </History>
  </Task>
  <Task id="{81079ab1-0ecb-4a41-9d62-35ac9d5c6079}">
    <Anchor>
      <Comment id="{33c313a4-8e78-4969-8a45-e2c57e31c773}"/>
    </Anchor>
    <History>
      <Event time="2025-06-26T18:03:20.00" id="{679b0007-b0f8-44be-a214-76d2909c0f54}">
        <Attribution userId="placeholder@email.com" userName="Jam Bernardo" userProvider="google-sheets"/>
        <Anchor>
          <Comment id="{33c313a4-8e78-4969-8a45-e2c57e31c773}"/>
        </Anchor>
        <Create/>
      </Event>
      <Event time="2025-06-26T18:03:20.00" id="{19e20a04-d36b-4ae7-a4e4-9827e8be39d3}">
        <Attribution userId="placeholder@email.com" userName="Jam Bernardo" userProvider="google-sheets"/>
        <Anchor>
          <Comment id="{33c313a4-8e78-4969-8a45-e2c57e31c773}"/>
        </Anchor>
        <Assign userId="isabel@coryhometeam.com" userName="isabel@coryhometeam.com" userProvider="google-sheets"/>
      </Event>
    </History>
  </Task>
  <Task id="{0a63967f-0623-4af1-b87a-4499c74e333d}">
    <Anchor>
      <Comment id="{c156b7ae-1942-47db-9837-796753646a00}"/>
    </Anchor>
    <History>
      <Event time="2025-01-03T16:26:02.00" id="{8dd98a40-b879-4913-89e8-d2ff46f65bba}">
        <Attribution userId="placeholder@email.com" userName="Rafael Bernardo" userProvider="google-sheets"/>
        <Anchor>
          <Comment id="{c156b7ae-1942-47db-9837-796753646a00}"/>
        </Anchor>
        <Create/>
      </Event>
      <Event time="2025-01-03T16:26:02.00" id="{b638ed42-5243-49c0-9d0d-46ac68375fd7}">
        <Attribution userId="placeholder@email.com" userName="Rafael Bernardo" userProvider="google-sheets"/>
        <Anchor>
          <Comment id="{c156b7ae-1942-47db-9837-796753646a00}"/>
        </Anchor>
        <Assign userId="isabel@coryhometeam.com" userName="isabel@coryhometeam.com" userProvider="google-sheets"/>
      </Event>
    </History>
  </Task>
  <Task id="{ad16f59e-41b2-4e57-9f80-dd1b4abdcd7c}">
    <Anchor>
      <Comment id="{7f7a9804-8a30-4042-bba6-d60896ac3309}"/>
    </Anchor>
    <History>
      <Event time="2025-06-26T20:41:50.00" id="{535e6884-9c0e-492a-807f-bdf3f464a230}">
        <Attribution userId="placeholder@email.com" userName="Rafael Bernardo" userProvider="google-sheets"/>
        <Anchor>
          <Comment id="{7f7a9804-8a30-4042-bba6-d60896ac3309}"/>
        </Anchor>
        <Create/>
      </Event>
      <Event time="2025-06-26T20:41:50.00" id="{201c80b6-a216-47ff-a44c-0ce3bf82d6b3}">
        <Attribution userId="placeholder@email.com" userName="Rafael Bernardo" userProvider="google-sheets"/>
        <Anchor>
          <Comment id="{7f7a9804-8a30-4042-bba6-d60896ac3309}"/>
        </Anchor>
        <Assign userId="isabel@coryhometeam.com" userName="isabel@coryhometeam.com" userProvider="google-sheets"/>
      </Event>
    </History>
  </Task>
  <Task id="{d6c1ffbf-3bdd-4903-aab1-59beda2af5ac}">
    <Anchor>
      <Comment id="{2e7ed732-bf5a-4c41-b875-b467df30f052}"/>
    </Anchor>
    <History>
      <Event time="2025-06-26T20:45:57.00" id="{0206d3b8-214b-4c97-82b1-37e79ea26242}">
        <Attribution userId="placeholder@email.com" userName="Rafael Bernardo" userProvider="google-sheets"/>
        <Anchor>
          <Comment id="{2e7ed732-bf5a-4c41-b875-b467df30f052}"/>
        </Anchor>
        <Create/>
      </Event>
      <Event time="2025-06-26T20:45:57.00" id="{d068b926-1d5f-448c-b341-9556cf41f6fe}">
        <Attribution userId="placeholder@email.com" userName="Rafael Bernardo" userProvider="google-sheets"/>
        <Anchor>
          <Comment id="{2e7ed732-bf5a-4c41-b875-b467df30f052}"/>
        </Anchor>
        <Assign userId="isabel@coryhometeam.com" userName="isabel@coryhometeam.com" userProvider="google-sheets"/>
      </Event>
    </History>
  </Task>
  <Task id="{763c233e-8cbb-4bbd-8baa-af53baa61426}">
    <Anchor>
      <Comment id="{f0e6eefd-8c0f-452c-8533-fbe5983d35dd}"/>
    </Anchor>
    <History>
      <Event time="2025-05-30T16:54:56.00" id="{ceb1605d-b072-494d-83a3-d4e7796c1f5d}">
        <Attribution userId="placeholder@email.com" userName="Jam Bernardo" userProvider="google-sheets"/>
        <Anchor>
          <Comment id="{f0e6eefd-8c0f-452c-8533-fbe5983d35dd}"/>
        </Anchor>
        <Create/>
      </Event>
      <Event time="2025-05-30T16:54:56.00" id="{57e41117-959a-4596-9851-6ce75acc7708}">
        <Attribution userId="placeholder@email.com" userName="Jam Bernardo" userProvider="google-sheets"/>
        <Anchor>
          <Comment id="{f0e6eefd-8c0f-452c-8533-fbe5983d35dd}"/>
        </Anchor>
        <Assign userId="isabel@coryhometeam.com" userName="isabel@coryhometeam.com" userProvider="google-sheets"/>
      </Event>
    </History>
  </Task>
  <Task id="{f0d5247b-7b5b-414f-80cc-94dc933f02fa}">
    <Anchor>
      <Comment id="{3fa8a36e-98ea-43e4-a541-879aa16755f0}"/>
    </Anchor>
    <History>
      <Event time="2025-06-10T22:10:42.00" id="{b58d1959-bf4f-454e-9867-5c1552ddabfd}">
        <Attribution userId="placeholder@email.com" userName="Rafael Bernardo" userProvider="google-sheets"/>
        <Anchor>
          <Comment id="{3fa8a36e-98ea-43e4-a541-879aa16755f0}"/>
        </Anchor>
        <Create/>
      </Event>
      <Event time="2025-06-10T22:10:42.00" id="{a0388534-2d30-4f19-83a3-74fc6091f482}">
        <Attribution userId="placeholder@email.com" userName="Rafael Bernardo" userProvider="google-sheets"/>
        <Anchor>
          <Comment id="{3fa8a36e-98ea-43e4-a541-879aa16755f0}"/>
        </Anchor>
        <Assign userId="isabel@coryhometeam.com" userName="isabel@coryhometeam.com" userProvider="google-sheets"/>
      </Event>
    </History>
  </Task>
  <Task id="{f55fae18-3a62-4015-bd62-888a2b2c4b78}">
    <Anchor>
      <Comment id="{ada11b1f-17ab-4c55-af34-11e9162a2674}"/>
    </Anchor>
    <History>
      <Event time="2026-05-26T20:14:11.00" id="{574cdff8-3578-4e4f-8f38-523918dbae1b}">
        <Attribution userId="placeholder@email.com" userName="Rafael Bernardo" userProvider="google-sheets"/>
        <Anchor>
          <Comment id="{ada11b1f-17ab-4c55-af34-11e9162a2674}"/>
        </Anchor>
        <Create/>
      </Event>
      <Event time="2026-05-26T20:14:11.00" id="{be8182c9-1209-4c7c-b4ee-a049e6f05b29}">
        <Attribution userId="placeholder@email.com" userName="Rafael Bernardo" userProvider="google-sheets"/>
        <Anchor>
          <Comment id="{ada11b1f-17ab-4c55-af34-11e9162a2674}"/>
        </Anchor>
        <Assign userId="isabel@coryhometeam.com" userName="isabel@coryhometeam.com" userProvider="google-sheets"/>
      </Event>
    </History>
  </Task>
  <Task id="{4dda8ddd-b2d3-4d16-9365-a530ebf343f9}">
    <Anchor>
      <Comment id="{aa5f6c4c-58ad-4476-aa3a-caf2b76e9d25}"/>
    </Anchor>
    <History>
      <Event time="2025-06-10T22:10:32.00" id="{a1700489-8560-44a0-aeb9-b84fd5322520}">
        <Attribution userId="placeholder@email.com" userName="Rafael Bernardo" userProvider="google-sheets"/>
        <Anchor>
          <Comment id="{aa5f6c4c-58ad-4476-aa3a-caf2b76e9d25}"/>
        </Anchor>
        <Create/>
      </Event>
      <Event time="2025-06-10T22:10:32.00" id="{83fd8e60-29e6-40fd-a029-3b65edb44424}">
        <Attribution userId="placeholder@email.com" userName="Rafael Bernardo" userProvider="google-sheets"/>
        <Anchor>
          <Comment id="{aa5f6c4c-58ad-4476-aa3a-caf2b76e9d25}"/>
        </Anchor>
        <Assign userId="isabel@coryhometeam.com" userName="isabel@coryhometeam.com" userProvider="google-sheets"/>
      </Event>
    </History>
  </Task>
  <Task id="{06113863-f3be-4a6c-a1a3-53bbe0043b9a}">
    <Anchor>
      <Comment id="{70ab1efb-e5ea-4c36-9fb2-d1095099e363}"/>
    </Anchor>
    <History>
      <Event time="2025-05-16T23:56:52.00" id="{602fc912-fc92-4acd-8278-d95419ecbbb0}">
        <Attribution userId="placeholder@email.com" userName="Jam Bernardo" userProvider="google-sheets"/>
        <Anchor>
          <Comment id="{70ab1efb-e5ea-4c36-9fb2-d1095099e363}"/>
        </Anchor>
        <Create/>
      </Event>
      <Event time="2025-05-16T23:56:52.00" id="{5656e8e4-eb8c-4f67-bf74-9efdeff8afbd}">
        <Attribution userId="placeholder@email.com" userName="Jam Bernardo" userProvider="google-sheets"/>
        <Anchor>
          <Comment id="{70ab1efb-e5ea-4c36-9fb2-d1095099e363}"/>
        </Anchor>
        <Assign userId="isabel@coryhometeam.com" userName="isabel@coryhometeam.com" userProvider="google-sheets"/>
      </Event>
    </History>
  </Task>
  <Task id="{cc4d8f83-4d9f-47b4-aba0-1f638c49895f}">
    <Anchor>
      <Comment id="{aef12b25-8f45-45e7-8316-eb15ea77fb8a}"/>
    </Anchor>
    <History>
      <Event time="2025-01-14T23:05:29.00" id="{432836ec-0a1f-40f3-9ba8-3ee1aff3d0ce}">
        <Attribution userId="placeholder@email.com" userName="Remy Victoria" userProvider="google-sheets"/>
        <Anchor>
          <Comment id="{aef12b25-8f45-45e7-8316-eb15ea77fb8a}"/>
        </Anchor>
        <Create/>
      </Event>
      <Event time="2025-01-14T23:05:29.00" id="{e47b45d7-dff8-4976-8bc1-d54e1455a463}">
        <Attribution userId="placeholder@email.com" userName="Remy Victoria" userProvider="google-sheets"/>
        <Anchor>
          <Comment id="{aef12b25-8f45-45e7-8316-eb15ea77fb8a}"/>
        </Anchor>
        <Assign userId="kenia@coryhometeam.com" userName="kenia@coryhometeam.com" userProvider="google-sheets"/>
      </Event>
    </History>
  </Task>
  <Task id="{6832c723-be20-42ea-8061-0f90753d7b58}">
    <Anchor>
      <Comment id="{6091b86d-8f1f-4725-be91-c87ef3086f58}"/>
    </Anchor>
    <History>
      <Event time="2025-10-21T17:41:03.00" id="{a4481561-c96e-4530-83a2-5f5c13e7522e}">
        <Attribution userId="placeholder@email.com" userName="Jam Bernardo" userProvider="google-sheets"/>
        <Anchor>
          <Comment id="{6091b86d-8f1f-4725-be91-c87ef3086f58}"/>
        </Anchor>
        <Create/>
      </Event>
      <Event time="2025-10-21T17:41:03.00" id="{168a4329-8649-4843-bf31-d1a97b1dc35a}">
        <Attribution userId="placeholder@email.com" userName="Jam Bernardo" userProvider="google-sheets"/>
        <Anchor>
          <Comment id="{6091b86d-8f1f-4725-be91-c87ef3086f58}"/>
        </Anchor>
        <Assign userId="isabel@coryhometeam.com" userName="isabel@coryhometeam.com" userProvider="google-sheets"/>
      </Event>
    </History>
  </Task>
  <Task id="{defb75c7-749f-44d3-874e-917d05a7669b}">
    <Anchor>
      <Comment id="{57785e44-a51a-42ae-9799-b2764e71797f}"/>
    </Anchor>
    <History>
      <Event time="2025-09-25T06:37:19.00" id="{b2dff143-5ade-4022-bb24-71b033757ca3}">
        <Attribution userId="placeholder@email.com" userName="Rafael Bernardo" userProvider="google-sheets"/>
        <Anchor>
          <Comment id="{57785e44-a51a-42ae-9799-b2764e71797f}"/>
        </Anchor>
        <Create/>
      </Event>
      <Event time="2025-09-25T06:37:19.00" id="{251ee243-f43c-4a79-a5a0-392f769985a0}">
        <Attribution userId="placeholder@email.com" userName="Rafael Bernardo" userProvider="google-sheets"/>
        <Anchor>
          <Comment id="{57785e44-a51a-42ae-9799-b2764e71797f}"/>
        </Anchor>
        <Assign userId="isabel@coryhometeam.com" userName="isabel@coryhometeam.com" userProvider="google-sheets"/>
      </Event>
    </History>
  </Task>
  <Task id="{d8719d99-530d-44eb-bdfb-7987172a2c8e}">
    <Anchor>
      <Comment id="{7467ffac-a9ea-4855-bd44-ba7795a9f479}"/>
    </Anchor>
    <History>
      <Event time="2025-02-05T00:15:51.00" id="{49717f55-8720-4b07-95e1-9db098dcf6e4}">
        <Attribution userId="placeholder@email.com" userName="Jam Bernardo" userProvider="google-sheets"/>
        <Anchor>
          <Comment id="{7467ffac-a9ea-4855-bd44-ba7795a9f479}"/>
        </Anchor>
        <Create/>
      </Event>
      <Event time="2025-02-05T00:15:51.00" id="{bcf284fb-bb0c-424c-b023-84565a99642f}">
        <Attribution userId="placeholder@email.com" userName="Jam Bernardo" userProvider="google-sheets"/>
        <Anchor>
          <Comment id="{7467ffac-a9ea-4855-bd44-ba7795a9f479}"/>
        </Anchor>
        <Assign userId="isabel@coryhometeam.com" userName="isabel@coryhometeam.com" userProvider="google-sheets"/>
      </Event>
    </History>
  </Task>
  <Task id="{48b826e3-aa87-4dc9-9766-f389b3dd2ad1}">
    <Anchor>
      <Comment id="{65da16c7-a3bd-4724-a7a2-85e472f49d32}"/>
    </Anchor>
    <History>
      <Event time="2025-02-03T22:59:56.00" id="{dec77a91-b74a-4330-838b-b6a173d7de51}">
        <Attribution userId="placeholder@email.com" userName="Jam Bernardo" userProvider="google-sheets"/>
        <Anchor>
          <Comment id="{65da16c7-a3bd-4724-a7a2-85e472f49d32}"/>
        </Anchor>
        <Create/>
      </Event>
      <Event time="2025-02-03T22:59:56.00" id="{a10044db-6763-420d-9e98-4ef97e628112}">
        <Attribution userId="placeholder@email.com" userName="Jam Bernardo" userProvider="google-sheets"/>
        <Anchor>
          <Comment id="{65da16c7-a3bd-4724-a7a2-85e472f49d32}"/>
        </Anchor>
        <Assign userId="isabel@coryhometeam.com" userName="isabel@coryhometeam.com" userProvider="google-sheets"/>
      </Event>
    </History>
  </Task>
  <Task id="{7c1fbbd0-035b-4ea4-83bd-c838538866b9}">
    <Anchor>
      <Comment id="{29d4361d-5d64-4471-b59c-48220f327771}"/>
    </Anchor>
    <History>
      <Event time="2025-03-13T19:38:03.00" id="{a1fb0568-109e-4fa6-a23a-34b705515818}">
        <Attribution userId="placeholder@email.com" userName="Rafael Bernardo" userProvider="google-sheets"/>
        <Anchor>
          <Comment id="{29d4361d-5d64-4471-b59c-48220f327771}"/>
        </Anchor>
        <Create/>
      </Event>
      <Event time="2025-03-13T19:38:03.00" id="{6e2fcb70-8939-4c88-9e3f-d9999079111b}">
        <Attribution userId="placeholder@email.com" userName="Rafael Bernardo" userProvider="google-sheets"/>
        <Anchor>
          <Comment id="{29d4361d-5d64-4471-b59c-48220f327771}"/>
        </Anchor>
        <Assign userId="isabel@coryhometeam.com" userName="isabel@coryhometeam.com" userProvider="google-sheets"/>
      </Event>
    </History>
  </Task>
  <Task id="{be87ea7c-2f5b-44f0-87ed-81ac1b10fa6d}">
    <Anchor>
      <Comment id="{3a105ffb-f7f4-4fa0-8403-6214d71f78b4}"/>
    </Anchor>
    <History>
      <Event time="2025-10-13T12:40:34.00" id="{f072b29f-32a1-41ff-ba3c-fb053648338f}">
        <Attribution userId="placeholder@email.com" userName="Rafael Bernardo" userProvider="google-sheets"/>
        <Anchor>
          <Comment id="{3a105ffb-f7f4-4fa0-8403-6214d71f78b4}"/>
        </Anchor>
        <Create/>
      </Event>
      <Event time="2025-10-13T12:40:34.00" id="{cfe4b51d-a150-4164-b45b-d408df2f2175}">
        <Attribution userId="placeholder@email.com" userName="Rafael Bernardo" userProvider="google-sheets"/>
        <Anchor>
          <Comment id="{3a105ffb-f7f4-4fa0-8403-6214d71f78b4}"/>
        </Anchor>
        <Assign userId="isabel@coryhometeam.com" userName="isabel@coryhometeam.com" userProvider="google-sheets"/>
      </Event>
    </History>
  </Task>
  <Task id="{07c91abd-bba5-4c91-9b96-db6cfc727633}">
    <Anchor>
      <Comment id="{45568cec-707c-47a7-b5c5-71e632bfbf44}"/>
    </Anchor>
    <History>
      <Event time="2025-02-05T00:18:30.00" id="{88d50286-001c-4471-a9ba-b9929c82a577}">
        <Attribution userId="placeholder@email.com" userName="Jam Bernardo" userProvider="google-sheets"/>
        <Anchor>
          <Comment id="{45568cec-707c-47a7-b5c5-71e632bfbf44}"/>
        </Anchor>
        <Create/>
      </Event>
      <Event time="2025-02-05T00:18:30.00" id="{7d709582-a414-4ad1-b969-1e444c309ae0}">
        <Attribution userId="placeholder@email.com" userName="Jam Bernardo" userProvider="google-sheets"/>
        <Anchor>
          <Comment id="{45568cec-707c-47a7-b5c5-71e632bfbf44}"/>
        </Anchor>
        <Assign userId="isabel@coryhometeam.com" userName="isabel@coryhometeam.com" userProvider="google-sheets"/>
      </Event>
    </History>
  </Task>
  <Task id="{e6ff5f5f-43ed-40ca-b0fd-39c455939695}">
    <Anchor>
      <Comment id="{4deb8098-8be5-443b-b02e-5f801f768643}"/>
    </Anchor>
    <History>
      <Event time="2025-12-05T00:26:28.00" id="{f614db6f-96d5-458a-a436-b79230a094ce}">
        <Attribution userId="placeholder@email.com" userName="Jam Bernardo" userProvider="google-sheets"/>
        <Anchor>
          <Comment id="{4deb8098-8be5-443b-b02e-5f801f768643}"/>
        </Anchor>
        <Create/>
      </Event>
      <Event time="2025-12-05T00:26:28.00" id="{3d578309-362b-4949-81cb-2d1230e4d113}">
        <Attribution userId="placeholder@email.com" userName="Jam Bernardo" userProvider="google-sheets"/>
        <Anchor>
          <Comment id="{4deb8098-8be5-443b-b02e-5f801f768643}"/>
        </Anchor>
        <Assign userId="isabel@coryhometeam.com" userName="isabel@coryhometeam.com" userProvider="google-sheets"/>
      </Event>
    </History>
  </Task>
  <Task id="{c5d9ce53-5721-47c8-be91-b4f097434344}">
    <Anchor>
      <Comment id="{b9e8688b-0947-4c88-95c8-b07a1346e25b}"/>
    </Anchor>
    <History>
      <Event time="2025-10-30T21:10:56.00" id="{cf52d574-554f-4a0f-8d5e-174eb8973a50}">
        <Attribution userId="placeholder@email.com" userName="Isabel Delmo" userProvider="google-sheets"/>
        <Anchor>
          <Comment id="{b9e8688b-0947-4c88-95c8-b07a1346e25b}"/>
        </Anchor>
        <Create/>
      </Event>
      <Event time="2025-10-30T21:10:56.00" id="{e15d3895-7865-4011-92a4-c84952016088}">
        <Attribution userId="placeholder@email.com" userName="Isabel Delmo" userProvider="google-sheets"/>
        <Anchor>
          <Comment id="{b9e8688b-0947-4c88-95c8-b07a1346e25b}"/>
        </Anchor>
        <Assign userId="alexis@coryhometeam.com" userName="alexis@coryhometeam.com" userProvider="google-sheets"/>
      </Event>
    </History>
  </Task>
  <Task id="{c2e34c62-0ff8-47d5-8784-89ea1cbd9534}">
    <Anchor>
      <Comment id="{9f0562a5-3cdd-4017-a053-f169781652c4}"/>
    </Anchor>
    <History>
      <Event time="2025-12-04T22:47:01.00" id="{17b15d61-9f49-4610-87e9-7ad88a901064}">
        <Attribution userId="placeholder@email.com" userName="Rafael Bernardo" userProvider="google-sheets"/>
        <Anchor>
          <Comment id="{9f0562a5-3cdd-4017-a053-f169781652c4}"/>
        </Anchor>
        <Create/>
      </Event>
      <Event time="2025-12-04T22:47:01.00" id="{96953b28-fa08-4fad-89d6-e5510802dac7}">
        <Attribution userId="placeholder@email.com" userName="Rafael Bernardo" userProvider="google-sheets"/>
        <Anchor>
          <Comment id="{9f0562a5-3cdd-4017-a053-f169781652c4}"/>
        </Anchor>
        <Assign userId="isabel@coryhometeam.com" userName="isabel@coryhometeam.com" userProvider="google-sheets"/>
      </Event>
    </History>
  </Task>
  <Task id="{75dfa2a6-c4d4-41ec-8f51-205376c34fc9}">
    <Anchor>
      <Comment id="{e92158b5-1d8c-4816-b123-e96183b8cbf8}"/>
    </Anchor>
    <History>
      <Event time="2025-02-04T01:34:03.00" id="{cc888f1c-f4a3-4037-a804-3f0cdfae9b15}">
        <Attribution userId="placeholder@email.com" userName="Alexis Cassidy" userProvider="google-sheets"/>
        <Anchor>
          <Comment id="{e92158b5-1d8c-4816-b123-e96183b8cbf8}"/>
        </Anchor>
        <Create/>
      </Event>
      <Event time="2025-02-04T01:34:03.00" id="{63e9d661-3d27-4b2b-ab23-e1d3182fe078}">
        <Attribution userId="placeholder@email.com" userName="Alexis Cassidy" userProvider="google-sheets"/>
        <Anchor>
          <Comment id="{e92158b5-1d8c-4816-b123-e96183b8cbf8}"/>
        </Anchor>
        <Assign userId="kenia@coryhometeam.com" userName="kenia@coryhometeam.com" userProvider="google-sheets"/>
      </Event>
    </History>
  </Task>
  <Task id="{243a2f24-5b30-41a7-a6a9-d0a790395a4f}">
    <Anchor>
      <Comment id="{3104fa43-8d5e-428b-9484-93ef945cd688}"/>
    </Anchor>
    <History>
      <Event time="2025-03-18T12:58:14.00" id="{6683389b-eee3-4753-b735-a5df854e4ef7}">
        <Attribution userId="placeholder@email.com" userName="Rafael Bernardo" userProvider="google-sheets"/>
        <Anchor>
          <Comment id="{3104fa43-8d5e-428b-9484-93ef945cd688}"/>
        </Anchor>
        <Create/>
      </Event>
      <Event time="2025-03-18T12:58:14.00" id="{4d3f14bb-a527-4d8a-b8a7-36f2b5f04f2e}">
        <Attribution userId="placeholder@email.com" userName="Rafael Bernardo" userProvider="google-sheets"/>
        <Anchor>
          <Comment id="{3104fa43-8d5e-428b-9484-93ef945cd688}"/>
        </Anchor>
        <Assign userId="isabel@coryhometeam.com" userName="isabel@coryhometeam.com" userProvider="google-sheets"/>
      </Event>
    </History>
  </Task>
  <Task id="{7fa8b66b-40ed-4691-8b3f-0d110415ba16}">
    <Anchor>
      <Comment id="{fcc3a908-9170-4c12-bdd5-48573f21c1f2}"/>
    </Anchor>
    <History>
      <Event time="2025-01-16T17:33:34.00" id="{e4da250e-55c0-466a-bb99-a536a53cfa11}">
        <Attribution userId="placeholder@email.com" userName="Rafael Bernardo" userProvider="google-sheets"/>
        <Anchor>
          <Comment id="{fcc3a908-9170-4c12-bdd5-48573f21c1f2}"/>
        </Anchor>
        <Create/>
      </Event>
      <Event time="2025-01-16T17:33:34.00" id="{1c5b8bdc-51c6-4818-a6ac-a1bfc16a91b1}">
        <Attribution userId="placeholder@email.com" userName="Rafael Bernardo" userProvider="google-sheets"/>
        <Anchor>
          <Comment id="{fcc3a908-9170-4c12-bdd5-48573f21c1f2}"/>
        </Anchor>
        <Assign userId="isabel@coryhometeam.com" userName="isabel@coryhometeam.com" userProvider="google-sheets"/>
      </Event>
    </History>
  </Task>
  <Task id="{a0a83105-b009-4d6b-9a29-5fb0699dc2e0}">
    <Anchor>
      <Comment id="{f37bf4ec-5100-4875-8945-3052937fbdfc}"/>
    </Anchor>
    <History>
      <Event time="2025-10-21T16:27:15.00" id="{bfb4abde-215b-4a6e-bdb4-3d2f52b91569}">
        <Attribution userId="placeholder@email.com" userName="Rafael Bernardo" userProvider="google-sheets"/>
        <Anchor>
          <Comment id="{f37bf4ec-5100-4875-8945-3052937fbdfc}"/>
        </Anchor>
        <Create/>
      </Event>
      <Event time="2025-10-21T16:27:15.00" id="{ccbed1a1-da9e-4876-9770-d2d537b1328b}">
        <Attribution userId="placeholder@email.com" userName="Rafael Bernardo" userProvider="google-sheets"/>
        <Anchor>
          <Comment id="{f37bf4ec-5100-4875-8945-3052937fbdfc}"/>
        </Anchor>
        <Assign userId="isabel@coryhometeam.com" userName="isabel@coryhometeam.com" userProvider="google-sheets"/>
      </Event>
    </History>
  </Task>
  <Task id="{38a1ece5-39d2-4197-bdf9-37d9312c991e}">
    <Anchor>
      <Comment id="{766d5390-88ad-4162-af7b-4ac2aefd6b81}"/>
    </Anchor>
    <History>
      <Event time="2025-07-15T17:33:07.00" id="{f90c5e44-7d45-4048-9a92-823827c31636}">
        <Attribution userId="placeholder@email.com" userName="Kenia Bautista" userProvider="google-sheets"/>
        <Anchor>
          <Comment id="{766d5390-88ad-4162-af7b-4ac2aefd6b81}"/>
        </Anchor>
        <Create/>
      </Event>
      <Event time="2025-07-15T17:33:07.00" id="{fd710535-de68-466f-ba09-d5a0eb44f2c9}">
        <Attribution userId="placeholder@email.com" userName="Kenia Bautista" userProvider="google-sheets"/>
        <Anchor>
          <Comment id="{766d5390-88ad-4162-af7b-4ac2aefd6b81}"/>
        </Anchor>
        <Assign userId="isabel@coryhometeam.com" userName="isabel@coryhometeam.com" userProvider="google-sheets"/>
      </Event>
    </History>
  </Task>
  <Task id="{884bcec9-3624-4b90-8f4c-02188e37aba9}">
    <Anchor>
      <Comment id="{5a30357b-a982-4bc4-ae4d-773a81bb9a85}"/>
    </Anchor>
    <History>
      <Event time="2025-04-11T19:38:50.00" id="{bfcc0f76-cb30-49ca-a908-46abe1c4681d}">
        <Attribution userId="placeholder@email.com" userName="Jam Bernardo" userProvider="google-sheets"/>
        <Anchor>
          <Comment id="{5a30357b-a982-4bc4-ae4d-773a81bb9a85}"/>
        </Anchor>
        <Create/>
      </Event>
      <Event time="2025-04-11T19:38:50.00" id="{963edc79-407b-4ecc-8a8b-8a147c6a5d8d}">
        <Attribution userId="placeholder@email.com" userName="Jam Bernardo" userProvider="google-sheets"/>
        <Anchor>
          <Comment id="{5a30357b-a982-4bc4-ae4d-773a81bb9a85}"/>
        </Anchor>
        <Assign userId="isabel@coryhometeam.com" userName="isabel@coryhometeam.com" userProvider="google-sheets"/>
      </Event>
    </History>
  </Task>
  <Task id="{952dc062-d8a3-44c2-a305-c1c6ba65bc8a}">
    <Anchor>
      <Comment id="{fa8ca91b-4677-4c82-a524-efd15a402f63}"/>
    </Anchor>
    <History>
      <Event time="2025-08-26T06:02:23.00" id="{647cbf61-720a-401e-8939-3c32963babf5}">
        <Attribution userId="placeholder@email.com" userName="Remy Victoria" userProvider="google-sheets"/>
        <Anchor>
          <Comment id="{fa8ca91b-4677-4c82-a524-efd15a402f63}"/>
        </Anchor>
        <Create/>
      </Event>
      <Event time="2025-08-26T06:02:23.00" id="{487e4811-9d06-4662-ba13-d186a57185e6}">
        <Attribution userId="placeholder@email.com" userName="Remy Victoria" userProvider="google-sheets"/>
        <Anchor>
          <Comment id="{fa8ca91b-4677-4c82-a524-efd15a402f63}"/>
        </Anchor>
        <Assign userId="alexis@coryhometeam.com" userName="alexis@coryhometeam.com" userProvider="google-sheets"/>
      </Event>
    </History>
  </Task>
  <Task id="{15278d7f-fa40-4600-8f26-9c1d71110343}">
    <Anchor>
      <Comment id="{1c4f305f-3ddc-4614-b3f6-b971145f827f}"/>
    </Anchor>
    <History>
      <Event time="2025-01-02T04:17:51.00" id="{aa1356c4-cfd0-4953-b164-9d0567c7a4f7}">
        <Attribution userId="placeholder@email.com" userName="Aileen Munoz" userProvider="google-sheets"/>
        <Anchor>
          <Comment id="{1c4f305f-3ddc-4614-b3f6-b971145f827f}"/>
        </Anchor>
        <Create/>
      </Event>
      <Event time="2025-01-02T04:17:51.00" id="{c412cca2-ad6a-44de-b27a-d1916daebbd8}">
        <Attribution userId="placeholder@email.com" userName="Aileen Munoz" userProvider="google-sheets"/>
        <Anchor>
          <Comment id="{1c4f305f-3ddc-4614-b3f6-b971145f827f}"/>
        </Anchor>
        <Assign userId="rafael@coryhometeam.com" userName="rafael@coryhometeam.com" userProvider="google-sheets"/>
      </Event>
    </History>
  </Task>
  <Task id="{2f6ac06b-a988-4c89-99b2-6ff277d1a752}">
    <Anchor>
      <Comment id="{477b8aad-06b0-4ee1-8a69-c9674c13274e}"/>
    </Anchor>
    <History>
      <Event time="2025-01-28T19:14:30.00" id="{ab2cf72b-7590-407a-b00a-9fe3ce5eaea7}">
        <Attribution userId="placeholder@email.com" userName="Rafael Bernardo" userProvider="google-sheets"/>
        <Anchor>
          <Comment id="{477b8aad-06b0-4ee1-8a69-c9674c13274e}"/>
        </Anchor>
        <Create/>
      </Event>
      <Event time="2025-01-28T19:14:30.00" id="{d618bbdf-2e9c-42d9-b288-d66b7c937bf2}">
        <Attribution userId="placeholder@email.com" userName="Rafael Bernardo" userProvider="google-sheets"/>
        <Anchor>
          <Comment id="{477b8aad-06b0-4ee1-8a69-c9674c13274e}"/>
        </Anchor>
        <Assign userId="isabel@coryhometeam.com" userName="isabel@coryhometeam.com" userProvider="google-sheets"/>
      </Event>
    </History>
  </Task>
  <Task id="{ff39d4f0-104c-4b29-96ef-c4f6303c5e25}">
    <Anchor>
      <Comment id="{c056c2de-167e-43cb-9bf1-a9d8c616b688}"/>
    </Anchor>
    <History>
      <Event time="2025-01-28T18:58:45.00" id="{6e97b7d8-8e38-4fa1-bf36-eedbf478ee98}">
        <Attribution userId="placeholder@email.com" userName="Jam Bernardo" userProvider="google-sheets"/>
        <Anchor>
          <Comment id="{c056c2de-167e-43cb-9bf1-a9d8c616b688}"/>
        </Anchor>
        <Create/>
      </Event>
      <Event time="2025-01-28T18:58:45.00" id="{ecb52cd5-3944-4461-a38c-15119d778a44}">
        <Attribution userId="placeholder@email.com" userName="Jam Bernardo" userProvider="google-sheets"/>
        <Anchor>
          <Comment id="{c056c2de-167e-43cb-9bf1-a9d8c616b688}"/>
        </Anchor>
        <Assign userId="isabel@coryhometeam.com" userName="isabel@coryhometeam.com" userProvider="google-sheets"/>
      </Event>
    </History>
  </Task>
  <Task id="{205c2e51-b4be-42a2-b962-84ecca10cfda}">
    <Anchor>
      <Comment id="{0d769449-f7f0-4655-9fae-9855cf7dc02b}"/>
    </Anchor>
    <History>
      <Event time="2025-04-11T19:39:48.00" id="{6224c547-7466-40f3-bdb9-a640b8385f0b}">
        <Attribution userId="placeholder@email.com" userName="Rafael Bernardo" userProvider="google-sheets"/>
        <Anchor>
          <Comment id="{0d769449-f7f0-4655-9fae-9855cf7dc02b}"/>
        </Anchor>
        <Create/>
      </Event>
      <Event time="2025-04-11T19:39:48.00" id="{c1c0ea6e-bbe9-4e33-bae1-f475e440a1f9}">
        <Attribution userId="placeholder@email.com" userName="Rafael Bernardo" userProvider="google-sheets"/>
        <Anchor>
          <Comment id="{0d769449-f7f0-4655-9fae-9855cf7dc02b}"/>
        </Anchor>
        <Assign userId="isabel@coryhometeam.com" userName="isabel@coryhometeam.com" userProvider="google-sheets"/>
      </Event>
    </History>
  </Task>
  <Task id="{92010f04-293e-4a58-a0ff-710658025358}">
    <Anchor>
      <Comment id="{e4305af2-9270-4ca5-9f9b-937e023df818}"/>
    </Anchor>
    <History>
      <Event time="2025-11-07T23:45:49.00" id="{75c23470-deee-4930-8598-d2ffc016ae37}">
        <Attribution userId="placeholder@email.com" userName="Jam Bernardo" userProvider="google-sheets"/>
        <Anchor>
          <Comment id="{e4305af2-9270-4ca5-9f9b-937e023df818}"/>
        </Anchor>
        <Create/>
      </Event>
      <Event time="2025-11-07T23:45:49.00" id="{dbe9490a-367d-40c8-b217-4e3afbc7630a}">
        <Attribution userId="placeholder@email.com" userName="Jam Bernardo" userProvider="google-sheets"/>
        <Anchor>
          <Comment id="{e4305af2-9270-4ca5-9f9b-937e023df818}"/>
        </Anchor>
        <Assign userId="isabel@coryhometeam.com" userName="isabel@coryhometeam.com" userProvider="google-sheets"/>
      </Event>
    </History>
  </Task>
  <Task id="{1745a1e0-69b4-448f-9739-eae9a0a55b3d}">
    <Anchor>
      <Comment id="{48cf288c-1ffa-4f19-a893-d17f8195fc75}"/>
    </Anchor>
    <History>
      <Event time="2025-01-02T04:09:05.00" id="{266358c6-3a51-473c-862b-83e35081add6}">
        <Attribution userId="placeholder@email.com" userName="Aileen Munoz" userProvider="google-sheets"/>
        <Anchor>
          <Comment id="{e7ff2227-97d5-4f3a-b0d5-307fecb57875}"/>
        </Anchor>
        <Create/>
      </Event>
      <Event time="2025-01-02T04:09:05.00" id="{9d55b996-3995-495b-86aa-4db5c3e3fb83}">
        <Attribution userId="placeholder@email.com" userName="Aileen Munoz" userProvider="google-sheets"/>
        <Anchor>
          <Comment id="{e7ff2227-97d5-4f3a-b0d5-307fecb57875}"/>
        </Anchor>
        <Assign userId="alexis@coryhometeam.com" userName="alexis@coryhometeam.com" userProvider="google-sheets"/>
      </Event>
    </History>
  </Task>
  <Task id="{598d5d93-71d0-4758-8b7c-b3212609fa66}">
    <Anchor>
      <Comment id="{9ef73855-fd5e-49c7-b299-6f4d37ee2ff1}"/>
    </Anchor>
    <History>
      <Event time="2025-11-07T21:28:01.00" id="{b9dac3a6-8767-4609-bbc8-02a88dd072f4}">
        <Attribution userId="placeholder@email.com" userName="Rafael Bernardo" userProvider="google-sheets"/>
        <Anchor>
          <Comment id="{9ef73855-fd5e-49c7-b299-6f4d37ee2ff1}"/>
        </Anchor>
        <Create/>
      </Event>
      <Event time="2025-11-07T21:28:01.00" id="{7fd4a3b6-133a-4662-80dd-8c348acbffa3}">
        <Attribution userId="placeholder@email.com" userName="Rafael Bernardo" userProvider="google-sheets"/>
        <Anchor>
          <Comment id="{9ef73855-fd5e-49c7-b299-6f4d37ee2ff1}"/>
        </Anchor>
        <Assign userId="isabel@coryhometeam.com" userName="isabel@coryhometeam.com" userProvider="google-sheets"/>
      </Event>
    </History>
  </Task>
  <Task id="{09e3a6ff-bc2b-4d25-a8df-fa4214a31864}">
    <Anchor>
      <Comment id="{c130c8cd-be08-4386-9719-09f53b9dd71e}"/>
    </Anchor>
    <History>
      <Event time="2025-09-12T14:37:57.00" id="{2f2e226c-6907-42f1-891a-83fa0dbc11f3}">
        <Attribution userId="placeholder@email.com" userName="Rafael Bernardo" userProvider="google-sheets"/>
        <Anchor>
          <Comment id="{c130c8cd-be08-4386-9719-09f53b9dd71e}"/>
        </Anchor>
        <Create/>
      </Event>
      <Event time="2025-09-12T14:37:57.00" id="{8b04e3d2-b68b-414f-8a38-ecb7d2397b62}">
        <Attribution userId="placeholder@email.com" userName="Rafael Bernardo" userProvider="google-sheets"/>
        <Anchor>
          <Comment id="{c130c8cd-be08-4386-9719-09f53b9dd71e}"/>
        </Anchor>
        <Assign userId="isabel@coryhometeam.com" userName="isabel@coryhometeam.com" userProvider="google-sheets"/>
      </Event>
    </History>
  </Task>
  <Task id="{2516b7f0-f118-498e-852c-46ddd67bff75}">
    <Anchor>
      <Comment id="{ffe1b57b-2b0d-46a6-a519-9030a1da19d1}"/>
    </Anchor>
    <History>
      <Event time="2025-01-28T18:56:55.00" id="{50360e2a-bae6-4ca6-befd-c9b8b37deedc}">
        <Attribution userId="placeholder@email.com" userName="Jam Bernardo" userProvider="google-sheets"/>
        <Anchor>
          <Comment id="{ffe1b57b-2b0d-46a6-a519-9030a1da19d1}"/>
        </Anchor>
        <Create/>
      </Event>
      <Event time="2025-01-28T18:56:55.00" id="{53a3350e-73a4-4bb6-a051-fa61c6e5811e}">
        <Attribution userId="placeholder@email.com" userName="Jam Bernardo" userProvider="google-sheets"/>
        <Anchor>
          <Comment id="{ffe1b57b-2b0d-46a6-a519-9030a1da19d1}"/>
        </Anchor>
        <Assign userId="isabel@coryhometeam.com" userName="isabel@coryhometeam.com" userProvider="google-sheets"/>
      </Event>
    </History>
  </Task>
  <Task id="{b10ae3dc-4fbd-49e0-b2d1-67234f6d10fa}">
    <Anchor>
      <Comment id="{7c6ef333-f528-4b38-a42b-b47913ede479}"/>
    </Anchor>
    <History>
      <Event time="2025-03-20T15:29:22.00" id="{d03d1d7f-bf37-4753-93dd-23f45a530646}">
        <Attribution userId="placeholder@email.com" userName="Jam Bernardo" userProvider="google-sheets"/>
        <Anchor>
          <Comment id="{7c6ef333-f528-4b38-a42b-b47913ede479}"/>
        </Anchor>
        <Create/>
      </Event>
      <Event time="2025-03-20T15:29:22.00" id="{6f5d174f-ea59-445c-863f-6f41aa13a35c}">
        <Attribution userId="placeholder@email.com" userName="Jam Bernardo" userProvider="google-sheets"/>
        <Anchor>
          <Comment id="{7c6ef333-f528-4b38-a42b-b47913ede479}"/>
        </Anchor>
        <Assign userId="isabel@coryhometeam.com" userName="isabel@coryhometeam.com" userProvider="google-sheets"/>
      </Event>
    </History>
  </Task>
  <Task id="{432f5e3d-06e2-4bfd-baf0-d2489d2e736b}">
    <Anchor>
      <Comment id="{64ade26b-456e-482e-819d-e87f311adea4}"/>
    </Anchor>
    <History>
      <Event time="2026-01-22T21:38:57.00" id="{8da10d1d-0df4-48cd-94ff-2e26f9c8e0eb}">
        <Attribution userId="placeholder@email.com" userName="Remy Victoria" userProvider="google-sheets"/>
        <Anchor>
          <Comment id="{64ade26b-456e-482e-819d-e87f311adea4}"/>
        </Anchor>
        <Create/>
      </Event>
      <Event time="2026-01-22T21:38:57.00" id="{26b6e73c-44dc-48da-9e54-06234fe97108}">
        <Attribution userId="placeholder@email.com" userName="Remy Victoria" userProvider="google-sheets"/>
        <Anchor>
          <Comment id="{64ade26b-456e-482e-819d-e87f311adea4}"/>
        </Anchor>
        <Assign userId="alexis@coryhometeam.com" userName="alexis@coryhometeam.com" userProvider="google-sheets"/>
      </Event>
    </History>
  </Task>
  <Task id="{3ba6e648-ae9a-4fa5-8823-6f1ddd6b10fa}">
    <Anchor>
      <Comment id="{c13b1606-107e-48b7-8d41-152013a8e042}"/>
    </Anchor>
    <History>
      <Event time="2026-02-24T23:31:48.00" id="{06d19f30-7cf2-4cd7-8339-76e89b05459c}">
        <Attribution userId="placeholder@email.com" userName="Jam Bernardo" userProvider="google-sheets"/>
        <Anchor>
          <Comment id="{c13b1606-107e-48b7-8d41-152013a8e042}"/>
        </Anchor>
        <Create/>
      </Event>
      <Event time="2026-02-24T23:31:48.00" id="{984f8b68-165c-47bd-adaa-adb1a0096d3b}">
        <Attribution userId="placeholder@email.com" userName="Jam Bernardo" userProvider="google-sheets"/>
        <Anchor>
          <Comment id="{c13b1606-107e-48b7-8d41-152013a8e042}"/>
        </Anchor>
        <Assign userId="isabel@coryhometeam.com" userName="isabel@coryhometeam.com" userProvider="google-sheets"/>
      </Event>
    </History>
  </Task>
  <Task id="{335c28ec-b053-4bd3-8baf-f1997c7c589b}">
    <Anchor>
      <Comment id="{a315f166-b771-488c-aeb5-ee5b921c2a2e}"/>
    </Anchor>
    <History>
      <Event time="2025-03-17T04:54:11.00" id="{9741cf4e-19a7-4887-a47c-7e8b894ea015}">
        <Attribution userId="placeholder@email.com" userName="Rafael Bernardo" userProvider="google-sheets"/>
        <Anchor>
          <Comment id="{a315f166-b771-488c-aeb5-ee5b921c2a2e}"/>
        </Anchor>
        <Create/>
      </Event>
      <Event time="2025-03-17T04:54:11.00" id="{d37f1f7b-3bde-48a3-99a6-3ab8f500c4ff}">
        <Attribution userId="placeholder@email.com" userName="Rafael Bernardo" userProvider="google-sheets"/>
        <Anchor>
          <Comment id="{a315f166-b771-488c-aeb5-ee5b921c2a2e}"/>
        </Anchor>
        <Assign userId="isabel@coryhometeam.com" userName="isabel@coryhometeam.com" userProvider="google-sheets"/>
      </Event>
    </History>
  </Task>
  <Task id="{c9326a04-108e-4ba4-80ad-a29458e362c3}">
    <Anchor>
      <Comment id="{2d20252a-bee3-47d5-87a6-311ef127a9f8}"/>
    </Anchor>
    <History>
      <Event time="2025-10-23T22:29:38.00" id="{2581e633-a5e7-4e8e-a8ff-174f1af1d621}">
        <Attribution userId="placeholder@email.com" userName="Jam Bernardo" userProvider="google-sheets"/>
        <Anchor>
          <Comment id="{2d20252a-bee3-47d5-87a6-311ef127a9f8}"/>
        </Anchor>
        <Create/>
      </Event>
      <Event time="2025-10-23T22:29:38.00" id="{429ffdc2-28a6-45d5-b5e3-e82df3faeacf}">
        <Attribution userId="placeholder@email.com" userName="Jam Bernardo" userProvider="google-sheets"/>
        <Anchor>
          <Comment id="{2d20252a-bee3-47d5-87a6-311ef127a9f8}"/>
        </Anchor>
        <Assign userId="isabel@coryhometeam.com" userName="isabel@coryhometeam.com" userProvider="google-sheets"/>
      </Event>
    </History>
  </Task>
  <Task id="{cc4d1bb0-1e9d-4616-ba6b-4d2b2203e066}">
    <Anchor>
      <Comment id="{db097d03-9427-457d-a394-004f924a5022}"/>
    </Anchor>
    <History>
      <Event time="2026-04-20T12:51:24.00" id="{832b09cc-8c89-47ed-96d3-0dab19b399a7}">
        <Attribution userId="placeholder@email.com" userName="Rafael Bernardo" userProvider="google-sheets"/>
        <Anchor>
          <Comment id="{db097d03-9427-457d-a394-004f924a5022}"/>
        </Anchor>
        <Create/>
      </Event>
      <Event time="2026-04-20T12:51:24.00" id="{2b859165-13bb-4e52-8bb3-03fd0f243d03}">
        <Attribution userId="placeholder@email.com" userName="Rafael Bernardo" userProvider="google-sheets"/>
        <Anchor>
          <Comment id="{db097d03-9427-457d-a394-004f924a5022}"/>
        </Anchor>
        <Assign userId="isabel@coryhometeam.com" userName="isabel@coryhometeam.com" userProvider="google-sheets"/>
      </Event>
    </History>
  </Task>
  <Task id="{2b965117-2c89-4792-8cd8-90f6a8d4c681}">
    <Anchor>
      <Comment id="{40032895-658c-4115-97aa-14fdfcb431f4}"/>
    </Anchor>
    <History>
      <Event time="2025-10-11T00:04:27.00" id="{f24db81e-7853-40f4-9a82-b5f7ec9f6c82}">
        <Attribution userId="placeholder@email.com" userName="Jam Bernardo" userProvider="google-sheets"/>
        <Anchor>
          <Comment id="{40032895-658c-4115-97aa-14fdfcb431f4}"/>
        </Anchor>
        <Create/>
      </Event>
      <Event time="2025-10-11T00:04:27.00" id="{c62fad0f-d908-4d27-8aee-0f6debaf5733}">
        <Attribution userId="placeholder@email.com" userName="Jam Bernardo" userProvider="google-sheets"/>
        <Anchor>
          <Comment id="{40032895-658c-4115-97aa-14fdfcb431f4}"/>
        </Anchor>
        <Assign userId="isabel@coryhometeam.com" userName="isabel@coryhometeam.com" userProvider="google-sheets"/>
      </Event>
    </History>
  </Task>
  <Task id="{1068d87e-faf9-4189-adbd-6eefda713136}">
    <Anchor>
      <Comment id="{fcec030e-eebc-4045-9b4f-23d1a0129b02}"/>
    </Anchor>
    <History>
      <Event time="2026-06-09T21:56:21.00" id="{13d8ac95-2166-4898-8a5c-f38127e1f5ed}">
        <Attribution userId="placeholder@email.com" userName="Blake Cory" userProvider="google-sheets"/>
        <Anchor>
          <Comment id="{fcec030e-eebc-4045-9b4f-23d1a0129b02}"/>
        </Anchor>
        <Create/>
      </Event>
      <Event time="2026-06-09T21:56:21.00" id="{e1ac9be3-aa8e-4f59-b24f-401790fa3d86}">
        <Attribution userId="placeholder@email.com" userName="Blake Cory" userProvider="google-sheets"/>
        <Anchor>
          <Comment id="{fcec030e-eebc-4045-9b4f-23d1a0129b02}"/>
        </Anchor>
        <Assign userId="alexis@coryhometeam.com" userName="alexis@coryhometeam.com" userProvider="google-sheets"/>
      </Event>
    </History>
  </Task>
  <Task id="{29239928-9a6e-41fe-b43e-60bf12f67b6f}">
    <Anchor>
      <Comment id="{1c2f146a-aafa-4ec3-bee3-5bff6cadda3d}"/>
    </Anchor>
    <History>
      <Event time="2025-10-11T00:02:18.00" id="{859f57a8-9b6a-45d4-8a98-9d54d9ead5bd}">
        <Attribution userId="placeholder@email.com" userName="Jam Bernardo" userProvider="google-sheets"/>
        <Anchor>
          <Comment id="{1c2f146a-aafa-4ec3-bee3-5bff6cadda3d}"/>
        </Anchor>
        <Create/>
      </Event>
      <Event time="2025-10-11T00:02:18.00" id="{95cdb3e0-2c11-41b1-bd16-e7d62b2fc0c0}">
        <Attribution userId="placeholder@email.com" userName="Jam Bernardo" userProvider="google-sheets"/>
        <Anchor>
          <Comment id="{1c2f146a-aafa-4ec3-bee3-5bff6cadda3d}"/>
        </Anchor>
        <Assign userId="isabel@coryhometeam.com" userName="isabel@coryhometeam.com" userProvider="google-sheets"/>
      </Event>
    </History>
  </Task>
  <Task id="{5faaf980-89ac-4fb9-9366-ff9c4d22c696}">
    <Anchor>
      <Comment id="{d3b7b323-49d4-4958-a6dc-149213efbec2}"/>
    </Anchor>
    <History>
      <Event time="2025-05-30T22:21:58.00" id="{b4bd4b28-d83d-4a58-a7bb-7127777f894c}">
        <Attribution userId="placeholder@email.com" userName="Jam Bernardo" userProvider="google-sheets"/>
        <Anchor>
          <Comment id="{d3b7b323-49d4-4958-a6dc-149213efbec2}"/>
        </Anchor>
        <Create/>
      </Event>
      <Event time="2025-05-30T22:21:58.00" id="{0f6b610c-ef4a-4070-9d89-d43a3ef8c22b}">
        <Attribution userId="placeholder@email.com" userName="Jam Bernardo" userProvider="google-sheets"/>
        <Anchor>
          <Comment id="{d3b7b323-49d4-4958-a6dc-149213efbec2}"/>
        </Anchor>
        <Assign userId="isabel@coryhometeam.com" userName="isabel@coryhometeam.com" userProvider="google-sheets"/>
      </Event>
    </History>
  </Task>
  <Task id="{71ebe719-a313-4f65-9bac-200a8dea35cb}">
    <Anchor>
      <Comment id="{60ecc1d3-c641-45bc-8b7b-934188eeebce}"/>
    </Anchor>
    <History>
      <Event time="2025-08-01T18:54:24.00" id="{cae15952-1f01-461a-94ca-7ebec49f179d}">
        <Attribution userId="placeholder@email.com" userName="Rafael Bernardo" userProvider="google-sheets"/>
        <Anchor>
          <Comment id="{60ecc1d3-c641-45bc-8b7b-934188eeebce}"/>
        </Anchor>
        <Create/>
      </Event>
      <Event time="2025-08-01T18:54:24.00" id="{60d82ca6-6d03-493f-8535-1c4f4cbbeed2}">
        <Attribution userId="placeholder@email.com" userName="Rafael Bernardo" userProvider="google-sheets"/>
        <Anchor>
          <Comment id="{60ecc1d3-c641-45bc-8b7b-934188eeebce}"/>
        </Anchor>
        <Assign userId="isabel@coryhometeam.com" userName="isabel@coryhometeam.com" userProvider="google-sheets"/>
      </Event>
    </History>
  </Task>
  <Task id="{be9d702b-abf6-4ff8-adf9-3accbf9430a3}">
    <Anchor>
      <Comment id="{d8e0077f-335d-4ee3-8995-9f5385dd1dc3}"/>
    </Anchor>
    <History>
      <Event time="2025-03-06T18:47:53.00" id="{cf2f763c-2144-4eb1-9c59-13317c071b75}">
        <Attribution userId="placeholder@email.com" userName="Jam Bernardo" userProvider="google-sheets"/>
        <Anchor>
          <Comment id="{d8e0077f-335d-4ee3-8995-9f5385dd1dc3}"/>
        </Anchor>
        <Create/>
      </Event>
      <Event time="2025-03-06T18:47:53.00" id="{34cf5e08-c090-4ee3-ad5e-a4dd24d68533}">
        <Attribution userId="placeholder@email.com" userName="Jam Bernardo" userProvider="google-sheets"/>
        <Anchor>
          <Comment id="{d8e0077f-335d-4ee3-8995-9f5385dd1dc3}"/>
        </Anchor>
        <Assign userId="isabel@coryhometeam.com" userName="isabel@coryhometeam.com" userProvider="google-sheets"/>
      </Event>
    </History>
  </Task>
  <Task id="{215330a2-83e2-4236-8394-07f6bc9e489e}">
    <Anchor>
      <Comment id="{eae2ebe9-d09a-411b-858b-4325d2a1fbc2}"/>
    </Anchor>
    <History>
      <Event time="2025-07-25T16:26:10.00" id="{be98454b-b60e-410d-9656-252007561971}">
        <Attribution userId="placeholder@email.com" userName="Rafael Bernardo" userProvider="google-sheets"/>
        <Anchor>
          <Comment id="{eae2ebe9-d09a-411b-858b-4325d2a1fbc2}"/>
        </Anchor>
        <Create/>
      </Event>
      <Event time="2025-07-25T16:26:10.00" id="{d498b0e5-94df-4d0a-9dc1-62d7f02a291d}">
        <Attribution userId="placeholder@email.com" userName="Rafael Bernardo" userProvider="google-sheets"/>
        <Anchor>
          <Comment id="{eae2ebe9-d09a-411b-858b-4325d2a1fbc2}"/>
        </Anchor>
        <Assign userId="isabel@coryhometeam.com" userName="isabel@coryhometeam.com" userProvider="google-sheets"/>
      </Event>
    </History>
  </Task>
  <Task id="{7c2b789a-f887-4e68-854b-ae087ace761a}">
    <Anchor>
      <Comment id="{d2a867de-8b98-4226-9ed7-5169879da3cb}"/>
    </Anchor>
    <History>
      <Event time="2025-10-10T23:57:39.00" id="{f67fd934-0fac-4fab-8a71-f5191382e486}">
        <Attribution userId="placeholder@email.com" userName="Jam Bernardo" userProvider="google-sheets"/>
        <Anchor>
          <Comment id="{d2a867de-8b98-4226-9ed7-5169879da3cb}"/>
        </Anchor>
        <Create/>
      </Event>
      <Event time="2025-10-10T23:57:39.00" id="{cdd36861-074b-41b3-a494-17b787b72422}">
        <Attribution userId="placeholder@email.com" userName="Jam Bernardo" userProvider="google-sheets"/>
        <Anchor>
          <Comment id="{d2a867de-8b98-4226-9ed7-5169879da3cb}"/>
        </Anchor>
        <Assign userId="isabel@coryhometeam.com" userName="isabel@coryhometeam.com" userProvider="google-sheets"/>
      </Event>
    </History>
  </Task>
  <Task id="{41710bdd-e078-429d-979c-a68539bf411e}">
    <Anchor>
      <Comment id="{880680b8-d6b1-41d6-831d-f031e611f3e7}"/>
    </Anchor>
    <History>
      <Event time="2025-03-06T17:47:09.00" id="{bfb00b67-36a8-46b8-864d-234603751155}">
        <Attribution userId="placeholder@email.com" userName="Rafael Bernardo" userProvider="google-sheets"/>
        <Anchor>
          <Comment id="{880680b8-d6b1-41d6-831d-f031e611f3e7}"/>
        </Anchor>
        <Create/>
      </Event>
      <Event time="2025-03-06T17:47:09.00" id="{4546295d-00dc-43d9-95cc-0ce04b19880e}">
        <Attribution userId="placeholder@email.com" userName="Rafael Bernardo" userProvider="google-sheets"/>
        <Anchor>
          <Comment id="{880680b8-d6b1-41d6-831d-f031e611f3e7}"/>
        </Anchor>
        <Assign userId="isabel@coryhometeam.com" userName="isabel@coryhometeam.com" userProvider="google-sheets"/>
      </Event>
    </History>
  </Task>
  <Task id="{919aa2c1-815a-444f-af00-05fee65a94ce}">
    <Anchor>
      <Comment id="{0a24af61-2764-48cf-bc85-0bf77489b853}"/>
    </Anchor>
    <History>
      <Event time="2025-04-23T16:01:01.00" id="{5f70a72d-df40-4002-9f5c-92352a4859c5}">
        <Attribution userId="placeholder@email.com" userName="Rafael Bernardo" userProvider="google-sheets"/>
        <Anchor>
          <Comment id="{0a24af61-2764-48cf-bc85-0bf77489b853}"/>
        </Anchor>
        <Create/>
      </Event>
      <Event time="2025-04-23T16:01:01.00" id="{88cb6d13-d76c-4f0a-b6ac-fe0e198a2b89}">
        <Attribution userId="placeholder@email.com" userName="Rafael Bernardo" userProvider="google-sheets"/>
        <Anchor>
          <Comment id="{0a24af61-2764-48cf-bc85-0bf77489b853}"/>
        </Anchor>
        <Assign userId="isabel@coryhometeam.com" userName="isabel@coryhometeam.com" userProvider="google-sheets"/>
      </Event>
    </History>
  </Task>
  <Task id="{42f84055-94cf-4059-84ab-3f8bdfa78f93}">
    <Anchor>
      <Comment id="{70c6ce8f-7d4e-4142-ba07-08fa0d07a19e}"/>
    </Anchor>
    <History>
      <Event time="2025-08-26T16:58:21.00" id="{84a11efc-755d-489c-99f5-912caa02f951}">
        <Attribution userId="placeholder@email.com" userName="Rafael Bernardo" userProvider="google-sheets"/>
        <Anchor>
          <Comment id="{70c6ce8f-7d4e-4142-ba07-08fa0d07a19e}"/>
        </Anchor>
        <Create/>
      </Event>
      <Event time="2025-08-26T16:58:21.00" id="{3302927f-1fde-4c92-ac78-8dcd6bea977c}">
        <Attribution userId="placeholder@email.com" userName="Rafael Bernardo" userProvider="google-sheets"/>
        <Anchor>
          <Comment id="{70c6ce8f-7d4e-4142-ba07-08fa0d07a19e}"/>
        </Anchor>
        <Assign userId="isabel@coryhometeam.com" userName="isabel@coryhometeam.com" userProvider="google-sheets"/>
      </Event>
    </History>
  </Task>
  <Task id="{fe376fd1-9434-473a-ac31-0c54ae97d2c3}">
    <Anchor>
      <Comment id="{90da4224-2b02-44c7-80f3-889829b2a120}"/>
    </Anchor>
    <History>
      <Event time="2025-06-25T21:46:25.00" id="{67e7c944-a614-46f4-b74b-51172f6e7855}">
        <Attribution userId="placeholder@email.com" userName="Rafael Bernardo" userProvider="google-sheets"/>
        <Anchor>
          <Comment id="{90da4224-2b02-44c7-80f3-889829b2a120}"/>
        </Anchor>
        <Create/>
      </Event>
      <Event time="2025-06-25T21:46:25.00" id="{80a0da6e-081b-46d0-b64d-0b714f315021}">
        <Attribution userId="placeholder@email.com" userName="Rafael Bernardo" userProvider="google-sheets"/>
        <Anchor>
          <Comment id="{90da4224-2b02-44c7-80f3-889829b2a120}"/>
        </Anchor>
        <Assign userId="isabel@coryhometeam.com" userName="isabel@coryhometeam.com" userProvider="google-sheets"/>
      </Event>
    </History>
  </Task>
  <Task id="{3d3a2cda-7c71-4995-b217-61723b40d680}">
    <Anchor>
      <Comment id="{6ef426a2-83cd-470f-ab70-7b22db06cf1e}"/>
    </Anchor>
    <History>
      <Event time="2025-06-25T23:38:03.00" id="{46e8e122-c99f-4a20-9350-08206c3b59b0}">
        <Attribution userId="placeholder@email.com" userName="Rafael Bernardo" userProvider="google-sheets"/>
        <Anchor>
          <Comment id="{6ef426a2-83cd-470f-ab70-7b22db06cf1e}"/>
        </Anchor>
        <Create/>
      </Event>
      <Event time="2025-06-25T23:38:03.00" id="{4e2182e7-6acf-4ca7-9c6e-05e5560896d3}">
        <Attribution userId="placeholder@email.com" userName="Rafael Bernardo" userProvider="google-sheets"/>
        <Anchor>
          <Comment id="{6ef426a2-83cd-470f-ab70-7b22db06cf1e}"/>
        </Anchor>
        <Assign userId="isabel@coryhometeam.com" userName="isabel@coryhometeam.com" userProvider="google-sheets"/>
      </Event>
    </History>
  </Task>
  <Task id="{c262a771-72ec-4381-b56d-6faad67e6c95}">
    <Anchor>
      <Comment id="{2196055e-d631-4329-9fc2-83da9f618e68}"/>
    </Anchor>
    <History>
      <Event time="2025-08-05T19:00:43.00" id="{d163366d-a50e-48f0-84df-692a70fdeafe}">
        <Attribution userId="placeholder@email.com" userName="Rafael Bernardo" userProvider="google-sheets"/>
        <Anchor>
          <Comment id="{2196055e-d631-4329-9fc2-83da9f618e68}"/>
        </Anchor>
        <Create/>
      </Event>
      <Event time="2025-08-05T19:00:43.00" id="{eccc2f09-291f-4d51-bcc2-a346b56e26c7}">
        <Attribution userId="placeholder@email.com" userName="Rafael Bernardo" userProvider="google-sheets"/>
        <Anchor>
          <Comment id="{2196055e-d631-4329-9fc2-83da9f618e68}"/>
        </Anchor>
        <Assign userId="isabel@coryhometeam.com" userName="isabel@coryhometeam.com" userProvider="google-sheets"/>
      </Event>
    </History>
  </Task>
  <Task id="{323286f4-0f50-4d74-969c-62e501481203}">
    <Anchor>
      <Comment id="{c3b74751-fa3e-4091-8bab-726999af5860}"/>
    </Anchor>
    <History>
      <Event time="2025-03-06T23:56:45.00" id="{f9a08673-dbbe-488a-9f90-f916441ec44d}">
        <Attribution userId="placeholder@email.com" userName="Jam Bernardo" userProvider="google-sheets"/>
        <Anchor>
          <Comment id="{c3b74751-fa3e-4091-8bab-726999af5860}"/>
        </Anchor>
        <Create/>
      </Event>
      <Event time="2025-03-06T23:56:45.00" id="{1b60efaa-e030-45d6-bc93-03d2f6ecbf4a}">
        <Attribution userId="placeholder@email.com" userName="Jam Bernardo" userProvider="google-sheets"/>
        <Anchor>
          <Comment id="{c3b74751-fa3e-4091-8bab-726999af5860}"/>
        </Anchor>
        <Assign userId="isabel@coryhometeam.com" userName="isabel@coryhometeam.com" userProvider="google-sheets"/>
      </Event>
    </History>
  </Task>
  <Task id="{8f52bd4b-fd0b-4d02-b3bf-92488da69aff}">
    <Anchor>
      <Comment id="{ac01cc1d-f46a-4f80-b2ee-4402636c83b3}"/>
    </Anchor>
    <History>
      <Event time="2025-07-15T16:26:11.00" id="{a6666aa0-88c7-4034-9722-5a75b794d842}">
        <Attribution userId="placeholder@email.com" userName="Rafael Bernardo" userProvider="google-sheets"/>
        <Anchor>
          <Comment id="{ac01cc1d-f46a-4f80-b2ee-4402636c83b3}"/>
        </Anchor>
        <Create/>
      </Event>
      <Event time="2025-07-15T16:26:11.00" id="{84647ef6-af01-4482-bdc6-6fa5acb5807a}">
        <Attribution userId="placeholder@email.com" userName="Rafael Bernardo" userProvider="google-sheets"/>
        <Anchor>
          <Comment id="{ac01cc1d-f46a-4f80-b2ee-4402636c83b3}"/>
        </Anchor>
        <Assign userId="isabel@coryhometeam.com" userName="isabel@coryhometeam.com" userProvider="google-sheets"/>
      </Event>
    </History>
  </Task>
  <Task id="{9eab0992-a35a-44a1-bac8-a6d797c65d60}">
    <Anchor>
      <Comment id="{413f6bef-0ef5-4c9d-8b22-127ee6afa104}"/>
    </Anchor>
    <History>
      <Event time="2025-07-25T16:20:36.00" id="{608fe026-6ca4-4d7d-8b2c-33717e3f566a}">
        <Attribution userId="placeholder@email.com" userName="Rafael Bernardo" userProvider="google-sheets"/>
        <Anchor>
          <Comment id="{413f6bef-0ef5-4c9d-8b22-127ee6afa104}"/>
        </Anchor>
        <Create/>
      </Event>
      <Event time="2025-07-25T16:20:36.00" id="{1aaf32dc-de5b-41d1-b591-0f0a756dd0dd}">
        <Attribution userId="placeholder@email.com" userName="Rafael Bernardo" userProvider="google-sheets"/>
        <Anchor>
          <Comment id="{413f6bef-0ef5-4c9d-8b22-127ee6afa104}"/>
        </Anchor>
        <Assign userId="isabel@coryhometeam.com" userName="isabel@coryhometeam.com" userProvider="google-sheets"/>
      </Event>
    </History>
  </Task>
  <Task id="{41e7fac8-c8f1-4bcd-b5d3-d2042051a171}">
    <Anchor>
      <Comment id="{846933b9-9b24-48dd-8f7c-e71aed5b8064}"/>
    </Anchor>
    <History>
      <Event time="2025-06-25T20:16:19.00" id="{daf3e333-1368-4d13-adf6-ddc189d14eb3}">
        <Attribution userId="placeholder@email.com" userName="Rafael Bernardo" userProvider="google-sheets"/>
        <Anchor>
          <Comment id="{846933b9-9b24-48dd-8f7c-e71aed5b8064}"/>
        </Anchor>
        <Create/>
      </Event>
      <Event time="2025-06-25T20:16:19.00" id="{0f8e4662-9cf3-44d5-892e-6dbe236e6777}">
        <Attribution userId="placeholder@email.com" userName="Rafael Bernardo" userProvider="google-sheets"/>
        <Anchor>
          <Comment id="{846933b9-9b24-48dd-8f7c-e71aed5b8064}"/>
        </Anchor>
        <Assign userId="isabel@coryhometeam.com" userName="isabel@coryhometeam.com" userProvider="google-sheets"/>
      </Event>
    </History>
  </Task>
  <Task id="{cdbd2aee-19e1-46fc-8990-d0cb2cc8ab61}">
    <Anchor>
      <Comment id="{2153d942-f64d-420f-9286-562b5d4dac82}"/>
    </Anchor>
    <History>
      <Event time="2025-04-23T21:30:42.00" id="{71981627-9bdc-4dfc-b97f-97954df83175}">
        <Attribution userId="placeholder@email.com" userName="Remy Victoria" userProvider="google-sheets"/>
        <Anchor>
          <Comment id="{ddc1cef2-219f-4d7c-896a-ca146d31bf13}"/>
        </Anchor>
        <Create/>
      </Event>
      <Event time="2025-04-23T21:30:42.00" id="{f8937c43-2043-4069-821c-4f6541a46c8c}">
        <Attribution userId="placeholder@email.com" userName="Remy Victoria" userProvider="google-sheets"/>
        <Anchor>
          <Comment id="{ddc1cef2-219f-4d7c-896a-ca146d31bf13}"/>
        </Anchor>
        <Assign userId="alexis@coryhometeam.com" userName="alexis@coryhometeam.com" userProvider="google-sheets"/>
      </Event>
    </History>
  </Task>
  <Task id="{81246182-4850-447e-a876-e74238ad31c6}">
    <Anchor>
      <Comment id="{033a0ace-e63f-4a46-8e1a-633eea965339}"/>
    </Anchor>
    <History>
      <Event time="2025-11-21T17:10:51.00" id="{ee3361ec-8f52-4171-987e-851022d77ed9}">
        <Attribution userId="placeholder@email.com" userName="Rafael Bernardo" userProvider="google-sheets"/>
        <Anchor>
          <Comment id="{033a0ace-e63f-4a46-8e1a-633eea965339}"/>
        </Anchor>
        <Create/>
      </Event>
      <Event time="2025-11-21T17:10:51.00" id="{272d2c3d-ca80-4fcd-a7e6-16a2e8ea6516}">
        <Attribution userId="placeholder@email.com" userName="Rafael Bernardo" userProvider="google-sheets"/>
        <Anchor>
          <Comment id="{033a0ace-e63f-4a46-8e1a-633eea965339}"/>
        </Anchor>
        <Assign userId="isabel@coryhometeam.com" userName="isabel@coryhometeam.com" userProvider="google-sheets"/>
      </Event>
    </History>
  </Task>
  <Task id="{7af913e8-e586-4e7a-b683-8712bd17b18e}">
    <Anchor>
      <Comment id="{b37447b5-631d-400e-9de2-d8ed97ba8d62}"/>
    </Anchor>
    <History>
      <Event time="2025-04-28T17:21:45.00" id="{3d937ce8-af58-40e8-bbcc-95baae04761b}">
        <Attribution userId="placeholder@email.com" userName="Jam Bernardo" userProvider="google-sheets"/>
        <Anchor>
          <Comment id="{b37447b5-631d-400e-9de2-d8ed97ba8d62}"/>
        </Anchor>
        <Create/>
      </Event>
      <Event time="2025-04-28T17:21:45.00" id="{24d90b73-39a1-4d01-940f-412eb2d0f812}">
        <Attribution userId="placeholder@email.com" userName="Jam Bernardo" userProvider="google-sheets"/>
        <Anchor>
          <Comment id="{b37447b5-631d-400e-9de2-d8ed97ba8d62}"/>
        </Anchor>
        <Assign userId="isabel@coryhometeam.com" userName="isabel@coryhometeam.com" userProvider="google-sheets"/>
      </Event>
    </History>
  </Task>
  <Task id="{bcc79d9a-92cc-4944-9d6b-62ca80cfd4d5}">
    <Anchor>
      <Comment id="{501f8f21-252e-4142-92ce-1afeabb85c7a}"/>
    </Anchor>
    <History>
      <Event time="2025-07-25T16:22:29.00" id="{9e2a7585-c52b-433c-ad30-8103916593aa}">
        <Attribution userId="placeholder@email.com" userName="Rafael Bernardo" userProvider="google-sheets"/>
        <Anchor>
          <Comment id="{501f8f21-252e-4142-92ce-1afeabb85c7a}"/>
        </Anchor>
        <Create/>
      </Event>
      <Event time="2025-07-25T16:22:29.00" id="{56e7bb23-7c38-4cd6-a52d-f4797e7343c1}">
        <Attribution userId="placeholder@email.com" userName="Rafael Bernardo" userProvider="google-sheets"/>
        <Anchor>
          <Comment id="{501f8f21-252e-4142-92ce-1afeabb85c7a}"/>
        </Anchor>
        <Assign userId="isabel@coryhometeam.com" userName="isabel@coryhometeam.com" userProvider="google-sheets"/>
      </Event>
    </History>
  </Task>
  <Task id="{79aebfae-696a-4db2-9c14-c5dffe96f64f}">
    <Anchor>
      <Comment id="{e0f0579c-06e2-4ae4-a35a-eaec9fa75326}"/>
    </Anchor>
    <History>
      <Event time="2025-08-07T00:33:21.00" id="{6acf9e24-1ec1-41b7-a682-01c40f8e4b96}">
        <Attribution userId="placeholder@email.com" userName="Jam Bernardo" userProvider="google-sheets"/>
        <Anchor>
          <Comment id="{e0f0579c-06e2-4ae4-a35a-eaec9fa75326}"/>
        </Anchor>
        <Create/>
      </Event>
      <Event time="2025-08-07T00:33:21.00" id="{443b264c-1a24-44ed-af65-c7dddc09a111}">
        <Attribution userId="placeholder@email.com" userName="Jam Bernardo" userProvider="google-sheets"/>
        <Anchor>
          <Comment id="{e0f0579c-06e2-4ae4-a35a-eaec9fa75326}"/>
        </Anchor>
        <Assign userId="isabel@coryhometeam.com" userName="isabel@coryhometeam.com" userProvider="google-sheets"/>
      </Event>
    </History>
  </Task>
  <Task id="{be7bfc94-0e49-4d5e-8a60-81eff302c247}">
    <Anchor>
      <Comment id="{9787af80-b9d7-46f3-b898-6629a12d05b8}"/>
    </Anchor>
    <History>
      <Event time="2025-08-06T21:22:13.00" id="{8d0c1bac-0c9d-4c6e-a080-f59ec4c04055}">
        <Attribution userId="placeholder@email.com" userName="Jam Bernardo" userProvider="google-sheets"/>
        <Anchor>
          <Comment id="{9787af80-b9d7-46f3-b898-6629a12d05b8}"/>
        </Anchor>
        <Create/>
      </Event>
      <Event time="2025-08-06T21:22:13.00" id="{92c73924-08d6-45bd-bca3-eafe316cdf30}">
        <Attribution userId="placeholder@email.com" userName="Jam Bernardo" userProvider="google-sheets"/>
        <Anchor>
          <Comment id="{9787af80-b9d7-46f3-b898-6629a12d05b8}"/>
        </Anchor>
        <Assign userId="isabel@coryhometeam.com" userName="isabel@coryhometeam.com" userProvider="google-sheets"/>
      </Event>
    </History>
  </Task>
  <Task id="{cd169233-ef69-4780-b938-3f8ebe990bae}">
    <Anchor>
      <Comment id="{a0b07931-84df-4e45-bd26-08e19f34a746}"/>
    </Anchor>
    <History>
      <Event time="2025-07-07T23:47:32.00" id="{0491e510-4734-4169-b2c8-a6ad252e79f9}">
        <Attribution userId="placeholder@email.com" userName="Rafael Bernardo" userProvider="google-sheets"/>
        <Anchor>
          <Comment id="{a0b07931-84df-4e45-bd26-08e19f34a746}"/>
        </Anchor>
        <Create/>
      </Event>
      <Event time="2025-07-07T23:47:32.00" id="{fee25d29-b8ec-45b2-8c31-34b5cb28a622}">
        <Attribution userId="placeholder@email.com" userName="Rafael Bernardo" userProvider="google-sheets"/>
        <Anchor>
          <Comment id="{a0b07931-84df-4e45-bd26-08e19f34a746}"/>
        </Anchor>
        <Assign userId="isabel@coryhometeam.com" userName="isabel@coryhometeam.com" userProvider="google-sheets"/>
      </Event>
    </History>
  </Task>
  <Task id="{8b393f2c-7f53-4a00-b33f-7dc53dbb513e}">
    <Anchor>
      <Comment id="{e790496a-8cf5-4c30-8a41-b80d4391d7e2}"/>
    </Anchor>
    <History>
      <Event time="2025-07-07T23:47:39.00" id="{805738f8-4e40-4271-96a4-e2036f3f005a}">
        <Attribution userId="placeholder@email.com" userName="Rafael Bernardo" userProvider="google-sheets"/>
        <Anchor>
          <Comment id="{e790496a-8cf5-4c30-8a41-b80d4391d7e2}"/>
        </Anchor>
        <Create/>
      </Event>
      <Event time="2025-07-07T23:47:39.00" id="{25565698-5fb8-472e-9482-f9f45ac5a7f9}">
        <Attribution userId="placeholder@email.com" userName="Rafael Bernardo" userProvider="google-sheets"/>
        <Anchor>
          <Comment id="{e790496a-8cf5-4c30-8a41-b80d4391d7e2}"/>
        </Anchor>
        <Assign userId="isabel@coryhometeam.com" userName="isabel@coryhometeam.com" userProvider="google-sheets"/>
      </Event>
    </History>
  </Task>
  <Task id="{6a72b888-7aae-4abb-8042-ba69cd18ad9f}">
    <Anchor>
      <Comment id="{7c972c01-482a-4eeb-a574-505d79654330}"/>
    </Anchor>
    <History>
      <Event time="2025-09-22T14:26:27.00" id="{644abb32-a161-4ee1-afc9-93bb22337528}">
        <Attribution userId="placeholder@email.com" userName="Rafael Bernardo" userProvider="google-sheets"/>
        <Anchor>
          <Comment id="{7c972c01-482a-4eeb-a574-505d79654330}"/>
        </Anchor>
        <Create/>
      </Event>
      <Event time="2025-09-22T14:26:27.00" id="{6aca7f10-a9a7-49f1-97ef-50c35d1e0ce7}">
        <Attribution userId="placeholder@email.com" userName="Rafael Bernardo" userProvider="google-sheets"/>
        <Anchor>
          <Comment id="{7c972c01-482a-4eeb-a574-505d79654330}"/>
        </Anchor>
        <Assign userId="isabel@coryhometeam.com" userName="isabel@coryhometeam.com" userProvider="google-sheets"/>
      </Event>
    </History>
  </Task>
  <Task id="{1a6fc54c-6a58-4b84-81d6-7f71c6e31eb0}">
    <Anchor>
      <Comment id="{2e50b025-c690-4296-8696-8cc1425fe23e}"/>
    </Anchor>
    <History>
      <Event time="2025-09-22T14:12:29.00" id="{4c9abe5b-fd2a-4eef-ad2e-ae23bb8f126d}">
        <Attribution userId="placeholder@email.com" userName="Rafael Bernardo" userProvider="google-sheets"/>
        <Anchor>
          <Comment id="{2e50b025-c690-4296-8696-8cc1425fe23e}"/>
        </Anchor>
        <Create/>
      </Event>
      <Event time="2025-09-22T14:12:29.00" id="{c961545f-85ff-4de2-a0fc-cdd4dc501977}">
        <Attribution userId="placeholder@email.com" userName="Rafael Bernardo" userProvider="google-sheets"/>
        <Anchor>
          <Comment id="{2e50b025-c690-4296-8696-8cc1425fe23e}"/>
        </Anchor>
        <Assign userId="isabel@coryhometeam.com" userName="isabel@coryhometeam.com" userProvider="google-sheets"/>
      </Event>
    </History>
  </Task>
  <Task id="{8610cad9-a1ad-41b1-b704-5253598ae8d0}">
    <Anchor>
      <Comment id="{854ef886-4a6d-4c87-b11a-061b17e65816}"/>
    </Anchor>
    <History>
      <Event time="2025-06-19T17:46:54.00" id="{e8e2d5c3-3bef-4060-9979-998efd07442b}">
        <Attribution userId="placeholder@email.com" userName="Kenia Bautista" userProvider="google-sheets"/>
        <Anchor>
          <Comment id="{854ef886-4a6d-4c87-b11a-061b17e65816}"/>
        </Anchor>
        <Create/>
      </Event>
      <Event time="2025-06-19T17:46:54.00" id="{d0d29e2e-43d8-41cb-962e-90a235a89e36}">
        <Attribution userId="placeholder@email.com" userName="Kenia Bautista" userProvider="google-sheets"/>
        <Anchor>
          <Comment id="{854ef886-4a6d-4c87-b11a-061b17e65816}"/>
        </Anchor>
        <Assign userId="aileen@coryhometeam.com" userName="aileen@coryhometeam.com" userProvider="google-sheets"/>
      </Event>
    </History>
  </Task>
  <Task id="{3b35c12f-faba-4b38-bfe8-43b849ab1df9}">
    <Anchor>
      <Comment id="{2eb3a6b0-fbd9-4ffb-90d5-65390eb8a4a9}"/>
    </Anchor>
    <History>
      <Event time="2025-02-14T19:46:45.00" id="{68fe3d23-fc4a-4ba1-9380-575a1f9186e7}">
        <Attribution userId="placeholder@email.com" userName="Jam Bernardo" userProvider="google-sheets"/>
        <Anchor>
          <Comment id="{2eb3a6b0-fbd9-4ffb-90d5-65390eb8a4a9}"/>
        </Anchor>
        <Create/>
      </Event>
      <Event time="2025-02-14T19:46:45.00" id="{502e60c7-22f4-4364-bc93-2985bd7d46d4}">
        <Attribution userId="placeholder@email.com" userName="Jam Bernardo" userProvider="google-sheets"/>
        <Anchor>
          <Comment id="{2eb3a6b0-fbd9-4ffb-90d5-65390eb8a4a9}"/>
        </Anchor>
        <Assign userId="isabel@coryhometeam.com" userName="isabel@coryhometeam.com" userProvider="google-sheets"/>
      </Event>
    </History>
  </Task>
  <Task id="{3e2229a9-286a-48ef-af37-ab70a16e5abd}">
    <Anchor>
      <Comment id="{65c1d451-1023-4b1b-9ba3-4ba5be1c14a1}"/>
    </Anchor>
    <History>
      <Event time="2025-08-07T00:39:34.00" id="{5ddcd3f9-ee9a-4b0a-ae26-27edb0f15fdb}">
        <Attribution userId="placeholder@email.com" userName="Jam Bernardo" userProvider="google-sheets"/>
        <Anchor>
          <Comment id="{65c1d451-1023-4b1b-9ba3-4ba5be1c14a1}"/>
        </Anchor>
        <Create/>
      </Event>
      <Event time="2025-08-07T00:39:34.00" id="{8e132840-e26d-4ac6-bfb1-224af4e20f5d}">
        <Attribution userId="placeholder@email.com" userName="Jam Bernardo" userProvider="google-sheets"/>
        <Anchor>
          <Comment id="{65c1d451-1023-4b1b-9ba3-4ba5be1c14a1}"/>
        </Anchor>
        <Assign userId="isabel@coryhometeam.com" userName="isabel@coryhometeam.com" userProvider="google-sheets"/>
      </Event>
    </History>
  </Task>
  <Task id="{f88415a1-d240-4164-99a6-df9410bc7d5a}">
    <Anchor>
      <Comment id="{f0409f86-2b69-4b28-b8ca-95f9217a1fda}"/>
    </Anchor>
    <History>
      <Event time="2025-06-03T13:54:38.00" id="{fed26f62-24e5-47ff-8483-8de8b5476557}">
        <Attribution userId="placeholder@email.com" userName="Rafael Bernardo" userProvider="google-sheets"/>
        <Anchor>
          <Comment id="{f0409f86-2b69-4b28-b8ca-95f9217a1fda}"/>
        </Anchor>
        <Create/>
      </Event>
      <Event time="2025-06-03T13:54:38.00" id="{5d2585e0-95b0-44a7-aaf8-680446247202}">
        <Attribution userId="placeholder@email.com" userName="Rafael Bernardo" userProvider="google-sheets"/>
        <Anchor>
          <Comment id="{f0409f86-2b69-4b28-b8ca-95f9217a1fda}"/>
        </Anchor>
        <Assign userId="isabel@coryhometeam.com" userName="isabel@coryhometeam.com" userProvider="google-sheets"/>
      </Event>
    </History>
  </Task>
  <Task id="{3318760e-afd9-44f8-90f3-1ec911c40c2e}">
    <Anchor>
      <Comment id="{43de3e26-39d1-4d66-ba90-6db0c544b9f6}"/>
    </Anchor>
    <History>
      <Event time="2025-08-07T00:51:10.00" id="{28553d90-2743-4782-97cd-d13172a3ef9b}">
        <Attribution userId="placeholder@email.com" userName="Remy Victoria" userProvider="google-sheets"/>
        <Anchor>
          <Comment id="{43de3e26-39d1-4d66-ba90-6db0c544b9f6}"/>
        </Anchor>
        <Create/>
      </Event>
      <Event time="2025-08-07T00:51:10.00" id="{faf96e35-553f-44cb-8610-57ef4bc10656}">
        <Attribution userId="placeholder@email.com" userName="Remy Victoria" userProvider="google-sheets"/>
        <Anchor>
          <Comment id="{43de3e26-39d1-4d66-ba90-6db0c544b9f6}"/>
        </Anchor>
        <Assign userId="kenia@coryhometeam.com" userName="kenia@coryhometeam.com" userProvider="google-sheets"/>
      </Event>
    </History>
  </Task>
  <Task id="{54829caf-8db4-44ac-bd60-c7339309fbad}">
    <Anchor>
      <Comment id="{827e1ff9-f83b-4dcb-8e0b-d17979bf466f}"/>
    </Anchor>
    <History>
      <Event time="2025-09-22T14:28:50.00" id="{aae711e2-47e4-4c67-ae4b-7bd856592b60}">
        <Attribution userId="placeholder@email.com" userName="Rafael Bernardo" userProvider="google-sheets"/>
        <Anchor>
          <Comment id="{827e1ff9-f83b-4dcb-8e0b-d17979bf466f}"/>
        </Anchor>
        <Create/>
      </Event>
      <Event time="2025-09-22T14:28:50.00" id="{715bf660-7a4e-4725-8244-8fa592826f94}">
        <Attribution userId="placeholder@email.com" userName="Rafael Bernardo" userProvider="google-sheets"/>
        <Anchor>
          <Comment id="{827e1ff9-f83b-4dcb-8e0b-d17979bf466f}"/>
        </Anchor>
        <Assign userId="isabel@coryhometeam.com" userName="isabel@coryhometeam.com" userProvider="google-sheets"/>
      </Event>
    </History>
  </Task>
  <Task id="{7702449f-6219-42df-a34b-257d97e91b8e}">
    <Anchor>
      <Comment id="{029da55e-aade-40df-ab7f-15ec07394f24}"/>
    </Anchor>
    <History>
      <Event time="2025-10-28T22:31:29.00" id="{91044a43-474f-435f-969c-062de0b9ffef}">
        <Attribution userId="placeholder@email.com" userName="Jam Bernardo" userProvider="google-sheets"/>
        <Anchor>
          <Comment id="{029da55e-aade-40df-ab7f-15ec07394f24}"/>
        </Anchor>
        <Create/>
      </Event>
      <Event time="2025-10-28T22:31:29.00" id="{771f972d-59ac-4717-84ae-01e709476bfe}">
        <Attribution userId="placeholder@email.com" userName="Jam Bernardo" userProvider="google-sheets"/>
        <Anchor>
          <Comment id="{029da55e-aade-40df-ab7f-15ec07394f24}"/>
        </Anchor>
        <Assign userId="isabel@coryhometeam.com" userName="isabel@coryhometeam.com" userProvider="google-sheets"/>
      </Event>
    </History>
  </Task>
  <Task id="{a0024df0-330f-4446-b4bb-290f897d2425}">
    <Anchor>
      <Comment id="{8a2391bd-6682-4319-88e2-e5ed818a402d}"/>
    </Anchor>
    <History>
      <Event time="2025-01-30T17:39:25.00" id="{21491bb9-55fc-4634-963f-7d7a8e216064}">
        <Attribution userId="placeholder@email.com" userName="Rafael Bernardo" userProvider="google-sheets"/>
        <Anchor>
          <Comment id="{8a2391bd-6682-4319-88e2-e5ed818a402d}"/>
        </Anchor>
        <Create/>
      </Event>
      <Event time="2025-01-30T17:39:25.00" id="{ea3adb58-85ab-49b1-b4c7-70cb0ce47ea1}">
        <Attribution userId="placeholder@email.com" userName="Rafael Bernardo" userProvider="google-sheets"/>
        <Anchor>
          <Comment id="{8a2391bd-6682-4319-88e2-e5ed818a402d}"/>
        </Anchor>
        <Assign userId="isabel@coryhometeam.com" userName="isabel@coryhometeam.com" userProvider="google-sheets"/>
      </Event>
    </History>
  </Task>
  <Task id="{3bac076a-8025-4419-b062-84bb72ac39a7}">
    <Anchor>
      <Comment id="{57224220-dcce-4c3b-a5f3-c9267d5dda38}"/>
    </Anchor>
    <History>
      <Event time="2025-12-29T22:40:02.00" id="{43de0ac3-5da3-4663-aaae-90722df2baa5}">
        <Attribution userId="placeholder@email.com" userName="Rafael Bernardo" userProvider="google-sheets"/>
        <Anchor>
          <Comment id="{57224220-dcce-4c3b-a5f3-c9267d5dda38}"/>
        </Anchor>
        <Create/>
      </Event>
      <Event time="2025-12-29T22:40:02.00" id="{9a85da77-c347-4798-a600-3f1e8ac75a30}">
        <Attribution userId="placeholder@email.com" userName="Rafael Bernardo" userProvider="google-sheets"/>
        <Anchor>
          <Comment id="{57224220-dcce-4c3b-a5f3-c9267d5dda38}"/>
        </Anchor>
        <Assign userId="isabel@coryhometeam.com" userName="isabel@coryhometeam.com" userProvider="google-sheets"/>
      </Event>
    </History>
  </Task>
  <Task id="{7a6fcdff-3c9c-430c-9758-f0c3a428631d}">
    <Anchor>
      <Comment id="{a940e6e3-80dc-436c-931b-2895fcf1df57}"/>
    </Anchor>
    <History>
      <Event time="2026-04-21T14:11:45.00" id="{6934681f-09ce-4db8-baa1-51a6bf2bfad2}">
        <Attribution userId="placeholder@email.com" userName="Rafael Bernardo" userProvider="google-sheets"/>
        <Anchor>
          <Comment id="{a940e6e3-80dc-436c-931b-2895fcf1df57}"/>
        </Anchor>
        <Create/>
      </Event>
      <Event time="2026-04-21T14:11:45.00" id="{eebd0ca0-3f30-4eed-8700-25c486527456}">
        <Attribution userId="placeholder@email.com" userName="Rafael Bernardo" userProvider="google-sheets"/>
        <Anchor>
          <Comment id="{a940e6e3-80dc-436c-931b-2895fcf1df57}"/>
        </Anchor>
        <Assign userId="isabel@coryhometeam.com" userName="isabel@coryhometeam.com" userProvider="google-sheets"/>
      </Event>
    </History>
  </Task>
  <Task id="{c10969f2-eb44-4433-99a5-654356234d09}">
    <Anchor>
      <Comment id="{2e3d55ea-e115-45da-9b01-1f92238547ae}"/>
    </Anchor>
    <History>
      <Event time="2025-06-12T15:47:58.00" id="{744855dd-d718-40ab-aed5-4d820ef34f8e}">
        <Attribution userId="placeholder@email.com" userName="Jam Bernardo" userProvider="google-sheets"/>
        <Anchor>
          <Comment id="{2e3d55ea-e115-45da-9b01-1f92238547ae}"/>
        </Anchor>
        <Create/>
      </Event>
      <Event time="2025-06-12T15:47:58.00" id="{1be2fbeb-66cd-4f7d-86f3-e4cca6838a07}">
        <Attribution userId="placeholder@email.com" userName="Jam Bernardo" userProvider="google-sheets"/>
        <Anchor>
          <Comment id="{2e3d55ea-e115-45da-9b01-1f92238547ae}"/>
        </Anchor>
        <Assign userId="isabel@coryhometeam.com" userName="isabel@coryhometeam.com" userProvider="google-sheets"/>
      </Event>
    </History>
  </Task>
  <Task id="{f169154c-2a89-4114-8992-cfac6b323b54}">
    <Anchor>
      <Comment id="{e7ee8fc1-c639-4db2-8b9a-6105990efe0f}"/>
    </Anchor>
    <History>
      <Event time="2025-04-03T03:35:21.00" id="{ce5127e3-c07a-48bb-b779-f69715204166}">
        <Attribution userId="placeholder@email.com" userName="Remy Victoria" userProvider="google-sheets"/>
        <Anchor>
          <Comment id="{e7ee8fc1-c639-4db2-8b9a-6105990efe0f}"/>
        </Anchor>
        <Create/>
      </Event>
      <Event time="2025-04-03T03:35:21.00" id="{ed5dda05-af7b-472f-a532-17b55038ccbd}">
        <Attribution userId="placeholder@email.com" userName="Remy Victoria" userProvider="google-sheets"/>
        <Anchor>
          <Comment id="{e7ee8fc1-c639-4db2-8b9a-6105990efe0f}"/>
        </Anchor>
        <Assign userId="nichole@coryhometeam.com" userName="nichole@coryhometeam.com" userProvider="google-sheets"/>
      </Event>
    </History>
  </Task>
  <Task id="{9b0bd880-1275-46bb-951b-98efcf2ae803}">
    <Anchor>
      <Comment id="{c28d0bba-369d-4df7-91d4-341e585d5b5f}"/>
    </Anchor>
    <History>
      <Event time="2025-12-10T17:45:03.00" id="{2d0450df-31c8-4317-ade7-b522d56a0296}">
        <Attribution userId="placeholder@email.com" userName="Jam Bernardo" userProvider="google-sheets"/>
        <Anchor>
          <Comment id="{c28d0bba-369d-4df7-91d4-341e585d5b5f}"/>
        </Anchor>
        <Create/>
      </Event>
      <Event time="2025-12-10T17:45:03.00" id="{7d3ac715-fb0a-4b1d-939b-704d5346e0b0}">
        <Attribution userId="placeholder@email.com" userName="Jam Bernardo" userProvider="google-sheets"/>
        <Anchor>
          <Comment id="{c28d0bba-369d-4df7-91d4-341e585d5b5f}"/>
        </Anchor>
        <Assign userId="isabel@coryhometeam.com" userName="isabel@coryhometeam.com" userProvider="google-sheets"/>
      </Event>
    </History>
  </Task>
  <Task id="{b2d6022a-46eb-405c-a1ff-bdbfb078c71d}">
    <Anchor>
      <Comment id="{b8159950-13e4-4afb-9062-b26e431e813a}"/>
    </Anchor>
    <History>
      <Event time="2025-06-12T15:58:48.00" id="{84d54d6b-7e6f-4eb3-aa9f-dcc5253dcb04}">
        <Attribution userId="placeholder@email.com" userName="Jam Bernardo" userProvider="google-sheets"/>
        <Anchor>
          <Comment id="{b8159950-13e4-4afb-9062-b26e431e813a}"/>
        </Anchor>
        <Create/>
      </Event>
      <Event time="2025-06-12T15:58:48.00" id="{8e6f613d-a370-42a6-8c2f-4454f6deff36}">
        <Attribution userId="placeholder@email.com" userName="Jam Bernardo" userProvider="google-sheets"/>
        <Anchor>
          <Comment id="{b8159950-13e4-4afb-9062-b26e431e813a}"/>
        </Anchor>
        <Assign userId="isabel@coryhometeam.com" userName="isabel@coryhometeam.com" userProvider="google-sheets"/>
      </Event>
    </History>
  </Task>
  <Task id="{778c13d4-b7a8-4645-96c2-cc1ae2dec7c1}">
    <Anchor>
      <Comment id="{d3ee9593-34b8-4de0-b79d-e878e7566bc2}"/>
    </Anchor>
    <History>
      <Event time="2025-12-10T17:41:40.00" id="{8d1aba6a-9ed9-4d77-be4b-bf2a0377b2cf}">
        <Attribution userId="placeholder@email.com" userName="Jam Bernardo" userProvider="google-sheets"/>
        <Anchor>
          <Comment id="{d3ee9593-34b8-4de0-b79d-e878e7566bc2}"/>
        </Anchor>
        <Create/>
      </Event>
      <Event time="2025-12-10T17:41:40.00" id="{da11fd69-bdce-438a-8086-48cb333f234e}">
        <Attribution userId="placeholder@email.com" userName="Jam Bernardo" userProvider="google-sheets"/>
        <Anchor>
          <Comment id="{d3ee9593-34b8-4de0-b79d-e878e7566bc2}"/>
        </Anchor>
        <Assign userId="isabel@coryhometeam.com" userName="isabel@coryhometeam.com" userProvider="google-sheets"/>
      </Event>
    </History>
  </Task>
  <Task id="{95349ea2-ac6c-4c0c-83b6-2a4b15e1734d}">
    <Anchor>
      <Comment id="{0a62db3d-1fa4-48ac-993e-32660a1ec519}"/>
    </Anchor>
    <History>
      <Event time="2025-05-28T16:27:01.00" id="{f2a285e9-a6bf-44c2-bb5a-efb3d674cd6c}">
        <Attribution userId="placeholder@email.com" userName="Rafael Bernardo" userProvider="google-sheets"/>
        <Anchor>
          <Comment id="{0a62db3d-1fa4-48ac-993e-32660a1ec519}"/>
        </Anchor>
        <Create/>
      </Event>
      <Event time="2025-05-28T16:27:01.00" id="{fdc91a04-21d1-4700-94a4-3bf1ca8163ce}">
        <Attribution userId="placeholder@email.com" userName="Rafael Bernardo" userProvider="google-sheets"/>
        <Anchor>
          <Comment id="{0a62db3d-1fa4-48ac-993e-32660a1ec519}"/>
        </Anchor>
        <Assign userId="isabel@coryhometeam.com" userName="isabel@coryhometeam.com" userProvider="google-sheets"/>
      </Event>
    </History>
  </Task>
  <Task id="{5704491a-1ccc-488e-b280-931df8485026}">
    <Anchor>
      <Comment id="{8bdfc535-4c32-4032-a04d-4f255527411b}"/>
    </Anchor>
    <History>
      <Event time="2025-03-17T18:38:59.00" id="{7cff59fe-a400-49d5-b341-9d3417d2dfcf}">
        <Attribution userId="placeholder@email.com" userName="Jam Bernardo" userProvider="google-sheets"/>
        <Anchor>
          <Comment id="{8bdfc535-4c32-4032-a04d-4f255527411b}"/>
        </Anchor>
        <Create/>
      </Event>
      <Event time="2025-03-17T18:38:59.00" id="{4ddabbc4-9b96-4088-83e1-08f7159ddb42}">
        <Attribution userId="placeholder@email.com" userName="Jam Bernardo" userProvider="google-sheets"/>
        <Anchor>
          <Comment id="{8bdfc535-4c32-4032-a04d-4f255527411b}"/>
        </Anchor>
        <Assign userId="isabel@coryhometeam.com" userName="isabel@coryhometeam.com" userProvider="google-sheets"/>
      </Event>
    </History>
  </Task>
  <Task id="{d6de1cac-8032-459f-9c25-ad7ad13462a3}">
    <Anchor>
      <Comment id="{5be3f76c-b2f5-4ab4-a55d-ba918983cf92}"/>
    </Anchor>
    <History>
      <Event time="2025-10-01T07:03:07.00" id="{77f77cd2-e4a5-4d23-ac33-06d2b1f815ed}">
        <Attribution userId="placeholder@email.com" userName="Rafael Bernardo" userProvider="google-sheets"/>
        <Anchor>
          <Comment id="{5be3f76c-b2f5-4ab4-a55d-ba918983cf92}"/>
        </Anchor>
        <Create/>
      </Event>
      <Event time="2025-10-01T07:03:07.00" id="{54c291a0-7909-4fdb-90ec-cdb398dcb603}">
        <Attribution userId="placeholder@email.com" userName="Rafael Bernardo" userProvider="google-sheets"/>
        <Anchor>
          <Comment id="{5be3f76c-b2f5-4ab4-a55d-ba918983cf92}"/>
        </Anchor>
        <Assign userId="isabel@coryhometeam.com" userName="isabel@coryhometeam.com" userProvider="google-sheets"/>
      </Event>
    </History>
  </Task>
  <Task id="{4467fc55-5c0e-4d3e-88e6-cb56bc78c06a}">
    <Anchor>
      <Comment id="{0ed44129-f956-498a-937f-79b95c6ba7c4}"/>
    </Anchor>
    <History>
      <Event time="2025-05-28T17:06:38.00" id="{d88a21eb-34e0-4f0e-9e72-e5b00f4983bd}">
        <Attribution userId="placeholder@email.com" userName="Rafael Bernardo" userProvider="google-sheets"/>
        <Anchor>
          <Comment id="{0ed44129-f956-498a-937f-79b95c6ba7c4}"/>
        </Anchor>
        <Create/>
      </Event>
      <Event time="2025-05-28T17:06:38.00" id="{d8d1333d-0921-4a1d-ad2b-1947c0e72b66}">
        <Attribution userId="placeholder@email.com" userName="Rafael Bernardo" userProvider="google-sheets"/>
        <Anchor>
          <Comment id="{0ed44129-f956-498a-937f-79b95c6ba7c4}"/>
        </Anchor>
        <Assign userId="isabel@coryhometeam.com" userName="isabel@coryhometeam.com" userProvider="google-sheets"/>
      </Event>
    </History>
  </Task>
  <Task id="{7b84d1e5-021d-42c9-bbcb-e6ca116023df}">
    <Anchor>
      <Comment id="{f6a6c779-fe72-4c9b-a0bf-b45c624d56c2}"/>
    </Anchor>
    <History>
      <Event time="2025-05-14T21:44:10.00" id="{c8b248e0-5865-43af-9bf4-fc6ce6230dce}">
        <Attribution userId="placeholder@email.com" userName="Jam Bernardo" userProvider="google-sheets"/>
        <Anchor>
          <Comment id="{f6a6c779-fe72-4c9b-a0bf-b45c624d56c2}"/>
        </Anchor>
        <Create/>
      </Event>
      <Event time="2025-05-14T21:44:10.00" id="{5d4233ba-3024-4289-99ef-92207c39d73f}">
        <Attribution userId="placeholder@email.com" userName="Jam Bernardo" userProvider="google-sheets"/>
        <Anchor>
          <Comment id="{f6a6c779-fe72-4c9b-a0bf-b45c624d56c2}"/>
        </Anchor>
        <Assign userId="isabel@coryhometeam.com" userName="isabel@coryhometeam.com" userProvider="google-sheets"/>
      </Event>
    </History>
  </Task>
  <Task id="{b6bfffcf-3699-491b-b5c0-b07a0171f70d}">
    <Anchor>
      <Comment id="{5cbe3938-fec3-4341-855e-8377e91d6e61}"/>
    </Anchor>
    <History>
      <Event time="2025-05-28T17:09:32.00" id="{73e9fc7f-a3f6-4482-a7d6-2dafae8e7227}">
        <Attribution userId="placeholder@email.com" userName="Rafael Bernardo" userProvider="google-sheets"/>
        <Anchor>
          <Comment id="{5cbe3938-fec3-4341-855e-8377e91d6e61}"/>
        </Anchor>
        <Create/>
      </Event>
      <Event time="2025-05-28T17:09:32.00" id="{0ba638ce-2f67-4ea2-9d33-d01236184fd0}">
        <Attribution userId="placeholder@email.com" userName="Rafael Bernardo" userProvider="google-sheets"/>
        <Anchor>
          <Comment id="{5cbe3938-fec3-4341-855e-8377e91d6e61}"/>
        </Anchor>
        <Assign userId="isabel@coryhometeam.com" userName="isabel@coryhometeam.com" userProvider="google-sheets"/>
      </Event>
    </History>
  </Task>
  <Task id="{e7c2df64-d09c-46d0-a1e8-89e1101a0ba0}">
    <Anchor>
      <Comment id="{867821ed-acb6-4a8f-b189-9e7c9e7837cf}"/>
    </Anchor>
    <History>
      <Event time="2026-06-03T20:26:26.00" id="{74c58196-77d2-4124-8a7c-2f5796e046a8}">
        <Attribution userId="placeholder@email.com" userName="Kenia Bautista" userProvider="google-sheets"/>
        <Anchor>
          <Comment id="{867821ed-acb6-4a8f-b189-9e7c9e7837cf}"/>
        </Anchor>
        <Create/>
      </Event>
      <Event time="2026-06-03T20:26:26.00" id="{aa06eb4f-9ac1-414c-a33d-0f34d2616172}">
        <Attribution userId="placeholder@email.com" userName="Kenia Bautista" userProvider="google-sheets"/>
        <Anchor>
          <Comment id="{867821ed-acb6-4a8f-b189-9e7c9e7837cf}"/>
        </Anchor>
        <Assign userId="dana@coryhometeam.com" userName="dana@coryhometeam.com" userProvider="google-sheets"/>
      </Event>
    </History>
  </Task>
  <Task id="{994580e9-c241-4dcd-a27e-1632c8341226}">
    <Anchor>
      <Comment id="{3992469f-8fd6-4078-b2f6-636eae4d0e96}"/>
    </Anchor>
    <History>
      <Event time="2025-02-03T18:45:14.00" id="{bf3ca923-4ab2-449e-a55a-924e1403a71e}">
        <Attribution userId="placeholder@email.com" userName="Rafael Bernardo" userProvider="google-sheets"/>
        <Anchor>
          <Comment id="{3992469f-8fd6-4078-b2f6-636eae4d0e96}"/>
        </Anchor>
        <Create/>
      </Event>
      <Event time="2025-02-03T18:45:14.00" id="{32b14db7-b3c8-46b1-b4e6-9c2b67998a57}">
        <Attribution userId="placeholder@email.com" userName="Rafael Bernardo" userProvider="google-sheets"/>
        <Anchor>
          <Comment id="{3992469f-8fd6-4078-b2f6-636eae4d0e96}"/>
        </Anchor>
        <Assign userId="isabel@coryhometeam.com" userName="isabel@coryhometeam.com" userProvider="google-sheets"/>
      </Event>
    </History>
  </Task>
  <Task id="{6d2ef65d-2683-4f5a-9805-e2b8ab3e4cfe}">
    <Anchor>
      <Comment id="{b988e857-8d5c-4399-8cc5-44087ae2cefb}"/>
    </Anchor>
    <History>
      <Event time="2026-06-03T20:34:03.00" id="{5c3a56e7-3900-4af8-bb46-a6d5b16e02f3}">
        <Attribution userId="placeholder@email.com" userName="Rafael Bernardo" userProvider="google-sheets"/>
        <Anchor>
          <Comment id="{b988e857-8d5c-4399-8cc5-44087ae2cefb}"/>
        </Anchor>
        <Create/>
      </Event>
      <Event time="2026-06-03T20:34:03.00" id="{e82bf96e-ab89-4989-9d69-4e9101f1a9b4}">
        <Attribution userId="placeholder@email.com" userName="Rafael Bernardo" userProvider="google-sheets"/>
        <Anchor>
          <Comment id="{b988e857-8d5c-4399-8cc5-44087ae2cefb}"/>
        </Anchor>
        <Assign userId="isabel@coryhometeam.com" userName="isabel@coryhometeam.com" userProvider="google-sheets"/>
      </Event>
    </History>
  </Task>
  <Task id="{4383b375-21c4-4b1b-be6d-99bf9f5ffafb}">
    <Anchor>
      <Comment id="{44029d52-d807-43c4-aabd-2784513aaf0a}"/>
    </Anchor>
    <History>
      <Event time="2025-11-14T17:34:08.00" id="{0d9cd3f4-dc50-43b5-bd9e-676611fd5725}">
        <Attribution userId="placeholder@email.com" userName="Jam Bernardo" userProvider="google-sheets"/>
        <Anchor>
          <Comment id="{44029d52-d807-43c4-aabd-2784513aaf0a}"/>
        </Anchor>
        <Create/>
      </Event>
      <Event time="2025-11-14T17:34:08.00" id="{c25ff0a5-6712-410d-9ba4-045007f46d39}">
        <Attribution userId="placeholder@email.com" userName="Jam Bernardo" userProvider="google-sheets"/>
        <Anchor>
          <Comment id="{44029d52-d807-43c4-aabd-2784513aaf0a}"/>
        </Anchor>
        <Assign userId="isabel@coryhometeam.com" userName="isabel@coryhometeam.com" userProvider="google-sheets"/>
      </Event>
    </History>
  </Task>
  <Task id="{5e00bb9b-35bf-4f18-96b1-9a2fdc082d97}">
    <Anchor>
      <Comment id="{93f14cbd-0185-41e3-8106-0c8e3114c2ea}"/>
    </Anchor>
    <History>
      <Event time="2025-11-14T17:34:14.00" id="{e9eb1e95-5af2-492c-b584-a82191380bc7}">
        <Attribution userId="placeholder@email.com" userName="Jam Bernardo" userProvider="google-sheets"/>
        <Anchor>
          <Comment id="{93f14cbd-0185-41e3-8106-0c8e3114c2ea}"/>
        </Anchor>
        <Create/>
      </Event>
      <Event time="2025-11-14T17:34:14.00" id="{597ec721-bde1-4357-80f0-9b3bda765b0c}">
        <Attribution userId="placeholder@email.com" userName="Jam Bernardo" userProvider="google-sheets"/>
        <Anchor>
          <Comment id="{93f14cbd-0185-41e3-8106-0c8e3114c2ea}"/>
        </Anchor>
        <Assign userId="isabel@coryhometeam.com" userName="isabel@coryhometeam.com" userProvider="google-sheets"/>
      </Event>
    </History>
  </Task>
  <Task id="{1a8b7449-bde9-4ca7-b700-11f22c7b023e}">
    <Anchor>
      <Comment id="{05646f1a-69ee-42e4-b29c-b0cf01fd4cbb}"/>
    </Anchor>
    <History>
      <Event time="2025-06-03T17:11:57.00" id="{cbe51a61-ac89-4bd1-b0a4-c8a1d8eca303}">
        <Attribution userId="placeholder@email.com" userName="Jam Bernardo" userProvider="google-sheets"/>
        <Anchor>
          <Comment id="{05646f1a-69ee-42e4-b29c-b0cf01fd4cbb}"/>
        </Anchor>
        <Create/>
      </Event>
      <Event time="2025-06-03T17:11:57.00" id="{c43c5544-5b90-4e6d-91a0-dbfa1baad4a0}">
        <Attribution userId="placeholder@email.com" userName="Jam Bernardo" userProvider="google-sheets"/>
        <Anchor>
          <Comment id="{05646f1a-69ee-42e4-b29c-b0cf01fd4cbb}"/>
        </Anchor>
        <Assign userId="isabel@coryhometeam.com" userName="isabel@coryhometeam.com" userProvider="google-sheets"/>
      </Event>
    </History>
  </Task>
  <Task id="{059d900d-d808-48c8-8d5d-1fa38265528f}">
    <Anchor>
      <Comment id="{d24ef50c-00b3-4a66-a291-1133ac720873}"/>
    </Anchor>
    <History>
      <Event time="2025-06-03T17:08:14.00" id="{80716edb-22af-487a-994f-f09f90967bd2}">
        <Attribution userId="placeholder@email.com" userName="Jam Bernardo" userProvider="google-sheets"/>
        <Anchor>
          <Comment id="{d24ef50c-00b3-4a66-a291-1133ac720873}"/>
        </Anchor>
        <Create/>
      </Event>
      <Event time="2025-06-03T17:08:14.00" id="{231122d0-076e-4e9d-9326-76ca9397c82a}">
        <Attribution userId="placeholder@email.com" userName="Jam Bernardo" userProvider="google-sheets"/>
        <Anchor>
          <Comment id="{d24ef50c-00b3-4a66-a291-1133ac720873}"/>
        </Anchor>
        <Assign userId="isabel@coryhometeam.com" userName="isabel@coryhometeam.com" userProvider="google-sheets"/>
      </Event>
    </History>
  </Task>
  <Task id="{31c673f0-c83e-4fb2-be13-152d70e9581c}">
    <Anchor>
      <Comment id="{a15015dd-b0b0-4425-8eed-6887817b27b7}"/>
    </Anchor>
    <History>
      <Event time="2025-11-14T15:37:50.00" id="{deb09a97-625a-4196-b94d-1db446107983}">
        <Attribution userId="placeholder@email.com" userName="Jam Bernardo" userProvider="google-sheets"/>
        <Anchor>
          <Comment id="{a15015dd-b0b0-4425-8eed-6887817b27b7}"/>
        </Anchor>
        <Create/>
      </Event>
      <Event time="2025-11-14T15:37:50.00" id="{703d559f-7e3d-4de7-9ae0-247341472f59}">
        <Attribution userId="placeholder@email.com" userName="Jam Bernardo" userProvider="google-sheets"/>
        <Anchor>
          <Comment id="{a15015dd-b0b0-4425-8eed-6887817b27b7}"/>
        </Anchor>
        <Assign userId="isabel@coryhometeam.com" userName="isabel@coryhometeam.com" userProvider="google-sheets"/>
      </Event>
    </History>
  </Task>
  <Task id="{30b3bffd-e57c-4f53-b64d-e51081952cc8}">
    <Anchor>
      <Comment id="{97b8b87c-dbda-43d2-9494-8cb8df92d786}"/>
    </Anchor>
    <History>
      <Event time="2025-01-15T16:06:35.00" id="{329cb661-e35e-4984-a881-ca0041a16aad}">
        <Attribution userId="placeholder@email.com" userName="Jam Bernardo" userProvider="google-sheets"/>
        <Anchor>
          <Comment id="{97b8b87c-dbda-43d2-9494-8cb8df92d786}"/>
        </Anchor>
        <Create/>
      </Event>
      <Event time="2025-01-15T16:06:35.00" id="{a6e52312-ef2a-416b-93b8-65e46bfbd6a6}">
        <Attribution userId="placeholder@email.com" userName="Jam Bernardo" userProvider="google-sheets"/>
        <Anchor>
          <Comment id="{97b8b87c-dbda-43d2-9494-8cb8df92d786}"/>
        </Anchor>
        <Assign userId="isabel@coryhometeam.com" userName="isabel@coryhometeam.com" userProvider="google-sheets"/>
      </Event>
    </History>
  </Task>
  <Task id="{90966fad-30d2-4f7e-ab38-a12a5bcea04a}">
    <Anchor>
      <Comment id="{13ba2b28-bfda-42fd-87c3-d8993f1599cf}"/>
    </Anchor>
    <History>
      <Event time="2025-07-31T12:20:12.00" id="{0bb6e356-3820-4ba3-8c25-d84d48bec2eb}">
        <Attribution userId="placeholder@email.com" userName="Rafael Bernardo" userProvider="google-sheets"/>
        <Anchor>
          <Comment id="{13ba2b28-bfda-42fd-87c3-d8993f1599cf}"/>
        </Anchor>
        <Create/>
      </Event>
      <Event time="2025-07-31T12:20:12.00" id="{615bc323-517f-4cf9-bfbc-a5ca495ce657}">
        <Attribution userId="placeholder@email.com" userName="Rafael Bernardo" userProvider="google-sheets"/>
        <Anchor>
          <Comment id="{13ba2b28-bfda-42fd-87c3-d8993f1599cf}"/>
        </Anchor>
        <Assign userId="isabel@coryhometeam.com" userName="isabel@coryhometeam.com" userProvider="google-sheets"/>
      </Event>
    </History>
  </Task>
  <Task id="{497a2775-f03c-457f-9363-dbeb6c52a941}">
    <Anchor>
      <Comment id="{49a9b9e9-c9a5-437c-9f81-88e193c16796}"/>
    </Anchor>
    <History>
      <Event time="2025-11-04T20:18:46.00" id="{45db0d10-6916-450f-a0e5-5834f398a601}">
        <Attribution userId="placeholder@email.com" userName="Jam Bernardo" userProvider="google-sheets"/>
        <Anchor>
          <Comment id="{49a9b9e9-c9a5-437c-9f81-88e193c16796}"/>
        </Anchor>
        <Create/>
      </Event>
      <Event time="2025-11-04T20:18:46.00" id="{4e0d8fde-a666-45c2-878f-e7c3b97b9548}">
        <Attribution userId="placeholder@email.com" userName="Jam Bernardo" userProvider="google-sheets"/>
        <Anchor>
          <Comment id="{49a9b9e9-c9a5-437c-9f81-88e193c16796}"/>
        </Anchor>
        <Assign userId="isabel@coryhometeam.com" userName="isabel@coryhometeam.com" userProvider="google-sheets"/>
      </Event>
    </History>
  </Task>
  <Task id="{e3b2d644-4c86-4142-8d04-b0292c03870f}">
    <Anchor>
      <Comment id="{4ae88ebd-da22-4be2-bdf1-f25c92b5e60d}"/>
    </Anchor>
    <History>
      <Event time="2025-05-16T14:21:02.00" id="{9d24cff7-9e05-4ac6-b4d1-3e448d29df23}">
        <Attribution userId="placeholder@email.com" userName="Rafael Bernardo" userProvider="google-sheets"/>
        <Anchor>
          <Comment id="{4ae88ebd-da22-4be2-bdf1-f25c92b5e60d}"/>
        </Anchor>
        <Create/>
      </Event>
      <Event time="2025-05-16T14:21:02.00" id="{2f3ada14-b0eb-4f7b-bc24-c2772f074b25}">
        <Attribution userId="placeholder@email.com" userName="Rafael Bernardo" userProvider="google-sheets"/>
        <Anchor>
          <Comment id="{4ae88ebd-da22-4be2-bdf1-f25c92b5e60d}"/>
        </Anchor>
        <Assign userId="isabel@coryhometeam.com" userName="isabel@coryhometeam.com" userProvider="google-sheets"/>
      </Event>
    </History>
  </Task>
  <Task id="{a19c33ba-efb0-4f9a-8658-c13338199f1d}">
    <Anchor>
      <Comment id="{b85a2017-7179-42c5-89b1-ee4cf08a04f7}"/>
    </Anchor>
    <History>
      <Event time="2025-11-14T14:59:23.00" id="{f4333523-2583-4bf3-9a53-c3cae1dbe243}">
        <Attribution userId="placeholder@email.com" userName="Jam Bernardo" userProvider="google-sheets"/>
        <Anchor>
          <Comment id="{b85a2017-7179-42c5-89b1-ee4cf08a04f7}"/>
        </Anchor>
        <Create/>
      </Event>
      <Event time="2025-11-14T14:59:23.00" id="{9dc5742b-de6b-4a3a-87bd-4262fdfe6a8d}">
        <Attribution userId="placeholder@email.com" userName="Jam Bernardo" userProvider="google-sheets"/>
        <Anchor>
          <Comment id="{b85a2017-7179-42c5-89b1-ee4cf08a04f7}"/>
        </Anchor>
        <Assign userId="isabel@coryhometeam.com" userName="isabel@coryhometeam.com" userProvider="google-sheets"/>
      </Event>
    </History>
  </Task>
  <Task id="{9c29418a-2a46-4718-b5ce-9a9191d19656}">
    <Anchor>
      <Comment id="{eb952a2b-8a94-4a10-a047-92c9d85e1d90}"/>
    </Anchor>
    <History>
      <Event time="2025-11-14T16:04:55.00" id="{8cf39ed9-cac3-4262-b717-66c80f8bf48e}">
        <Attribution userId="placeholder@email.com" userName="Rafael Bernardo" userProvider="google-sheets"/>
        <Anchor>
          <Comment id="{eb952a2b-8a94-4a10-a047-92c9d85e1d90}"/>
        </Anchor>
        <Create/>
      </Event>
      <Event time="2025-11-14T16:04:55.00" id="{62d6219d-7a9b-4fcd-8275-b2a391dc6898}">
        <Attribution userId="placeholder@email.com" userName="Rafael Bernardo" userProvider="google-sheets"/>
        <Anchor>
          <Comment id="{eb952a2b-8a94-4a10-a047-92c9d85e1d90}"/>
        </Anchor>
        <Assign userId="isabel@coryhometeam.com" userName="isabel@coryhometeam.com" userProvider="google-sheets"/>
      </Event>
    </History>
  </Task>
  <Task id="{4bf3f6c0-71fc-4228-b3d5-4a5bc01ded42}">
    <Anchor>
      <Comment id="{38f6993f-625f-4af5-a70a-4707ee85db69}"/>
    </Anchor>
    <History>
      <Event time="2025-06-03T17:30:45.00" id="{8f7c6033-fce9-436e-ac9e-0d6e956fbca4}">
        <Attribution userId="placeholder@email.com" userName="Rafael Bernardo" userProvider="google-sheets"/>
        <Anchor>
          <Comment id="{38f6993f-625f-4af5-a70a-4707ee85db69}"/>
        </Anchor>
        <Create/>
      </Event>
      <Event time="2025-06-03T17:30:45.00" id="{fb8d3a11-6a8e-4ef8-bdba-27393d5df910}">
        <Attribution userId="placeholder@email.com" userName="Rafael Bernardo" userProvider="google-sheets"/>
        <Anchor>
          <Comment id="{38f6993f-625f-4af5-a70a-4707ee85db69}"/>
        </Anchor>
        <Assign userId="isabel@coryhometeam.com" userName="isabel@coryhometeam.com" userProvider="google-sheets"/>
      </Event>
    </History>
  </Task>
  <Task id="{046e40be-e0f6-4a6d-a738-afe364c00fd0}">
    <Anchor>
      <Comment id="{a1eac31b-e55b-407b-b714-b9532aac3c60}"/>
    </Anchor>
    <History>
      <Event time="2025-11-14T16:07:59.00" id="{5bd47414-07be-4a3e-b593-6db276038dfc}">
        <Attribution userId="placeholder@email.com" userName="Rafael Bernardo" userProvider="google-sheets"/>
        <Anchor>
          <Comment id="{a1eac31b-e55b-407b-b714-b9532aac3c60}"/>
        </Anchor>
        <Create/>
      </Event>
      <Event time="2025-11-14T16:07:59.00" id="{bed8de28-0597-41e6-9b17-ef3da0245223}">
        <Attribution userId="placeholder@email.com" userName="Rafael Bernardo" userProvider="google-sheets"/>
        <Anchor>
          <Comment id="{a1eac31b-e55b-407b-b714-b9532aac3c60}"/>
        </Anchor>
        <Assign userId="isabel@coryhometeam.com" userName="isabel@coryhometeam.com" userProvider="google-sheets"/>
      </Event>
    </History>
  </Task>
  <Task id="{8bb40ff4-f8df-4d8b-aa9e-fba48132a97f}">
    <Anchor>
      <Comment id="{b26e19bc-54ce-4f0b-8267-5fd778341f2d}"/>
    </Anchor>
    <History>
      <Event time="2025-05-23T20:41:54.00" id="{60e212d7-76f7-4309-aa5b-9bd70901a338}">
        <Attribution userId="placeholder@email.com" userName="Rafael Bernardo" userProvider="google-sheets"/>
        <Anchor>
          <Comment id="{b26e19bc-54ce-4f0b-8267-5fd778341f2d}"/>
        </Anchor>
        <Create/>
      </Event>
      <Event time="2025-05-23T20:41:54.00" id="{4ea2f422-aa4f-4342-9dc0-4d63847fa5c5}">
        <Attribution userId="placeholder@email.com" userName="Rafael Bernardo" userProvider="google-sheets"/>
        <Anchor>
          <Comment id="{b26e19bc-54ce-4f0b-8267-5fd778341f2d}"/>
        </Anchor>
        <Assign userId="isabel@coryhometeam.com" userName="isabel@coryhometeam.com" userProvider="google-sheets"/>
      </Event>
    </History>
  </Task>
  <Task id="{e44c21d1-dd23-43b6-8e57-44589f132240}">
    <Anchor>
      <Comment id="{637ef153-a155-4875-83ca-42de384c344b}"/>
    </Anchor>
    <History>
      <Event time="2025-07-31T13:35:17.00" id="{c31f3427-d4b1-48cf-924e-bd6c10612ad9}">
        <Attribution userId="placeholder@email.com" userName="Rafael Bernardo" userProvider="google-sheets"/>
        <Anchor>
          <Comment id="{637ef153-a155-4875-83ca-42de384c344b}"/>
        </Anchor>
        <Create/>
      </Event>
      <Event time="2025-07-31T13:35:17.00" id="{a2bafef6-0024-4adc-943f-bd345acdeae4}">
        <Attribution userId="placeholder@email.com" userName="Rafael Bernardo" userProvider="google-sheets"/>
        <Anchor>
          <Comment id="{637ef153-a155-4875-83ca-42de384c344b}"/>
        </Anchor>
        <Assign userId="isabel@coryhometeam.com" userName="isabel@coryhometeam.com" userProvider="google-sheets"/>
      </Event>
    </History>
  </Task>
  <Task id="{2134625c-061b-4841-9d3a-92f1ac0cc068}">
    <Anchor>
      <Comment id="{fa2152a3-0965-42fb-84ff-534bab17a4e4}"/>
    </Anchor>
    <History>
      <Event time="2025-07-07T16:33:22.00" id="{f04df982-2143-4767-9395-7cc876c2fbfb}">
        <Attribution userId="placeholder@email.com" userName="Alexis Cassidy" userProvider="google-sheets"/>
        <Anchor>
          <Comment id="{fa2152a3-0965-42fb-84ff-534bab17a4e4}"/>
        </Anchor>
        <Create/>
      </Event>
      <Event time="2025-07-07T16:33:22.00" id="{e43452a8-25ac-4db6-8739-9750852764e3}">
        <Attribution userId="placeholder@email.com" userName="Alexis Cassidy" userProvider="google-sheets"/>
        <Anchor>
          <Comment id="{fa2152a3-0965-42fb-84ff-534bab17a4e4}"/>
        </Anchor>
        <Assign userId="aileen@coryhometeam.com" userName="aileen@coryhometeam.com" userProvider="google-sheets"/>
      </Event>
    </History>
  </Task>
  <Task id="{8e07b6eb-063e-49da-91f4-b32c7c4a3a64}">
    <Anchor>
      <Comment id="{dff79816-8cec-4d59-8974-cff721112252}"/>
    </Anchor>
    <History>
      <Event time="2025-06-10T20:58:52.00" id="{b20bf6b7-bd27-46fc-ac9f-02c37f1f6fd2}">
        <Attribution userId="placeholder@email.com" userName="Jam Bernardo" userProvider="google-sheets"/>
        <Anchor>
          <Comment id="{dff79816-8cec-4d59-8974-cff721112252}"/>
        </Anchor>
        <Create/>
      </Event>
      <Event time="2025-06-10T20:58:52.00" id="{5cc0263e-cfaf-476e-852e-b2a7019f8580}">
        <Attribution userId="placeholder@email.com" userName="Jam Bernardo" userProvider="google-sheets"/>
        <Anchor>
          <Comment id="{dff79816-8cec-4d59-8974-cff721112252}"/>
        </Anchor>
        <Assign userId="isabel@coryhometeam.com" userName="isabel@coryhometeam.com" userProvider="google-sheets"/>
      </Event>
    </History>
  </Task>
  <Task id="{7474f5e0-f2c0-4f6b-811c-db06c5580a57}">
    <Anchor>
      <Comment id="{a4731c2e-97b2-48ef-9792-cc0d5df4df83}"/>
    </Anchor>
    <History>
      <Event time="2025-09-05T18:39:18.00" id="{f0513aff-e0eb-46db-954b-af97fcc04954}">
        <Attribution userId="placeholder@email.com" userName="Rafael Bernardo" userProvider="google-sheets"/>
        <Anchor>
          <Comment id="{a4731c2e-97b2-48ef-9792-cc0d5df4df83}"/>
        </Anchor>
        <Create/>
      </Event>
      <Event time="2025-09-05T18:39:18.00" id="{05cba201-a7e5-4575-89bc-7231a5ad704f}">
        <Attribution userId="placeholder@email.com" userName="Rafael Bernardo" userProvider="google-sheets"/>
        <Anchor>
          <Comment id="{a4731c2e-97b2-48ef-9792-cc0d5df4df83}"/>
        </Anchor>
        <Assign userId="isabel@coryhometeam.com" userName="isabel@coryhometeam.com" userProvider="google-sheets"/>
      </Event>
    </History>
  </Task>
  <Task id="{27a7d832-792f-46ca-90a2-ee791a479aae}">
    <Anchor>
      <Comment id="{284e7a4e-a5b3-4f16-9409-0e6cbcc5a384}"/>
    </Anchor>
    <History>
      <Event time="2025-07-25T15:23:38.00" id="{90c36103-02fe-4634-a11a-51e7e89fb7a9}">
        <Attribution userId="placeholder@email.com" userName="Jam Bernardo" userProvider="google-sheets"/>
        <Anchor>
          <Comment id="{284e7a4e-a5b3-4f16-9409-0e6cbcc5a384}"/>
        </Anchor>
        <Create/>
      </Event>
      <Event time="2025-07-25T15:23:38.00" id="{44b2a45e-3c12-4a19-9646-b5f302bf9110}">
        <Attribution userId="placeholder@email.com" userName="Jam Bernardo" userProvider="google-sheets"/>
        <Anchor>
          <Comment id="{284e7a4e-a5b3-4f16-9409-0e6cbcc5a384}"/>
        </Anchor>
        <Assign userId="isabel@coryhometeam.com" userName="isabel@coryhometeam.com" userProvider="google-sheets"/>
      </Event>
    </History>
  </Task>
  <Task id="{091f707b-4c94-4817-bd99-4a60cf6fb383}">
    <Anchor>
      <Comment id="{6dcc3a1c-7e7a-4a70-93ad-de578c5d8cb2}"/>
    </Anchor>
    <History>
      <Event time="2025-04-18T22:51:18.00" id="{0ac45e5a-f261-469a-8faf-e97124510d52}">
        <Attribution userId="placeholder@email.com" userName="Jam Bernardo" userProvider="google-sheets"/>
        <Anchor>
          <Comment id="{6dcc3a1c-7e7a-4a70-93ad-de578c5d8cb2}"/>
        </Anchor>
        <Create/>
      </Event>
      <Event time="2025-04-18T22:51:18.00" id="{e4adb4db-e964-4384-b58f-4ac5dcea69a5}">
        <Attribution userId="placeholder@email.com" userName="Jam Bernardo" userProvider="google-sheets"/>
        <Anchor>
          <Comment id="{6dcc3a1c-7e7a-4a70-93ad-de578c5d8cb2}"/>
        </Anchor>
        <Assign userId="isabel@coryhometeam.com" userName="isabel@coryhometeam.com" userProvider="google-sheets"/>
      </Event>
    </History>
  </Task>
  <Task id="{3fc36e07-d153-46c2-9c2d-0633ffb0667d}">
    <Anchor>
      <Comment id="{c959d6ba-af93-4bda-b66f-673d908007c3}"/>
    </Anchor>
    <History>
      <Event time="2025-06-03T17:24:39.00" id="{cf47ba53-ef37-43bb-8fd6-c51ea3e4dee7}">
        <Attribution userId="placeholder@email.com" userName="Jam Bernardo" userProvider="google-sheets"/>
        <Anchor>
          <Comment id="{c959d6ba-af93-4bda-b66f-673d908007c3}"/>
        </Anchor>
        <Create/>
      </Event>
      <Event time="2025-06-03T17:24:39.00" id="{d5fd5d4a-8be8-426a-8108-5a0941a2aee3}">
        <Attribution userId="placeholder@email.com" userName="Jam Bernardo" userProvider="google-sheets"/>
        <Anchor>
          <Comment id="{c959d6ba-af93-4bda-b66f-673d908007c3}"/>
        </Anchor>
        <Assign userId="isabel@coryhometeam.com" userName="isabel@coryhometeam.com" userProvider="google-sheets"/>
      </Event>
    </History>
  </Task>
  <Task id="{32b8fb88-e274-46c1-8b7a-fda03e8bc9cb}">
    <Anchor>
      <Comment id="{bff0f204-4dad-4aeb-a051-670b6f13ca50}"/>
    </Anchor>
    <History>
      <Event time="2025-04-25T05:49:14.00" id="{b650afc3-5c57-4418-9e77-acecc00a7bb9}">
        <Attribution userId="placeholder@email.com" userName="Rafael Bernardo" userProvider="google-sheets"/>
        <Anchor>
          <Comment id="{bff0f204-4dad-4aeb-a051-670b6f13ca50}"/>
        </Anchor>
        <Create/>
      </Event>
      <Event time="2025-04-25T05:49:14.00" id="{d40098c2-7ccc-4502-9afa-c5ea390cfc7c}">
        <Attribution userId="placeholder@email.com" userName="Rafael Bernardo" userProvider="google-sheets"/>
        <Anchor>
          <Comment id="{bff0f204-4dad-4aeb-a051-670b6f13ca50}"/>
        </Anchor>
        <Assign userId="isabel@coryhometeam.com" userName="isabel@coryhometeam.com" userProvider="google-sheets"/>
      </Event>
    </History>
  </Task>
  <Task id="{ed31478c-00b9-4b98-921c-9d6f46442671}">
    <Anchor>
      <Comment id="{437da0ed-f51b-4f85-aa5d-1608cc54ca44}"/>
    </Anchor>
    <History>
      <Event time="2025-07-10T16:52:22.00" id="{4ca0d384-805e-4eed-968a-14c5965e5ba4}">
        <Attribution userId="placeholder@email.com" userName="Kenia Bautista" userProvider="google-sheets"/>
        <Anchor>
          <Comment id="{437da0ed-f51b-4f85-aa5d-1608cc54ca44}"/>
        </Anchor>
        <Create/>
      </Event>
      <Event time="2025-07-10T16:52:22.00" id="{3d586262-b9c4-4f6e-b74c-236867651adf}">
        <Attribution userId="placeholder@email.com" userName="Kenia Bautista" userProvider="google-sheets"/>
        <Anchor>
          <Comment id="{437da0ed-f51b-4f85-aa5d-1608cc54ca44}"/>
        </Anchor>
        <Assign userId="aileen@coryhometeam.com" userName="aileen@coryhometeam.com" userProvider="google-sheets"/>
      </Event>
    </History>
  </Task>
  <Task id="{11d8285f-a375-42d3-acba-2e3fe06a4ae9}">
    <Anchor>
      <Comment id="{497543da-6e6c-4694-b0e8-5e426836cdbb}"/>
    </Anchor>
    <History>
      <Event time="2025-06-03T17:22:54.00" id="{a87183b7-0d89-4dd5-a3b2-8fd9bdf44f37}">
        <Attribution userId="placeholder@email.com" userName="Jam Bernardo" userProvider="google-sheets"/>
        <Anchor>
          <Comment id="{497543da-6e6c-4694-b0e8-5e426836cdbb}"/>
        </Anchor>
        <Create/>
      </Event>
      <Event time="2025-06-03T17:22:54.00" id="{a478eee2-ea85-4653-a971-0e19be29dc0e}">
        <Attribution userId="placeholder@email.com" userName="Jam Bernardo" userProvider="google-sheets"/>
        <Anchor>
          <Comment id="{497543da-6e6c-4694-b0e8-5e426836cdbb}"/>
        </Anchor>
        <Assign userId="isabel@coryhometeam.com" userName="isabel@coryhometeam.com" userProvider="google-sheets"/>
      </Event>
    </History>
  </Task>
  <Task id="{2d47cccc-32a2-4075-8a50-8887fe169a87}">
    <Anchor>
      <Comment id="{3a9def99-6556-4f0d-a198-69cf8eb6cdc4}"/>
    </Anchor>
    <History>
      <Event time="2025-04-25T05:46:55.00" id="{31428e3c-c240-46e7-b90a-1d4c8ad56efe}">
        <Attribution userId="placeholder@email.com" userName="Rafael Bernardo" userProvider="google-sheets"/>
        <Anchor>
          <Comment id="{3a9def99-6556-4f0d-a198-69cf8eb6cdc4}"/>
        </Anchor>
        <Create/>
      </Event>
      <Event time="2025-04-25T05:46:55.00" id="{e38371fd-5ba7-4bb7-ae62-de6abd222d46}">
        <Attribution userId="placeholder@email.com" userName="Rafael Bernardo" userProvider="google-sheets"/>
        <Anchor>
          <Comment id="{3a9def99-6556-4f0d-a198-69cf8eb6cdc4}"/>
        </Anchor>
        <Assign userId="isabel@coryhometeam.com" userName="isabel@coryhometeam.com" userProvider="google-sheets"/>
      </Event>
    </History>
  </Task>
  <Task id="{b695e952-9c80-4970-977f-50a957207d6f}">
    <Anchor>
      <Comment id="{9f3be519-1124-4660-8055-b2a68a17a437}"/>
    </Anchor>
    <History>
      <Event time="2025-02-03T17:53:02.00" id="{eb54f0e3-a49a-4e1a-8ad0-63604f4d106c}">
        <Attribution userId="placeholder@email.com" userName="Rafael Bernardo" userProvider="google-sheets"/>
        <Anchor>
          <Comment id="{9f3be519-1124-4660-8055-b2a68a17a437}"/>
        </Anchor>
        <Create/>
      </Event>
      <Event time="2025-02-03T17:53:02.00" id="{034eada8-e25d-4fef-9fd7-217a74770693}">
        <Attribution userId="placeholder@email.com" userName="Rafael Bernardo" userProvider="google-sheets"/>
        <Anchor>
          <Comment id="{9f3be519-1124-4660-8055-b2a68a17a437}"/>
        </Anchor>
        <Assign userId="isabel@coryhometeam.com" userName="isabel@coryhometeam.com" userProvider="google-sheets"/>
      </Event>
    </History>
  </Task>
  <Task id="{54f0653f-9585-434e-82e7-8266cbaa78db}">
    <Anchor>
      <Comment id="{f9e77ea2-c396-4b93-9954-66c86771aabf}"/>
    </Anchor>
    <History>
      <Event time="2025-05-09T16:07:55.00" id="{a7ffd712-9d97-45d1-9f2f-9e882850ff1b}">
        <Attribution userId="placeholder@email.com" userName="Jam Bernardo" userProvider="google-sheets"/>
        <Anchor>
          <Comment id="{f9e77ea2-c396-4b93-9954-66c86771aabf}"/>
        </Anchor>
        <Create/>
      </Event>
      <Event time="2025-05-09T16:07:55.00" id="{9eaf49c7-8977-4881-8069-95cb09acd329}">
        <Attribution userId="placeholder@email.com" userName="Jam Bernardo" userProvider="google-sheets"/>
        <Anchor>
          <Comment id="{f9e77ea2-c396-4b93-9954-66c86771aabf}"/>
        </Anchor>
        <Assign userId="isabel@coryhometeam.com" userName="isabel@coryhometeam.com" userProvider="google-sheets"/>
      </Event>
    </History>
  </Task>
  <Task id="{e7b13c9b-54d8-4e11-9db9-195aa808e875}">
    <Anchor>
      <Comment id="{696fd0de-bd73-4224-8515-b83d246f2db9}"/>
    </Anchor>
    <History>
      <Event time="2025-04-18T23:17:40.00" id="{f64b93e4-d5c5-4c99-aa98-eed4e29e4f0f}">
        <Attribution userId="placeholder@email.com" userName="Jam Bernardo" userProvider="google-sheets"/>
        <Anchor>
          <Comment id="{696fd0de-bd73-4224-8515-b83d246f2db9}"/>
        </Anchor>
        <Create/>
      </Event>
      <Event time="2025-04-18T23:17:40.00" id="{1c48eef5-0326-42f1-87a4-1a204314f742}">
        <Attribution userId="placeholder@email.com" userName="Jam Bernardo" userProvider="google-sheets"/>
        <Anchor>
          <Comment id="{696fd0de-bd73-4224-8515-b83d246f2db9}"/>
        </Anchor>
        <Assign userId="isabel@coryhometeam.com" userName="isabel@coryhometeam.com" userProvider="google-sheets"/>
      </Event>
    </History>
  </Task>
  <Task id="{3498b97b-421c-4e6a-b1e5-4a2a5695764e}">
    <Anchor>
      <Comment id="{f249335c-3325-403c-8073-6e84ddb219f6}"/>
    </Anchor>
    <History>
      <Event time="2025-09-16T19:43:25.00" id="{3ea35f32-e45f-4c62-a1c2-c8f2fcb090e3}">
        <Attribution userId="placeholder@email.com" userName="Rafael Bernardo" userProvider="google-sheets"/>
        <Anchor>
          <Comment id="{f249335c-3325-403c-8073-6e84ddb219f6}"/>
        </Anchor>
        <Create/>
      </Event>
      <Event time="2025-09-16T19:43:25.00" id="{1d091a0a-c28a-4497-99ad-7d8d22652266}">
        <Attribution userId="placeholder@email.com" userName="Rafael Bernardo" userProvider="google-sheets"/>
        <Anchor>
          <Comment id="{f249335c-3325-403c-8073-6e84ddb219f6}"/>
        </Anchor>
        <Assign userId="isabel@coryhometeam.com" userName="isabel@coryhometeam.com" userProvider="google-sheets"/>
      </Event>
    </History>
  </Task>
  <Task id="{06473c52-84ad-406a-8c4e-d5be73150fe5}">
    <Anchor>
      <Comment id="{e449afb4-840b-406f-a696-6ec6521a8dad}"/>
    </Anchor>
    <History>
      <Event time="2025-09-08T18:25:46.00" id="{2a6edade-d9c1-4719-b93d-5a28e40d4803}">
        <Attribution userId="placeholder@email.com" userName="Jam Bernardo" userProvider="google-sheets"/>
        <Anchor>
          <Comment id="{e449afb4-840b-406f-a696-6ec6521a8dad}"/>
        </Anchor>
        <Create/>
      </Event>
      <Event time="2025-09-08T18:25:46.00" id="{da5227f2-22ba-43ae-8d7e-8c59820ecaca}">
        <Attribution userId="placeholder@email.com" userName="Jam Bernardo" userProvider="google-sheets"/>
        <Anchor>
          <Comment id="{e449afb4-840b-406f-a696-6ec6521a8dad}"/>
        </Anchor>
        <Assign userId="isabel@coryhometeam.com" userName="isabel@coryhometeam.com" userProvider="google-sheets"/>
      </Event>
    </History>
  </Task>
  <Task id="{6fa5b6c6-dab7-4552-b5a1-009c5c3ccd2e}">
    <Anchor>
      <Comment id="{26474206-b0bc-4e48-ac9f-09d6e59af22a}"/>
    </Anchor>
    <History>
      <Event time="2026-05-28T23:31:21.00" id="{2f7db6f2-7382-4e8c-bbc9-459949d58b52}">
        <Attribution userId="placeholder@email.com" userName="Rafael Bernardo" userProvider="google-sheets"/>
        <Anchor>
          <Comment id="{26474206-b0bc-4e48-ac9f-09d6e59af22a}"/>
        </Anchor>
        <Create/>
      </Event>
      <Event time="2026-05-28T23:31:21.00" id="{995a4d57-3965-4b47-b448-2908865b7ecf}">
        <Attribution userId="placeholder@email.com" userName="Rafael Bernardo" userProvider="google-sheets"/>
        <Anchor>
          <Comment id="{26474206-b0bc-4e48-ac9f-09d6e59af22a}"/>
        </Anchor>
        <Assign userId="isabel@coryhometeam.com" userName="isabel@coryhometeam.com" userProvider="google-sheets"/>
      </Event>
    </History>
  </Task>
  <Task id="{a5f193f4-e96b-464d-9669-807348842e8c}">
    <Anchor>
      <Comment id="{780db042-d6d5-4516-851e-823b192f6938}"/>
    </Anchor>
    <History>
      <Event time="2025-01-22T17:17:59.00" id="{a1ea4879-155d-4bbf-83ae-758f51a6635d}">
        <Attribution userId="placeholder@email.com" userName="Jam Bernardo" userProvider="google-sheets"/>
        <Anchor>
          <Comment id="{780db042-d6d5-4516-851e-823b192f6938}"/>
        </Anchor>
        <Create/>
      </Event>
      <Event time="2025-01-22T17:17:59.00" id="{1c14d79f-8ea0-4383-94f9-d0af16e8611c}">
        <Attribution userId="placeholder@email.com" userName="Jam Bernardo" userProvider="google-sheets"/>
        <Anchor>
          <Comment id="{780db042-d6d5-4516-851e-823b192f6938}"/>
        </Anchor>
        <Assign userId="isabel@coryhometeam.com" userName="isabel@coryhometeam.com" userProvider="google-sheets"/>
      </Event>
    </History>
  </Task>
  <Task id="{5dad5334-f3fb-494e-be46-4c83686a45f3}">
    <Anchor>
      <Comment id="{89d1311d-b0eb-4a2a-8449-f0e914689e79}"/>
    </Anchor>
    <History>
      <Event time="2025-01-22T15:54:39.00" id="{51063d83-4861-485f-bf8c-a38b636214c5}">
        <Attribution userId="placeholder@email.com" userName="Rafael Bernardo" userProvider="google-sheets"/>
        <Anchor>
          <Comment id="{89d1311d-b0eb-4a2a-8449-f0e914689e79}"/>
        </Anchor>
        <Create/>
      </Event>
      <Event time="2025-01-22T15:54:39.00" id="{c797e562-ef94-4dce-8fc8-12a9bba10437}">
        <Attribution userId="placeholder@email.com" userName="Rafael Bernardo" userProvider="google-sheets"/>
        <Anchor>
          <Comment id="{89d1311d-b0eb-4a2a-8449-f0e914689e79}"/>
        </Anchor>
        <Assign userId="isabel@coryhometeam.com" userName="isabel@coryhometeam.com" userProvider="google-sheets"/>
      </Event>
    </History>
  </Task>
  <Task id="{1e1ab026-548b-449b-a30a-3f13ce806945}">
    <Anchor>
      <Comment id="{233f242a-d2b1-4d59-ab73-351f6c9ab59b}"/>
    </Anchor>
    <History>
      <Event time="2025-05-09T16:16:34.00" id="{0e69f3b7-03d3-4c2c-bf18-e252abaf52eb}">
        <Attribution userId="placeholder@email.com" userName="Jam Bernardo" userProvider="google-sheets"/>
        <Anchor>
          <Comment id="{233f242a-d2b1-4d59-ab73-351f6c9ab59b}"/>
        </Anchor>
        <Create/>
      </Event>
      <Event time="2025-05-09T16:16:34.00" id="{6e041b76-6c95-4dd0-9e83-29c359fcdb76}">
        <Attribution userId="placeholder@email.com" userName="Jam Bernardo" userProvider="google-sheets"/>
        <Anchor>
          <Comment id="{233f242a-d2b1-4d59-ab73-351f6c9ab59b}"/>
        </Anchor>
        <Assign userId="isabel@coryhometeam.com" userName="isabel@coryhometeam.com" userProvider="google-sheets"/>
      </Event>
    </History>
  </Task>
  <Task id="{e605e961-ddd5-478b-a65c-5640e3fd5b7e}">
    <Anchor>
      <Comment id="{ea6fdec6-5058-40d7-96d4-06e14c02d1d5}"/>
    </Anchor>
    <History>
      <Event time="2025-11-04T23:53:29.00" id="{0900c29b-24f7-46a9-984a-bed3070c5576}">
        <Attribution userId="placeholder@email.com" userName="Jam Bernardo" userProvider="google-sheets"/>
        <Anchor>
          <Comment id="{ea6fdec6-5058-40d7-96d4-06e14c02d1d5}"/>
        </Anchor>
        <Create/>
      </Event>
      <Event time="2025-11-04T23:53:29.00" id="{08cc16de-265b-4bd5-9e06-a3946e51acd0}">
        <Attribution userId="placeholder@email.com" userName="Jam Bernardo" userProvider="google-sheets"/>
        <Anchor>
          <Comment id="{ea6fdec6-5058-40d7-96d4-06e14c02d1d5}"/>
        </Anchor>
        <Assign userId="isabel@coryhometeam.com" userName="isabel@coryhometeam.com" userProvider="google-sheets"/>
      </Event>
    </History>
  </Task>
  <Task id="{1cf66fbd-dd6f-4928-864e-6879fa1f6bec}">
    <Anchor>
      <Comment id="{2c6bbd0d-f919-4a41-9154-140ed68513e5}"/>
    </Anchor>
    <History>
      <Event time="2025-11-04T23:49:25.00" id="{574942da-2d5a-4cf3-bf5b-f50feb779796}">
        <Attribution userId="placeholder@email.com" userName="Jam Bernardo" userProvider="google-sheets"/>
        <Anchor>
          <Comment id="{2c6bbd0d-f919-4a41-9154-140ed68513e5}"/>
        </Anchor>
        <Create/>
      </Event>
      <Event time="2025-11-04T23:49:25.00" id="{ea44d37b-6afe-434b-85bb-5cf9a776bc8f}">
        <Attribution userId="placeholder@email.com" userName="Jam Bernardo" userProvider="google-sheets"/>
        <Anchor>
          <Comment id="{2c6bbd0d-f919-4a41-9154-140ed68513e5}"/>
        </Anchor>
        <Assign userId="isabel@coryhometeam.com" userName="isabel@coryhometeam.com" userProvider="google-sheets"/>
      </Event>
    </History>
  </Task>
  <Task id="{1266b56c-19f4-4cdc-83b3-092565f8334b}">
    <Anchor>
      <Comment id="{2bd59933-b37d-4c81-9dce-9c4bd0bf7cf2}"/>
    </Anchor>
    <History>
      <Event time="2025-11-04T23:46:33.00" id="{9408715e-2e60-46f2-b19a-3dbeb7aa50f9}">
        <Attribution userId="placeholder@email.com" userName="Jam Bernardo" userProvider="google-sheets"/>
        <Anchor>
          <Comment id="{2bd59933-b37d-4c81-9dce-9c4bd0bf7cf2}"/>
        </Anchor>
        <Create/>
      </Event>
      <Event time="2025-11-04T23:46:33.00" id="{e08e7ba9-b557-405d-ac67-a456b02925ec}">
        <Attribution userId="placeholder@email.com" userName="Jam Bernardo" userProvider="google-sheets"/>
        <Anchor>
          <Comment id="{2bd59933-b37d-4c81-9dce-9c4bd0bf7cf2}"/>
        </Anchor>
        <Assign userId="isabel@coryhometeam.com" userName="isabel@coryhometeam.com" userProvider="google-sheets"/>
      </Event>
    </History>
  </Task>
  <Task id="{8e2cd055-14f2-469c-85fe-67db9380ccad}">
    <Anchor>
      <Comment id="{375e64c4-f9a9-4c44-ae62-fd90a31fef96}"/>
    </Anchor>
    <History>
      <Event time="2025-11-04T23:44:17.00" id="{3c7ecbdc-b3dc-4fc4-bc17-c5de16a0ee08}">
        <Attribution userId="placeholder@email.com" userName="Jam Bernardo" userProvider="google-sheets"/>
        <Anchor>
          <Comment id="{375e64c4-f9a9-4c44-ae62-fd90a31fef96}"/>
        </Anchor>
        <Create/>
      </Event>
      <Event time="2025-11-04T23:44:17.00" id="{b1ecca1a-f01d-4231-a447-223efb232a1f}">
        <Attribution userId="placeholder@email.com" userName="Jam Bernardo" userProvider="google-sheets"/>
        <Anchor>
          <Comment id="{375e64c4-f9a9-4c44-ae62-fd90a31fef96}"/>
        </Anchor>
        <Assign userId="isabel@coryhometeam.com" userName="isabel@coryhometeam.com" userProvider="google-sheets"/>
      </Event>
    </History>
  </Task>
  <Task id="{802b2c0a-67cc-4ebb-a0ad-f9d0fdff17ec}">
    <Anchor>
      <Comment id="{59916aee-95c5-4641-938e-aefdf6f88c34}"/>
    </Anchor>
    <History>
      <Event time="2025-02-20T21:17:18.00" id="{fb8107dc-4614-46d7-90d1-29425c734843}">
        <Attribution userId="placeholder@email.com" userName="Rafael Bernardo" userProvider="google-sheets"/>
        <Anchor>
          <Comment id="{59916aee-95c5-4641-938e-aefdf6f88c34}"/>
        </Anchor>
        <Create/>
      </Event>
      <Event time="2025-02-20T21:17:18.00" id="{d842d4ab-1ca0-4b8c-a8ab-ab7b30109698}">
        <Attribution userId="placeholder@email.com" userName="Rafael Bernardo" userProvider="google-sheets"/>
        <Anchor>
          <Comment id="{59916aee-95c5-4641-938e-aefdf6f88c34}"/>
        </Anchor>
        <Assign userId="isabel@coryhometeam.com" userName="isabel@coryhometeam.com" userProvider="google-sheets"/>
      </Event>
    </History>
  </Task>
  <Task id="{77240932-29e7-4082-aef9-cf77faec6b3e}">
    <Anchor>
      <Comment id="{2bc96a5b-b5af-4913-ad1c-67f3596e7f6f}"/>
    </Anchor>
    <History>
      <Event time="2025-11-04T23:41:19.00" id="{4fd0e04b-9bd8-49c5-86c1-0720bce63205}">
        <Attribution userId="placeholder@email.com" userName="Jam Bernardo" userProvider="google-sheets"/>
        <Anchor>
          <Comment id="{2bc96a5b-b5af-4913-ad1c-67f3596e7f6f}"/>
        </Anchor>
        <Create/>
      </Event>
      <Event time="2025-11-04T23:41:19.00" id="{dde43737-e766-47be-9c01-78e57c4a14e6}">
        <Attribution userId="placeholder@email.com" userName="Jam Bernardo" userProvider="google-sheets"/>
        <Anchor>
          <Comment id="{2bc96a5b-b5af-4913-ad1c-67f3596e7f6f}"/>
        </Anchor>
        <Assign userId="isabel@coryhometeam.com" userName="isabel@coryhometeam.com" userProvider="google-sheets"/>
      </Event>
    </History>
  </Task>
  <Task id="{356f5f71-c012-41f6-9c9b-d54e0838494f}">
    <Anchor>
      <Comment id="{f22b4531-a0ac-490a-94d5-3a9c4d1768ca}"/>
    </Anchor>
    <History>
      <Event time="2025-04-04T17:14:30.00" id="{9193eced-e51a-4457-aeb1-476d2a6aa6c3}">
        <Attribution userId="placeholder@email.com" userName="Rafael Bernardo" userProvider="google-sheets"/>
        <Anchor>
          <Comment id="{f22b4531-a0ac-490a-94d5-3a9c4d1768ca}"/>
        </Anchor>
        <Create/>
      </Event>
      <Event time="2025-04-04T17:14:30.00" id="{c4711245-ec04-4eec-8b27-bbb46abec7b1}">
        <Attribution userId="placeholder@email.com" userName="Rafael Bernardo" userProvider="google-sheets"/>
        <Anchor>
          <Comment id="{f22b4531-a0ac-490a-94d5-3a9c4d1768ca}"/>
        </Anchor>
        <Assign userId="isabel@coryhometeam.com" userName="isabel@coryhometeam.com" userProvider="google-sheets"/>
      </Event>
    </History>
  </Task>
  <Task id="{7830401d-116a-46b6-9f52-4f9808daa62c}">
    <Anchor>
      <Comment id="{84b7886a-4a64-4673-a742-b36033c711b6}"/>
    </Anchor>
    <History>
      <Event time="2025-12-10T17:39:40.00" id="{cdbbc9db-9978-409b-90be-48e9dd6b8cd7}">
        <Attribution userId="placeholder@email.com" userName="Jam Bernardo" userProvider="google-sheets"/>
        <Anchor>
          <Comment id="{84b7886a-4a64-4673-a742-b36033c711b6}"/>
        </Anchor>
        <Create/>
      </Event>
      <Event time="2025-12-10T17:39:40.00" id="{4d1c0eab-f52a-403e-b048-89d13afe18a0}">
        <Attribution userId="placeholder@email.com" userName="Jam Bernardo" userProvider="google-sheets"/>
        <Anchor>
          <Comment id="{84b7886a-4a64-4673-a742-b36033c711b6}"/>
        </Anchor>
        <Assign userId="isabel@coryhometeam.com" userName="isabel@coryhometeam.com" userProvider="google-sheets"/>
      </Event>
    </History>
  </Task>
  <Task id="{6a29f752-37c9-42cc-ad59-55037a7393e1}">
    <Anchor>
      <Comment id="{1018f52d-0969-428c-a3a7-7b90d6b34602}"/>
    </Anchor>
    <History>
      <Event time="2025-09-23T00:35:21.00" id="{47552a6c-7ff4-4d8d-a829-d4463ff74096}">
        <Attribution userId="placeholder@email.com" userName="Jam Bernardo" userProvider="google-sheets"/>
        <Anchor>
          <Comment id="{1018f52d-0969-428c-a3a7-7b90d6b34602}"/>
        </Anchor>
        <Create/>
      </Event>
      <Event time="2025-09-23T00:35:21.00" id="{01a23c42-710e-4f28-b456-9591959317ea}">
        <Attribution userId="placeholder@email.com" userName="Jam Bernardo" userProvider="google-sheets"/>
        <Anchor>
          <Comment id="{1018f52d-0969-428c-a3a7-7b90d6b34602}"/>
        </Anchor>
        <Assign userId="isabel@coryhometeam.com" userName="isabel@coryhometeam.com" userProvider="google-sheets"/>
      </Event>
    </History>
  </Task>
  <Task id="{ef6b51fe-471a-4f27-9881-b766d724c27c}">
    <Anchor>
      <Comment id="{717ffeb7-d108-43da-8294-281e97091381}"/>
    </Anchor>
    <History>
      <Event time="2025-07-23T23:29:27.00" id="{a1fd232e-e638-4d58-9e1a-25d6f3351735}">
        <Attribution userId="placeholder@email.com" userName="Jam Bernardo" userProvider="google-sheets"/>
        <Anchor>
          <Comment id="{717ffeb7-d108-43da-8294-281e97091381}"/>
        </Anchor>
        <Create/>
      </Event>
      <Event time="2025-07-23T23:29:27.00" id="{3740b3e1-ef11-457d-bd91-a99a717365fe}">
        <Attribution userId="placeholder@email.com" userName="Jam Bernardo" userProvider="google-sheets"/>
        <Anchor>
          <Comment id="{717ffeb7-d108-43da-8294-281e97091381}"/>
        </Anchor>
        <Assign userId="isabel@coryhometeam.com" userName="isabel@coryhometeam.com" userProvider="google-sheets"/>
      </Event>
    </History>
  </Task>
  <Task id="{b82b6acf-0261-4864-9114-89c622cc9603}">
    <Anchor>
      <Comment id="{09ac6329-e5f6-4502-9607-91be44d88374}"/>
    </Anchor>
    <History>
      <Event time="2025-08-07T22:03:49.00" id="{e4dfad5d-1a99-472b-9ddf-3c421baa5be4}">
        <Attribution userId="placeholder@email.com" userName="Jam Bernardo" userProvider="google-sheets"/>
        <Anchor>
          <Comment id="{09ac6329-e5f6-4502-9607-91be44d88374}"/>
        </Anchor>
        <Create/>
      </Event>
      <Event time="2025-08-07T22:03:49.00" id="{83464472-101d-4931-bd83-829b0c1688cf}">
        <Attribution userId="placeholder@email.com" userName="Jam Bernardo" userProvider="google-sheets"/>
        <Anchor>
          <Comment id="{09ac6329-e5f6-4502-9607-91be44d88374}"/>
        </Anchor>
        <Assign userId="isabel@coryhometeam.com" userName="isabel@coryhometeam.com" userProvider="google-sheets"/>
      </Event>
    </History>
  </Task>
  <Task id="{4bf35a8e-7105-4a12-9314-165297f48dd5}">
    <Anchor>
      <Comment id="{4dc6d324-5fb3-4264-af1a-21a72e6b36e5}"/>
    </Anchor>
    <History>
      <Event time="2025-11-14T17:23:20.00" id="{e419fa89-254d-44fb-bb2f-ce591fa76234}">
        <Attribution userId="placeholder@email.com" userName="Jam Bernardo" userProvider="google-sheets"/>
        <Anchor>
          <Comment id="{4dc6d324-5fb3-4264-af1a-21a72e6b36e5}"/>
        </Anchor>
        <Create/>
      </Event>
      <Event time="2025-11-14T17:23:20.00" id="{3743ead4-e624-479a-9c52-dbdb807531d4}">
        <Attribution userId="placeholder@email.com" userName="Jam Bernardo" userProvider="google-sheets"/>
        <Anchor>
          <Comment id="{4dc6d324-5fb3-4264-af1a-21a72e6b36e5}"/>
        </Anchor>
        <Assign userId="isabel@coryhometeam.com" userName="isabel@coryhometeam.com" userProvider="google-sheets"/>
      </Event>
    </History>
  </Task>
  <Task id="{c8d52ef8-12b9-468b-a837-eaccab2c91c5}">
    <Anchor>
      <Comment id="{5a2c8905-36da-4e53-8c46-cb0dea7fd88a}"/>
    </Anchor>
    <History>
      <Event time="2025-09-17T21:58:56.00" id="{4f6c73e0-911f-4976-b72d-c9f33c693d8a}">
        <Attribution userId="placeholder@email.com" userName="Jam Bernardo" userProvider="google-sheets"/>
        <Anchor>
          <Comment id="{5a2c8905-36da-4e53-8c46-cb0dea7fd88a}"/>
        </Anchor>
        <Create/>
      </Event>
      <Event time="2025-09-17T21:58:56.00" id="{f707e152-b835-4b56-a013-64e89551ff9e}">
        <Attribution userId="placeholder@email.com" userName="Jam Bernardo" userProvider="google-sheets"/>
        <Anchor>
          <Comment id="{5a2c8905-36da-4e53-8c46-cb0dea7fd88a}"/>
        </Anchor>
        <Assign userId="isabel@coryhometeam.com" userName="isabel@coryhometeam.com" userProvider="google-sheets"/>
      </Event>
    </History>
  </Task>
  <Task id="{a41771da-8e52-42c6-b953-93b2d61ba0fe}">
    <Anchor>
      <Comment id="{cf77342e-4438-4da2-8254-c3e7bbc83e45}"/>
    </Anchor>
    <History>
      <Event time="2025-11-14T17:27:09.00" id="{239fa3e5-3f00-40a8-95a0-a0ff3ee50a7b}">
        <Attribution userId="placeholder@email.com" userName="Jam Bernardo" userProvider="google-sheets"/>
        <Anchor>
          <Comment id="{cf77342e-4438-4da2-8254-c3e7bbc83e45}"/>
        </Anchor>
        <Create/>
      </Event>
      <Event time="2025-11-14T17:27:09.00" id="{aa36b9fe-c2f8-4151-92e3-e9e2fbd10d69}">
        <Attribution userId="placeholder@email.com" userName="Jam Bernardo" userProvider="google-sheets"/>
        <Anchor>
          <Comment id="{cf77342e-4438-4da2-8254-c3e7bbc83e45}"/>
        </Anchor>
        <Assign userId="isabel@coryhometeam.com" userName="isabel@coryhometeam.com" userProvider="google-sheets"/>
      </Event>
    </History>
  </Task>
  <Task id="{9d3955a8-78cc-428b-bf65-7440ad5b7a50}">
    <Anchor>
      <Comment id="{08eb42ab-ec0f-4447-9136-c12577ace4c9}"/>
    </Anchor>
    <History>
      <Event time="2025-11-14T17:31:02.00" id="{0517dbf5-23a7-40fb-92c8-0e7f3219a7e4}">
        <Attribution userId="placeholder@email.com" userName="Jam Bernardo" userProvider="google-sheets"/>
        <Anchor>
          <Comment id="{08eb42ab-ec0f-4447-9136-c12577ace4c9}"/>
        </Anchor>
        <Create/>
      </Event>
      <Event time="2025-11-14T17:31:02.00" id="{559a222a-9b34-41b7-ae0f-8a0edb6b951d}">
        <Attribution userId="placeholder@email.com" userName="Jam Bernardo" userProvider="google-sheets"/>
        <Anchor>
          <Comment id="{08eb42ab-ec0f-4447-9136-c12577ace4c9}"/>
        </Anchor>
        <Assign userId="isabel@coryhometeam.com" userName="isabel@coryhometeam.com" userProvider="google-sheets"/>
      </Event>
    </History>
  </Task>
  <Task id="{6ac2a836-d352-46da-a077-b75b79b26057}">
    <Anchor>
      <Comment id="{8be7e9f1-261d-4ec1-a7cb-5746995fa2ef}"/>
    </Anchor>
    <History>
      <Event time="2025-08-07T22:11:42.00" id="{d7751708-afef-4c86-9480-6397cba61b76}">
        <Attribution userId="placeholder@email.com" userName="Jam Bernardo" userProvider="google-sheets"/>
        <Anchor>
          <Comment id="{8be7e9f1-261d-4ec1-a7cb-5746995fa2ef}"/>
        </Anchor>
        <Create/>
      </Event>
      <Event time="2025-08-07T22:11:42.00" id="{09e4ccc2-6f61-4603-97b6-9fcb9adb25dd}">
        <Attribution userId="placeholder@email.com" userName="Jam Bernardo" userProvider="google-sheets"/>
        <Anchor>
          <Comment id="{8be7e9f1-261d-4ec1-a7cb-5746995fa2ef}"/>
        </Anchor>
        <Assign userId="isabel@coryhometeam.com" userName="isabel@coryhometeam.com" userProvider="google-sheets"/>
      </Event>
    </History>
  </Task>
  <Task id="{93adcb4d-ecfe-4f9b-92c2-e6d7420d5691}">
    <Anchor>
      <Comment id="{825effcc-0a72-428f-b353-6aa3fe2f4c05}"/>
    </Anchor>
    <History>
      <Event time="2025-05-05T04:45:23.00" id="{15ddbd9f-7bb7-4b88-8b86-b82dc7651ce4}">
        <Attribution userId="placeholder@email.com" userName="Rafael Bernardo" userProvider="google-sheets"/>
        <Anchor>
          <Comment id="{825effcc-0a72-428f-b353-6aa3fe2f4c05}"/>
        </Anchor>
        <Create/>
      </Event>
      <Event time="2025-05-05T04:45:23.00" id="{51637f14-9edb-4c3e-9164-f62df5f94642}">
        <Attribution userId="placeholder@email.com" userName="Rafael Bernardo" userProvider="google-sheets"/>
        <Anchor>
          <Comment id="{825effcc-0a72-428f-b353-6aa3fe2f4c05}"/>
        </Anchor>
        <Assign userId="isabel@coryhometeam.com" userName="isabel@coryhometeam.com" userProvider="google-sheets"/>
      </Event>
    </History>
  </Task>
  <Task id="{d02a57c2-5665-4b4b-91fc-cb6e60cf8239}">
    <Anchor>
      <Comment id="{1f763415-260d-42b7-b133-ab284dd6f111}"/>
    </Anchor>
    <History>
      <Event time="2025-10-27T22:05:22.00" id="{3f9a2cb4-8d64-42c7-8890-f29ca9ef34bb}">
        <Attribution userId="placeholder@email.com" userName="Jam Bernardo" userProvider="google-sheets"/>
        <Anchor>
          <Comment id="{1f763415-260d-42b7-b133-ab284dd6f111}"/>
        </Anchor>
        <Create/>
      </Event>
      <Event time="2025-10-27T22:05:22.00" id="{f56d07eb-13d0-4056-ac9f-7a17e8b8435e}">
        <Attribution userId="placeholder@email.com" userName="Jam Bernardo" userProvider="google-sheets"/>
        <Anchor>
          <Comment id="{1f763415-260d-42b7-b133-ab284dd6f111}"/>
        </Anchor>
        <Assign userId="isabel@coryhometeam.com" userName="isabel@coryhometeam.com" userProvider="google-sheets"/>
      </Event>
    </History>
  </Task>
  <Task id="{0cf8a9f2-ba6c-4614-9f10-02d10377462c}">
    <Anchor>
      <Comment id="{52abc30b-2b74-4ef8-8a2c-22b73a064eca}"/>
    </Anchor>
    <History>
      <Event time="2025-09-22T17:10:13.00" id="{862ef1ac-58d1-4dbd-986b-6ed626fb308a}">
        <Attribution userId="placeholder@email.com" userName="Rafael Bernardo" userProvider="google-sheets"/>
        <Anchor>
          <Comment id="{52abc30b-2b74-4ef8-8a2c-22b73a064eca}"/>
        </Anchor>
        <Create/>
      </Event>
      <Event time="2025-09-22T17:10:13.00" id="{73d7f72a-4189-4ab5-a4cf-5f08726fff2e}">
        <Attribution userId="placeholder@email.com" userName="Rafael Bernardo" userProvider="google-sheets"/>
        <Anchor>
          <Comment id="{52abc30b-2b74-4ef8-8a2c-22b73a064eca}"/>
        </Anchor>
        <Assign userId="isabel@coryhometeam.com" userName="isabel@coryhometeam.com" userProvider="google-sheets"/>
      </Event>
    </History>
  </Task>
  <Task id="{3a46b5dc-9ba6-4e05-91c3-560f8a4083c0}">
    <Anchor>
      <Comment id="{25a72ee1-03e2-498a-93b1-71384deae152}"/>
    </Anchor>
    <History>
      <Event time="2025-07-30T17:03:29.00" id="{bb863578-3ea3-4e30-8892-b2a947058a3e}">
        <Attribution userId="placeholder@email.com" userName="Jam Bernardo" userProvider="google-sheets"/>
        <Anchor>
          <Comment id="{25a72ee1-03e2-498a-93b1-71384deae152}"/>
        </Anchor>
        <Create/>
      </Event>
      <Event time="2025-07-30T17:03:29.00" id="{a9c08abd-1fd2-49fc-83a3-b9e335fb4a66}">
        <Attribution userId="placeholder@email.com" userName="Jam Bernardo" userProvider="google-sheets"/>
        <Anchor>
          <Comment id="{25a72ee1-03e2-498a-93b1-71384deae152}"/>
        </Anchor>
        <Assign userId="isabel@coryhometeam.com" userName="isabel@coryhometeam.com" userProvider="google-sheets"/>
      </Event>
    </History>
  </Task>
  <Task id="{b60900bb-b8f5-4611-a217-a0fb7402ab8c}">
    <Anchor>
      <Comment id="{9e509f66-8f31-4d88-bf47-c9c62b2c5b97}"/>
    </Anchor>
    <History>
      <Event time="2025-07-30T18:35:17.00" id="{faff9d7f-edf7-40af-a6a2-02ab74e34d0d}">
        <Attribution userId="placeholder@email.com" userName="Jam Bernardo" userProvider="google-sheets"/>
        <Anchor>
          <Comment id="{9e509f66-8f31-4d88-bf47-c9c62b2c5b97}"/>
        </Anchor>
        <Create/>
      </Event>
      <Event time="2025-07-30T18:35:17.00" id="{7a525cad-d67a-4cea-8b68-39d5107540c4}">
        <Attribution userId="placeholder@email.com" userName="Jam Bernardo" userProvider="google-sheets"/>
        <Anchor>
          <Comment id="{9e509f66-8f31-4d88-bf47-c9c62b2c5b97}"/>
        </Anchor>
        <Assign userId="isabel@coryhometeam.com" userName="isabel@coryhometeam.com" userProvider="google-sheets"/>
      </Event>
    </History>
  </Task>
  <Task id="{3d6526a6-8451-4be8-9795-0d0fc89b398e}">
    <Anchor>
      <Comment id="{bc143d72-976a-4ce5-b168-ee5c2ff44446}"/>
    </Anchor>
    <History>
      <Event time="2025-09-04T17:08:33.00" id="{f2d00ab6-248b-43fe-be81-969503460705}">
        <Attribution userId="placeholder@email.com" userName="Jam Bernardo" userProvider="google-sheets"/>
        <Anchor>
          <Comment id="{bc143d72-976a-4ce5-b168-ee5c2ff44446}"/>
        </Anchor>
        <Create/>
      </Event>
      <Event time="2025-09-04T17:08:33.00" id="{375ecfa7-642d-4a93-acbc-3187fc2057ee}">
        <Attribution userId="placeholder@email.com" userName="Jam Bernardo" userProvider="google-sheets"/>
        <Anchor>
          <Comment id="{bc143d72-976a-4ce5-b168-ee5c2ff44446}"/>
        </Anchor>
        <Assign userId="isabel@coryhometeam.com" userName="isabel@coryhometeam.com" userProvider="google-sheets"/>
      </Event>
    </History>
  </Task>
  <Task id="{549c4487-8bf3-4d24-901a-6aad213e32c2}">
    <Anchor>
      <Comment id="{21c83097-0272-439b-8e42-831ac7d7588e}"/>
    </Anchor>
    <History>
      <Event time="2025-09-03T21:01:09.00" id="{056c2a0c-7656-4d3c-a5e2-a70a6a7891a7}">
        <Attribution userId="placeholder@email.com" userName="Jam Bernardo" userProvider="google-sheets"/>
        <Anchor>
          <Comment id="{21c83097-0272-439b-8e42-831ac7d7588e}"/>
        </Anchor>
        <Create/>
      </Event>
      <Event time="2025-09-03T21:01:09.00" id="{2874a036-31e2-4a1c-9f59-5462c5e2a650}">
        <Attribution userId="placeholder@email.com" userName="Jam Bernardo" userProvider="google-sheets"/>
        <Anchor>
          <Comment id="{21c83097-0272-439b-8e42-831ac7d7588e}"/>
        </Anchor>
        <Assign userId="isabel@coryhometeam.com" userName="isabel@coryhometeam.com" userProvider="google-sheets"/>
      </Event>
    </History>
  </Task>
  <Task id="{4ba9ca53-36c9-49de-a7ff-74969100839e}">
    <Anchor>
      <Comment id="{4cef7efe-4e34-4ed4-b14a-18c674752885}"/>
    </Anchor>
    <History>
      <Event time="2025-09-04T17:34:27.00" id="{e4a49b3c-28c3-4222-9d7d-a6c351daf8a9}">
        <Attribution userId="placeholder@email.com" userName="Kenia Bautista" userProvider="google-sheets"/>
        <Anchor>
          <Comment id="{4cef7efe-4e34-4ed4-b14a-18c674752885}"/>
        </Anchor>
        <Create/>
      </Event>
      <Event time="2025-09-04T17:34:27.00" id="{96a34d77-943c-43e9-86e2-3c5587e5db97}">
        <Attribution userId="placeholder@email.com" userName="Kenia Bautista" userProvider="google-sheets"/>
        <Anchor>
          <Comment id="{4cef7efe-4e34-4ed4-b14a-18c674752885}"/>
        </Anchor>
        <Assign userId="dana@coryhometeam.com" userName="dana@coryhometeam.com" userProvider="google-sheets"/>
      </Event>
    </History>
  </Task>
  <Task id="{3a666c2a-b246-434f-ad6b-fa79a0f5316c}">
    <Anchor>
      <Comment id="{b7ce7c3d-c0af-4ad9-a1b1-fbb7b5989e18}"/>
    </Anchor>
    <History>
      <Event time="2025-05-23T19:12:47.00" id="{333f396e-f319-47a2-a487-35b2b76cfe9e}">
        <Attribution userId="placeholder@email.com" userName="Jam Bernardo" userProvider="google-sheets"/>
        <Anchor>
          <Comment id="{b7ce7c3d-c0af-4ad9-a1b1-fbb7b5989e18}"/>
        </Anchor>
        <Create/>
      </Event>
      <Event time="2025-05-23T19:12:47.00" id="{74678e64-c5bc-437d-849a-0bbc70ca18f8}">
        <Attribution userId="placeholder@email.com" userName="Jam Bernardo" userProvider="google-sheets"/>
        <Anchor>
          <Comment id="{b7ce7c3d-c0af-4ad9-a1b1-fbb7b5989e18}"/>
        </Anchor>
        <Assign userId="isabel@coryhometeam.com" userName="isabel@coryhometeam.com" userProvider="google-sheets"/>
      </Event>
    </History>
  </Task>
  <Task id="{187f45a7-a461-464d-9bc7-ff455d51e7f4}">
    <Anchor>
      <Comment id="{a78a4888-0c96-4830-aeba-2102be425128}"/>
    </Anchor>
    <History>
      <Event time="2025-02-19T20:34:09.00" id="{6db77437-24a7-4a54-9b49-e43ffadf922c}">
        <Attribution userId="placeholder@email.com" userName="Rafael Bernardo" userProvider="google-sheets"/>
        <Anchor>
          <Comment id="{a78a4888-0c96-4830-aeba-2102be425128}"/>
        </Anchor>
        <Create/>
      </Event>
      <Event time="2025-02-19T20:34:09.00" id="{3c15c3b7-44b5-4c54-a929-8cef6f2cf4cf}">
        <Attribution userId="placeholder@email.com" userName="Rafael Bernardo" userProvider="google-sheets"/>
        <Anchor>
          <Comment id="{a78a4888-0c96-4830-aeba-2102be425128}"/>
        </Anchor>
        <Assign userId="isabel@coryhometeam.com" userName="isabel@coryhometeam.com" userProvider="google-sheets"/>
      </Event>
    </History>
  </Task>
  <Task id="{e67c4f6e-aa9b-44f7-a399-70e8161d88c4}">
    <Anchor>
      <Comment id="{b6d78996-86aa-470f-a722-73c6aa20b297}"/>
    </Anchor>
    <History>
      <Event time="2025-09-03T18:32:24.00" id="{09b5d952-1ee4-4d78-98f1-5e4c7ff9d21a}">
        <Attribution userId="placeholder@email.com" userName="Dana Martinez" userProvider="google-sheets"/>
        <Anchor>
          <Comment id="{b6d78996-86aa-470f-a722-73c6aa20b297}"/>
        </Anchor>
        <Create/>
      </Event>
      <Event time="2025-09-03T18:32:24.00" id="{241fa825-0739-4328-9143-44280c9680fa}">
        <Attribution userId="placeholder@email.com" userName="Dana Martinez" userProvider="google-sheets"/>
        <Anchor>
          <Comment id="{b6d78996-86aa-470f-a722-73c6aa20b297}"/>
        </Anchor>
        <Assign userId="kenia@coryhometeam.com" userName="kenia@coryhometeam.com" userProvider="google-sheets"/>
      </Event>
    </History>
  </Task>
  <Task id="{786090da-097e-42cb-b464-6f0c694e7128}">
    <Anchor>
      <Comment id="{749fd407-8a47-4edc-b3ba-6bb38c09153b}"/>
    </Anchor>
    <History>
      <Event time="2025-09-03T17:05:09.00" id="{30ba87c0-b188-45b5-a664-c7da7bfc2507}">
        <Attribution userId="placeholder@email.com" userName="Alexis Cassidy" userProvider="google-sheets"/>
        <Anchor>
          <Comment id="{749fd407-8a47-4edc-b3ba-6bb38c09153b}"/>
        </Anchor>
        <Create/>
      </Event>
      <Event time="2025-09-03T17:05:09.00" id="{3f48c967-6f1a-4761-aaaa-757de4254d1e}">
        <Attribution userId="placeholder@email.com" userName="Alexis Cassidy" userProvider="google-sheets"/>
        <Anchor>
          <Comment id="{749fd407-8a47-4edc-b3ba-6bb38c09153b}"/>
        </Anchor>
        <Assign userId="isabel@coryhometeam.com" userName="isabel@coryhometeam.com" userProvider="google-sheets"/>
      </Event>
    </History>
  </Task>
  <Task id="{b7b20ad3-31e3-4d24-8534-02ebe55826d5}">
    <Anchor>
      <Comment id="{688cce16-2aee-41b6-ad17-46f50ab53cf9}"/>
    </Anchor>
    <History>
      <Event time="2026-06-10T15:41:03.00" id="{3acbab94-8333-453a-a0a5-2fb91370e8b6}">
        <Attribution userId="placeholder@email.com" userName="Rafael Bernardo" userProvider="google-sheets"/>
        <Anchor>
          <Comment id="{688cce16-2aee-41b6-ad17-46f50ab53cf9}"/>
        </Anchor>
        <Create/>
      </Event>
      <Event time="2026-06-10T15:41:03.00" id="{b19e60f6-c810-41cf-a734-6f9d2e650d15}">
        <Attribution userId="placeholder@email.com" userName="Rafael Bernardo" userProvider="google-sheets"/>
        <Anchor>
          <Comment id="{688cce16-2aee-41b6-ad17-46f50ab53cf9}"/>
        </Anchor>
        <Assign userId="isabel@coryhometeam.com" userName="isabel@coryhometeam.com" userProvider="google-sheets"/>
      </Event>
    </History>
  </Task>
  <Task id="{81650395-a021-4fdc-8a83-2ebc7171d0e2}">
    <Anchor>
      <Comment id="{1c5fc9fb-f0d6-47fb-9898-c2ef27d3de41}"/>
    </Anchor>
    <History>
      <Event time="2025-09-22T17:48:35.00" id="{539c67a0-a212-4202-a9cf-72d0a3a55e05}">
        <Attribution userId="placeholder@email.com" userName="Rafael Bernardo" userProvider="google-sheets"/>
        <Anchor>
          <Comment id="{1c5fc9fb-f0d6-47fb-9898-c2ef27d3de41}"/>
        </Anchor>
        <Create/>
      </Event>
      <Event time="2025-09-22T17:48:35.00" id="{6f08ebb6-64ca-4e32-81f3-e7989a7e0a14}">
        <Attribution userId="placeholder@email.com" userName="Rafael Bernardo" userProvider="google-sheets"/>
        <Anchor>
          <Comment id="{1c5fc9fb-f0d6-47fb-9898-c2ef27d3de41}"/>
        </Anchor>
        <Assign userId="isabel@coryhometeam.com" userName="isabel@coryhometeam.com" userProvider="google-sheets"/>
      </Event>
    </History>
  </Task>
  <Task id="{51092dcf-afa8-4931-9e8f-f1c1304b9e32}">
    <Anchor>
      <Comment id="{ee7d7674-4a7b-4d8a-90d2-9bfc22209959}"/>
    </Anchor>
    <History>
      <Event time="2025-09-03T17:05:00.00" id="{6f62976e-9b4c-46c6-b204-9c6826293f5f}">
        <Attribution userId="placeholder@email.com" userName="Alexis Cassidy" userProvider="google-sheets"/>
        <Anchor>
          <Comment id="{ee7d7674-4a7b-4d8a-90d2-9bfc22209959}"/>
        </Anchor>
        <Create/>
      </Event>
      <Event time="2025-09-03T17:05:00.00" id="{d5bdebba-7fb5-4014-a14b-74b640ad0915}">
        <Attribution userId="placeholder@email.com" userName="Alexis Cassidy" userProvider="google-sheets"/>
        <Anchor>
          <Comment id="{ee7d7674-4a7b-4d8a-90d2-9bfc22209959}"/>
        </Anchor>
        <Assign userId="isabel@coryhometeam.com" userName="isabel@coryhometeam.com" userProvider="google-sheets"/>
      </Event>
    </History>
  </Task>
  <Task id="{90e0ff5e-fe6a-49cf-bd91-2d276a24617a}">
    <Anchor>
      <Comment id="{1ca249b9-99f1-46b1-a111-577fedc84cdb}"/>
    </Anchor>
    <History>
      <Event time="2025-08-06T16:27:19.00" id="{b6fb2c0e-c4bc-41d1-81b7-f5fe2cb88a99}">
        <Attribution userId="placeholder@email.com" userName="Rafael Bernardo" userProvider="google-sheets"/>
        <Anchor>
          <Comment id="{1ca249b9-99f1-46b1-a111-577fedc84cdb}"/>
        </Anchor>
        <Create/>
      </Event>
      <Event time="2025-08-06T16:27:19.00" id="{b0aa2672-fb5b-4543-a3ac-7e5b1279c5c2}">
        <Attribution userId="placeholder@email.com" userName="Rafael Bernardo" userProvider="google-sheets"/>
        <Anchor>
          <Comment id="{1ca249b9-99f1-46b1-a111-577fedc84cdb}"/>
        </Anchor>
        <Assign userId="isabel@coryhometeam.com" userName="isabel@coryhometeam.com" userProvider="google-sheets"/>
      </Event>
    </History>
  </Task>
  <Task id="{6a6f6df9-eddd-493b-9533-5dd4e788b67e}">
    <Anchor>
      <Comment id="{6ad86df4-ec20-47d8-8d9b-6879f13cc364}"/>
    </Anchor>
    <History>
      <Event time="2025-07-23T19:19:02.00" id="{e4ecf6c0-6827-4ade-bd80-16b57efdbfe5}">
        <Attribution userId="placeholder@email.com" userName="Jam Bernardo" userProvider="google-sheets"/>
        <Anchor>
          <Comment id="{6ad86df4-ec20-47d8-8d9b-6879f13cc364}"/>
        </Anchor>
        <Create/>
      </Event>
      <Event time="2025-07-23T19:19:02.00" id="{d2763871-89e1-46c2-a036-62588280c4fa}">
        <Attribution userId="placeholder@email.com" userName="Jam Bernardo" userProvider="google-sheets"/>
        <Anchor>
          <Comment id="{6ad86df4-ec20-47d8-8d9b-6879f13cc364}"/>
        </Anchor>
        <Assign userId="isabel@coryhometeam.com" userName="isabel@coryhometeam.com" userProvider="google-sheets"/>
      </Event>
    </History>
  </Task>
  <Task id="{0347ce51-07f2-407d-b492-5f1fb38a830b}">
    <Anchor>
      <Comment id="{220ddfa8-5d3a-4bfa-a1ed-24fbb9b928c7}"/>
    </Anchor>
    <History>
      <Event time="2025-07-23T19:15:49.00" id="{6efd88f3-7ef2-4849-b405-b0753a6ceace}">
        <Attribution userId="placeholder@email.com" userName="Jam Bernardo" userProvider="google-sheets"/>
        <Anchor>
          <Comment id="{220ddfa8-5d3a-4bfa-a1ed-24fbb9b928c7}"/>
        </Anchor>
        <Create/>
      </Event>
      <Event time="2025-07-23T19:15:49.00" id="{59c68426-cc87-40a8-88a7-69b66a3d52b5}">
        <Attribution userId="placeholder@email.com" userName="Jam Bernardo" userProvider="google-sheets"/>
        <Anchor>
          <Comment id="{220ddfa8-5d3a-4bfa-a1ed-24fbb9b928c7}"/>
        </Anchor>
        <Assign userId="isabel@coryhometeam.com" userName="isabel@coryhometeam.com" userProvider="google-sheets"/>
      </Event>
    </History>
  </Task>
  <Task id="{caf6aca8-c609-4e90-af55-1afb26b248b6}">
    <Anchor>
      <Comment id="{fd808b99-0c6d-403a-a7a9-58a3e7abd560}"/>
    </Anchor>
    <History>
      <Event time="2025-12-27T00:23:24.00" id="{d91e3669-3bd7-4286-8845-d82fcfc719e0}">
        <Attribution userId="placeholder@email.com" userName="Jam Bernardo" userProvider="google-sheets"/>
        <Anchor>
          <Comment id="{fd808b99-0c6d-403a-a7a9-58a3e7abd560}"/>
        </Anchor>
        <Create/>
      </Event>
      <Event time="2025-12-27T00:23:24.00" id="{25780ace-f326-41e5-80b5-b46a626ffed8}">
        <Attribution userId="placeholder@email.com" userName="Jam Bernardo" userProvider="google-sheets"/>
        <Anchor>
          <Comment id="{fd808b99-0c6d-403a-a7a9-58a3e7abd560}"/>
        </Anchor>
        <Assign userId="isabel@coryhometeam.com" userName="isabel@coryhometeam.com" userProvider="google-sheets"/>
      </Event>
    </History>
  </Task>
  <Task id="{52cbd086-9509-43ae-87e1-efea995af145}">
    <Anchor>
      <Comment id="{9c7c2713-fdfc-481c-871f-5b35605695b4}"/>
    </Anchor>
    <History>
      <Event time="2025-02-07T00:39:57.00" id="{c9aca08e-d4f2-45d2-8695-e0d0500106f2}">
        <Attribution userId="placeholder@email.com" userName="Jam Bernardo" userProvider="google-sheets"/>
        <Anchor>
          <Comment id="{9c7c2713-fdfc-481c-871f-5b35605695b4}"/>
        </Anchor>
        <Create/>
      </Event>
      <Event time="2025-02-07T00:39:57.00" id="{5e979cb5-7b49-4dc0-8406-291ca788e1f1}">
        <Attribution userId="placeholder@email.com" userName="Jam Bernardo" userProvider="google-sheets"/>
        <Anchor>
          <Comment id="{9c7c2713-fdfc-481c-871f-5b35605695b4}"/>
        </Anchor>
        <Assign userId="isabel@coryhometeam.com" userName="isabel@coryhometeam.com" userProvider="google-sheets"/>
      </Event>
    </History>
  </Task>
  <Task id="{06ab82af-4b3f-4af8-8e97-4782082d551c}">
    <Anchor>
      <Comment id="{4948b892-b441-4580-a6ed-34467b8a9ab8}"/>
    </Anchor>
    <History>
      <Event time="2025-12-27T00:24:48.00" id="{fa595186-d7e6-43b1-bcb3-4a8d649f3f0e}">
        <Attribution userId="placeholder@email.com" userName="Jam Bernardo" userProvider="google-sheets"/>
        <Anchor>
          <Comment id="{4948b892-b441-4580-a6ed-34467b8a9ab8}"/>
        </Anchor>
        <Create/>
      </Event>
      <Event time="2025-12-27T00:24:48.00" id="{f266c8b1-788a-4263-9154-1fc58ea72e41}">
        <Attribution userId="placeholder@email.com" userName="Jam Bernardo" userProvider="google-sheets"/>
        <Anchor>
          <Comment id="{4948b892-b441-4580-a6ed-34467b8a9ab8}"/>
        </Anchor>
        <Assign userId="isabel@coryhometeam.com" userName="isabel@coryhometeam.com" userProvider="google-sheets"/>
      </Event>
    </History>
  </Task>
  <Task id="{81611557-a541-4c2b-9e42-af5c2052fbf5}">
    <Anchor>
      <Comment id="{c5d72b65-4554-47e6-818e-dbdd50409fe4}"/>
    </Anchor>
    <History>
      <Event time="2025-08-07T16:07:31.00" id="{4a05696c-3e6a-48bc-ae38-507f76486222}">
        <Attribution userId="placeholder@email.com" userName="Rafael Bernardo" userProvider="google-sheets"/>
        <Anchor>
          <Comment id="{c5d72b65-4554-47e6-818e-dbdd50409fe4}"/>
        </Anchor>
        <Create/>
      </Event>
      <Event time="2025-08-07T16:07:31.00" id="{16e774c5-89a1-4274-a40a-7f00ec66a3ad}">
        <Attribution userId="placeholder@email.com" userName="Rafael Bernardo" userProvider="google-sheets"/>
        <Anchor>
          <Comment id="{c5d72b65-4554-47e6-818e-dbdd50409fe4}"/>
        </Anchor>
        <Assign userId="isabel@coryhometeam.com" userName="isabel@coryhometeam.com" userProvider="google-sheets"/>
      </Event>
    </History>
  </Task>
  <Task id="{9ad7833e-7e29-4d45-9206-669a0daf9651}">
    <Anchor>
      <Comment id="{3bdefb5b-b8ca-4a13-984a-18fe87b29f58}"/>
    </Anchor>
    <History>
      <Event time="2025-09-15T23:16:16.00" id="{a22dd2bc-daad-40dd-acd8-1bfdbe7633a2}">
        <Attribution userId="placeholder@email.com" userName="Jam Bernardo" userProvider="google-sheets"/>
        <Anchor>
          <Comment id="{3bdefb5b-b8ca-4a13-984a-18fe87b29f58}"/>
        </Anchor>
        <Create/>
      </Event>
      <Event time="2025-09-15T23:16:16.00" id="{6de0b300-8934-455a-a262-7da6820f4d71}">
        <Attribution userId="placeholder@email.com" userName="Jam Bernardo" userProvider="google-sheets"/>
        <Anchor>
          <Comment id="{3bdefb5b-b8ca-4a13-984a-18fe87b29f58}"/>
        </Anchor>
        <Assign userId="isabel@coryhometeam.com" userName="isabel@coryhometeam.com" userProvider="google-sheets"/>
      </Event>
    </History>
  </Task>
  <Task id="{54d4074c-03a8-4fae-8a86-6c2d4d0e0709}">
    <Anchor>
      <Comment id="{a42142e9-014f-4900-b857-311bdb8356a4}"/>
    </Anchor>
    <History>
      <Event time="2025-08-18T13:38:03.00" id="{6ad0f828-1618-47fd-829b-703526b1535c}">
        <Attribution userId="placeholder@email.com" userName="Rafael Bernardo" userProvider="google-sheets"/>
        <Anchor>
          <Comment id="{a42142e9-014f-4900-b857-311bdb8356a4}"/>
        </Anchor>
        <Create/>
      </Event>
      <Event time="2025-08-18T13:38:03.00" id="{ea708185-7225-487b-ab0f-2540a48326e8}">
        <Attribution userId="placeholder@email.com" userName="Rafael Bernardo" userProvider="google-sheets"/>
        <Anchor>
          <Comment id="{a42142e9-014f-4900-b857-311bdb8356a4}"/>
        </Anchor>
        <Assign userId="isabel@coryhometeam.com" userName="isabel@coryhometeam.com" userProvider="google-sheets"/>
      </Event>
    </History>
  </Task>
  <Task id="{8f4df87b-b4f5-4cdc-b771-d17e226cdc5e}">
    <Anchor>
      <Comment id="{f85b6854-8c65-4d1d-8902-d4b36887399f}"/>
    </Anchor>
    <History>
      <Event time="2025-09-15T23:16:26.00" id="{c064bfcc-65c2-485b-9171-e029342a5a2c}">
        <Attribution userId="placeholder@email.com" userName="Jam Bernardo" userProvider="google-sheets"/>
        <Anchor>
          <Comment id="{f85b6854-8c65-4d1d-8902-d4b36887399f}"/>
        </Anchor>
        <Create/>
      </Event>
      <Event time="2025-09-15T23:16:26.00" id="{6ed5244c-26d0-487d-a5ab-f80eb51c5363}">
        <Attribution userId="placeholder@email.com" userName="Jam Bernardo" userProvider="google-sheets"/>
        <Anchor>
          <Comment id="{f85b6854-8c65-4d1d-8902-d4b36887399f}"/>
        </Anchor>
        <Assign userId="isabel@coryhometeam.com" userName="isabel@coryhometeam.com" userProvider="google-sheets"/>
      </Event>
    </History>
  </Task>
  <Task id="{0e9ee59e-9b4a-48e5-8660-c13e9af73312}">
    <Anchor>
      <Comment id="{69fba3a0-c72d-466a-9ea7-35620429df34}"/>
    </Anchor>
    <History>
      <Event time="2025-07-18T00:02:19.00" id="{6c6f2547-2053-485f-bf78-1554a92f2add}">
        <Attribution userId="placeholder@email.com" userName="Jam Bernardo" userProvider="google-sheets"/>
        <Anchor>
          <Comment id="{69fba3a0-c72d-466a-9ea7-35620429df34}"/>
        </Anchor>
        <Create/>
      </Event>
      <Event time="2025-07-18T00:02:19.00" id="{4de278ae-c77b-4458-a021-f8bc8ea2b0d4}">
        <Attribution userId="placeholder@email.com" userName="Jam Bernardo" userProvider="google-sheets"/>
        <Anchor>
          <Comment id="{69fba3a0-c72d-466a-9ea7-35620429df34}"/>
        </Anchor>
        <Assign userId="isabel@coryhometeam.com" userName="isabel@coryhometeam.com" userProvider="google-sheets"/>
      </Event>
    </History>
  </Task>
  <Task id="{963c9649-e8ed-4397-9d23-c77c97ebe562}">
    <Anchor>
      <Comment id="{b1c1e9f3-a836-4cdb-a525-e9e7cb19b2c6}"/>
    </Anchor>
    <History>
      <Event time="2025-10-09T17:56:31.00" id="{75492497-0759-4075-bcc4-90f16446615d}">
        <Attribution userId="placeholder@email.com" userName="Dana Martinez" userProvider="google-sheets"/>
        <Anchor>
          <Comment id="{b1c1e9f3-a836-4cdb-a525-e9e7cb19b2c6}"/>
        </Anchor>
        <Create/>
      </Event>
      <Event time="2025-10-09T17:56:31.00" id="{ef702e83-17ad-46f9-a4ae-5ac457673ba0}">
        <Attribution userId="placeholder@email.com" userName="Dana Martinez" userProvider="google-sheets"/>
        <Anchor>
          <Comment id="{b1c1e9f3-a836-4cdb-a525-e9e7cb19b2c6}"/>
        </Anchor>
        <Assign userId="isabel@coryhometeam.com" userName="isabel@coryhometeam.com" userProvider="google-sheets"/>
      </Event>
    </History>
  </Task>
  <Task id="{13096e9f-978a-42f8-9519-9a99d9e7a942}">
    <Anchor>
      <Comment id="{bbb75b10-902f-449a-a578-8089ba474c40}"/>
    </Anchor>
    <History>
      <Event time="2025-02-25T20:02:58.00" id="{927a7270-e052-4263-bcb6-c285cfd08905}">
        <Attribution userId="placeholder@email.com" userName="Rafael Bernardo" userProvider="google-sheets"/>
        <Anchor>
          <Comment id="{bbb75b10-902f-449a-a578-8089ba474c40}"/>
        </Anchor>
        <Create/>
      </Event>
      <Event time="2025-02-25T20:02:58.00" id="{aaf81bd7-3357-43ef-bdd2-8a29494a063a}">
        <Attribution userId="placeholder@email.com" userName="Rafael Bernardo" userProvider="google-sheets"/>
        <Anchor>
          <Comment id="{bbb75b10-902f-449a-a578-8089ba474c40}"/>
        </Anchor>
        <Assign userId="isabel@coryhometeam.com" userName="isabel@coryhometeam.com" userProvider="google-sheets"/>
      </Event>
    </History>
  </Task>
  <Task id="{6f3969ce-accc-491b-a536-8bb77e4f91c7}">
    <Anchor>
      <Comment id="{525d9668-98cb-46d4-8478-d22868fee3a2}"/>
    </Anchor>
    <History>
      <Event time="2025-01-02T22:18:30.00" id="{f152a12e-8f66-4bc0-9987-072294579165}">
        <Attribution userId="placeholder@email.com" userName="Jam Bernardo" userProvider="google-sheets"/>
        <Anchor>
          <Comment id="{525d9668-98cb-46d4-8478-d22868fee3a2}"/>
        </Anchor>
        <Create/>
      </Event>
      <Event time="2025-01-02T22:18:30.00" id="{60191f24-7ff0-45e6-8890-8e41723d49aa}">
        <Attribution userId="placeholder@email.com" userName="Jam Bernardo" userProvider="google-sheets"/>
        <Anchor>
          <Comment id="{525d9668-98cb-46d4-8478-d22868fee3a2}"/>
        </Anchor>
        <Assign userId="isabel@coryhometeam.com" userName="isabel@coryhometeam.com" userProvider="google-sheets"/>
      </Event>
    </History>
  </Task>
  <Task id="{ff82e2c5-f791-4ea1-be8b-6e2ff76aa4fa}">
    <Anchor>
      <Comment id="{b6a58a80-0cdb-488f-9017-f2f8703bc35b}"/>
    </Anchor>
    <History>
      <Event time="2025-07-23T18:43:52.00" id="{8e301718-86ab-4f53-84b0-b45496cd26b7}">
        <Attribution userId="placeholder@email.com" userName="Jam Bernardo" userProvider="google-sheets"/>
        <Anchor>
          <Comment id="{b6a58a80-0cdb-488f-9017-f2f8703bc35b}"/>
        </Anchor>
        <Create/>
      </Event>
      <Event time="2025-07-23T18:43:52.00" id="{a0adff02-eed9-4555-8e62-148e96f024eb}">
        <Attribution userId="placeholder@email.com" userName="Jam Bernardo" userProvider="google-sheets"/>
        <Anchor>
          <Comment id="{b6a58a80-0cdb-488f-9017-f2f8703bc35b}"/>
        </Anchor>
        <Assign userId="isabel@coryhometeam.com" userName="isabel@coryhometeam.com" userProvider="google-sheets"/>
      </Event>
    </History>
  </Task>
  <Task id="{b9d594c7-8dd1-4074-b8ff-250e4a014fa6}">
    <Anchor>
      <Comment id="{2a6382bb-86da-4fe0-8440-5c91bbede05f}"/>
    </Anchor>
    <History>
      <Event time="2025-04-04T17:42:07.00" id="{7184cb65-0b6e-4259-aa2b-fe86f79cefa1}">
        <Attribution userId="placeholder@email.com" userName="Rafael Bernardo" userProvider="google-sheets"/>
        <Anchor>
          <Comment id="{2a6382bb-86da-4fe0-8440-5c91bbede05f}"/>
        </Anchor>
        <Create/>
      </Event>
      <Event time="2025-04-04T17:42:07.00" id="{347e331f-6a84-4df2-a4d0-64c50ff5629c}">
        <Attribution userId="placeholder@email.com" userName="Rafael Bernardo" userProvider="google-sheets"/>
        <Anchor>
          <Comment id="{2a6382bb-86da-4fe0-8440-5c91bbede05f}"/>
        </Anchor>
        <Assign userId="isabel@coryhometeam.com" userName="isabel@coryhometeam.com" userProvider="google-sheets"/>
      </Event>
    </History>
  </Task>
  <Task id="{0d9f6c93-7a62-457b-a2a8-eeff5cc5666c}">
    <Anchor>
      <Comment id="{a259327b-eda5-4db8-89d6-056f0d1f1380}"/>
    </Anchor>
    <History>
      <Event time="2025-06-01T15:20:43.00" id="{b3a8ddb6-1644-423f-8e94-e19d86012322}">
        <Attribution userId="placeholder@email.com" userName="Alexis Cassidy" userProvider="google-sheets"/>
        <Anchor>
          <Comment id="{a259327b-eda5-4db8-89d6-056f0d1f1380}"/>
        </Anchor>
        <Create/>
      </Event>
      <Event time="2025-06-01T15:20:43.00" id="{58a12c16-3af8-4cf8-8b98-3b47dc164c38}">
        <Attribution userId="placeholder@email.com" userName="Alexis Cassidy" userProvider="google-sheets"/>
        <Anchor>
          <Comment id="{a259327b-eda5-4db8-89d6-056f0d1f1380}"/>
        </Anchor>
        <Assign userId="kenia@coryhometeam.com" userName="kenia@coryhometeam.com" userProvider="google-sheets"/>
      </Event>
    </History>
  </Task>
  <Task id="{3e0cb934-1cbf-4ffa-9cd3-f3bead44b259}">
    <Anchor>
      <Comment id="{d77cbaa3-e938-40ab-bf63-c498abbe8925}"/>
    </Anchor>
    <History>
      <Event time="2025-01-02T15:39:36.00" id="{237a0be3-53a1-41d7-9103-a067c7ef0b12}">
        <Attribution userId="placeholder@email.com" userName="Rafael Bernardo" userProvider="google-sheets"/>
        <Anchor>
          <Comment id="{d77cbaa3-e938-40ab-bf63-c498abbe8925}"/>
        </Anchor>
        <Create/>
      </Event>
      <Event time="2025-01-02T15:39:36.00" id="{4ee483ea-45b5-4bfc-b029-86ea12efae97}">
        <Attribution userId="placeholder@email.com" userName="Rafael Bernardo" userProvider="google-sheets"/>
        <Anchor>
          <Comment id="{d77cbaa3-e938-40ab-bf63-c498abbe8925}"/>
        </Anchor>
        <Assign userId="kenia@coryhometeam.com" userName="kenia@coryhometeam.com" userProvider="google-sheets"/>
      </Event>
    </History>
  </Task>
  <Task id="{0b0cdee1-68c2-4abc-bc9b-9c464f251527}">
    <Anchor>
      <Comment id="{da5ba4d8-b267-43d4-a6c2-65d85e723619}"/>
    </Anchor>
    <History>
      <Event time="2025-07-15T18:46:33.00" id="{87082712-8fbd-436b-b269-13deeed7b337}">
        <Attribution userId="placeholder@email.com" userName="Jam Bernardo" userProvider="google-sheets"/>
        <Anchor>
          <Comment id="{da5ba4d8-b267-43d4-a6c2-65d85e723619}"/>
        </Anchor>
        <Create/>
      </Event>
      <Event time="2025-07-15T18:46:33.00" id="{a9e62d03-62b5-4a0f-8764-cdde0a92b721}">
        <Attribution userId="placeholder@email.com" userName="Jam Bernardo" userProvider="google-sheets"/>
        <Anchor>
          <Comment id="{da5ba4d8-b267-43d4-a6c2-65d85e723619}"/>
        </Anchor>
        <Assign userId="isabel@coryhometeam.com" userName="isabel@coryhometeam.com" userProvider="google-sheets"/>
      </Event>
    </History>
  </Task>
  <Task id="{cf8d0357-95ec-4313-8025-e5adc225f889}">
    <Anchor>
      <Comment id="{e80532e8-50d4-4e0e-a56c-1b1c3e52ad9b}"/>
    </Anchor>
    <History>
      <Event time="2025-08-07T12:53:36.00" id="{da02ab6d-db36-4412-974b-96e559e88380}">
        <Attribution userId="placeholder@email.com" userName="Remy Victoria" userProvider="google-sheets"/>
        <Anchor>
          <Comment id="{e80532e8-50d4-4e0e-a56c-1b1c3e52ad9b}"/>
        </Anchor>
        <Create/>
      </Event>
      <Event time="2025-08-07T12:53:36.00" id="{44b50cc3-4dfd-464f-afb0-8ac2cb8c2123}">
        <Attribution userId="placeholder@email.com" userName="Remy Victoria" userProvider="google-sheets"/>
        <Anchor>
          <Comment id="{e80532e8-50d4-4e0e-a56c-1b1c3e52ad9b}"/>
        </Anchor>
        <Assign userId="isabel@coryhometeam.com" userName="isabel@coryhometeam.com" userProvider="google-sheets"/>
      </Event>
    </History>
  </Task>
  <Task id="{9d80e6cc-d15c-493a-99eb-3fb229e78ba3}">
    <Anchor>
      <Comment id="{3b1f1a6b-7110-4615-b36b-d9e6e06eacbc}"/>
    </Anchor>
    <History>
      <Event time="2025-04-03T15:38:35.00" id="{608e88d7-37bf-4d06-8352-036717067302}">
        <Attribution userId="placeholder@email.com" userName="Remy Victoria" userProvider="google-sheets"/>
        <Anchor>
          <Comment id="{3b1f1a6b-7110-4615-b36b-d9e6e06eacbc}"/>
        </Anchor>
        <Create/>
      </Event>
      <Event time="2025-04-03T15:38:35.00" id="{57bfa94a-62c5-4acd-9cff-bb2e17e93364}">
        <Attribution userId="placeholder@email.com" userName="Remy Victoria" userProvider="google-sheets"/>
        <Anchor>
          <Comment id="{3b1f1a6b-7110-4615-b36b-d9e6e06eacbc}"/>
        </Anchor>
        <Assign userId="isabel@coryhometeam.com" userName="isabel@coryhometeam.com" userProvider="google-sheets"/>
      </Event>
    </History>
  </Task>
  <Task id="{31e225fc-2c6f-4247-8eef-5bbb1d8123f2}">
    <Anchor>
      <Comment id="{6c39954d-2739-4ee9-bbaf-6038ba6ec5d2}"/>
    </Anchor>
    <History>
      <Event time="2026-06-16T17:35:35.00" id="{ed06176c-b41a-4fed-8dcf-c3ca40f368b2}">
        <Attribution userId="placeholder@email.com" userName="Rafael Bernardo" userProvider="google-sheets"/>
        <Anchor>
          <Comment id="{6c39954d-2739-4ee9-bbaf-6038ba6ec5d2}"/>
        </Anchor>
        <Create/>
      </Event>
      <Event time="2026-06-16T17:35:35.00" id="{da1a7898-0046-41ca-b398-89ec749f3921}">
        <Attribution userId="placeholder@email.com" userName="Rafael Bernardo" userProvider="google-sheets"/>
        <Anchor>
          <Comment id="{6c39954d-2739-4ee9-bbaf-6038ba6ec5d2}"/>
        </Anchor>
        <Assign userId="isabel@coryhometeam.com" userName="isabel@coryhometeam.com" userProvider="google-sheets"/>
      </Event>
    </History>
  </Task>
  <Task id="{dd89fdce-d72f-4011-8acc-e1c51c54b40a}">
    <Anchor>
      <Comment id="{6c449d49-bb3c-43b1-89e6-6648875df89b}"/>
    </Anchor>
    <History>
      <Event time="2025-04-04T22:14:04.00" id="{62b13e10-8a67-4b9a-a7f3-9d13a7c23200}">
        <Attribution userId="placeholder@email.com" userName="Jam Bernardo" userProvider="google-sheets"/>
        <Anchor>
          <Comment id="{6c449d49-bb3c-43b1-89e6-6648875df89b}"/>
        </Anchor>
        <Create/>
      </Event>
      <Event time="2025-04-04T22:14:04.00" id="{798157cb-9797-4d24-853f-ca76ccebd3b1}">
        <Attribution userId="placeholder@email.com" userName="Jam Bernardo" userProvider="google-sheets"/>
        <Anchor>
          <Comment id="{6c449d49-bb3c-43b1-89e6-6648875df89b}"/>
        </Anchor>
        <Assign userId="isabel@coryhometeam.com" userName="isabel@coryhometeam.com" userProvider="google-sheets"/>
      </Event>
    </History>
  </Task>
  <Task id="{4c327728-68de-4e93-9414-35e9e573d5e5}">
    <Anchor>
      <Comment id="{68810a6c-0dc0-4327-9a22-2a217c4d30e7}"/>
    </Anchor>
    <History>
      <Event time="2025-07-15T19:54:08.00" id="{a09bbbf9-dd74-4ca8-82e2-b7093a3b78f1}">
        <Attribution userId="placeholder@email.com" userName="Rafael Bernardo" userProvider="google-sheets"/>
        <Anchor>
          <Comment id="{68810a6c-0dc0-4327-9a22-2a217c4d30e7}"/>
        </Anchor>
        <Create/>
      </Event>
      <Event time="2025-07-15T19:54:08.00" id="{b5beae5b-d256-4970-9c6b-de35ec90264b}">
        <Attribution userId="placeholder@email.com" userName="Rafael Bernardo" userProvider="google-sheets"/>
        <Anchor>
          <Comment id="{68810a6c-0dc0-4327-9a22-2a217c4d30e7}"/>
        </Anchor>
        <Assign userId="isabel@coryhometeam.com" userName="isabel@coryhometeam.com" userProvider="google-sheets"/>
      </Event>
    </History>
  </Task>
  <Task id="{98d55908-3c3c-444a-aae8-dfdf73ea705f}">
    <Anchor>
      <Comment id="{ccdc1cae-a2c0-4faa-8d17-b96c45e81fbe}"/>
    </Anchor>
    <History>
      <Event time="2025-06-19T15:43:57.00" id="{7dee6b65-b969-4e9d-a504-2caa59d10581}">
        <Attribution userId="placeholder@email.com" userName="Kenia Bautista" userProvider="google-sheets"/>
        <Anchor>
          <Comment id="{ccdc1cae-a2c0-4faa-8d17-b96c45e81fbe}"/>
        </Anchor>
        <Create/>
      </Event>
      <Event time="2025-06-19T15:43:57.00" id="{e1ee265e-7979-441f-9e0a-631dcbd04673}">
        <Attribution userId="placeholder@email.com" userName="Kenia Bautista" userProvider="google-sheets"/>
        <Anchor>
          <Comment id="{ccdc1cae-a2c0-4faa-8d17-b96c45e81fbe}"/>
        </Anchor>
        <Assign userId="aileen@coryhometeam.com" userName="aileen@coryhometeam.com" userProvider="google-sheets"/>
      </Event>
    </History>
  </Task>
  <Task id="{12ea93f2-ce69-4190-97c4-d80af44818e2}">
    <Anchor>
      <Comment id="{12d83ca4-1624-4232-8be2-d0ca818d9add}"/>
    </Anchor>
    <History>
      <Event time="2025-07-15T19:58:44.00" id="{db0a1d61-761a-40a9-be85-01f70f4137d9}">
        <Attribution userId="placeholder@email.com" userName="Rafael Bernardo" userProvider="google-sheets"/>
        <Anchor>
          <Comment id="{12d83ca4-1624-4232-8be2-d0ca818d9add}"/>
        </Anchor>
        <Create/>
      </Event>
      <Event time="2025-07-15T19:58:44.00" id="{e1974bb6-ce8d-4872-8f3d-6179d586a5b0}">
        <Attribution userId="placeholder@email.com" userName="Rafael Bernardo" userProvider="google-sheets"/>
        <Anchor>
          <Comment id="{12d83ca4-1624-4232-8be2-d0ca818d9add}"/>
        </Anchor>
        <Assign userId="isabel@coryhometeam.com" userName="isabel@coryhometeam.com" userProvider="google-sheets"/>
      </Event>
    </History>
  </Task>
  <Task id="{fe54522c-8492-43f9-bfcb-0197069ae33e}">
    <Anchor>
      <Comment id="{f73834ff-56fd-46d1-b15c-831f79db59cd}"/>
    </Anchor>
    <History>
      <Event time="2025-11-10T18:36:34.00" id="{1b1d7e02-f4c2-4702-a488-f9afcfcc0814}">
        <Attribution userId="placeholder@email.com" userName="Rafael Bernardo" userProvider="google-sheets"/>
        <Anchor>
          <Comment id="{f73834ff-56fd-46d1-b15c-831f79db59cd}"/>
        </Anchor>
        <Create/>
      </Event>
      <Event time="2025-11-10T18:36:34.00" id="{348485e2-d521-4357-afc9-60cb8fc349b4}">
        <Attribution userId="placeholder@email.com" userName="Rafael Bernardo" userProvider="google-sheets"/>
        <Anchor>
          <Comment id="{f73834ff-56fd-46d1-b15c-831f79db59cd}"/>
        </Anchor>
        <Assign userId="isabel@coryhometeam.com" userName="isabel@coryhometeam.com" userProvider="google-sheets"/>
      </Event>
    </History>
  </Task>
  <Task id="{dd51de09-b238-4778-a74c-4bc28167ae27}">
    <Anchor>
      <Comment id="{a8041cf4-aa29-4b2b-96f7-08931cf8358e}"/>
    </Anchor>
    <History>
      <Event time="2025-10-09T16:42:28.00" id="{656ba6d4-af5b-482e-910c-d8fa3841e568}">
        <Attribution userId="placeholder@email.com" userName="Rafael Bernardo" userProvider="google-sheets"/>
        <Anchor>
          <Comment id="{a8041cf4-aa29-4b2b-96f7-08931cf8358e}"/>
        </Anchor>
        <Create/>
      </Event>
      <Event time="2025-10-09T16:42:28.00" id="{5c8c94be-6d33-4e4e-8cd5-b6e40db33f78}">
        <Attribution userId="placeholder@email.com" userName="Rafael Bernardo" userProvider="google-sheets"/>
        <Anchor>
          <Comment id="{a8041cf4-aa29-4b2b-96f7-08931cf8358e}"/>
        </Anchor>
        <Assign userId="isabel@coryhometeam.com" userName="isabel@coryhometeam.com" userProvider="google-sheets"/>
      </Event>
    </History>
  </Task>
  <Task id="{7fd7fd7b-8bab-410c-bd99-102a8f759fe2}">
    <Anchor>
      <Comment id="{32779486-01db-452d-9042-6cd66f7cd2ff}"/>
    </Anchor>
    <History>
      <Event time="2025-09-16T23:13:47.00" id="{6a56307d-f601-4b47-a60c-e4f745b1458f}">
        <Attribution userId="placeholder@email.com" userName="Jam Bernardo" userProvider="google-sheets"/>
        <Anchor>
          <Comment id="{32779486-01db-452d-9042-6cd66f7cd2ff}"/>
        </Anchor>
        <Create/>
      </Event>
      <Event time="2025-09-16T23:13:47.00" id="{325bbf95-2708-496e-b1f2-76031ad80615}">
        <Attribution userId="placeholder@email.com" userName="Jam Bernardo" userProvider="google-sheets"/>
        <Anchor>
          <Comment id="{32779486-01db-452d-9042-6cd66f7cd2ff}"/>
        </Anchor>
        <Assign userId="isabel@coryhometeam.com" userName="isabel@coryhometeam.com" userProvider="google-sheets"/>
      </Event>
    </History>
  </Task>
  <Task id="{70e9b5b6-55b3-4847-96db-c64124340dff}">
    <Anchor>
      <Comment id="{f346cab8-338d-4925-bfbe-938697e8367a}"/>
    </Anchor>
    <History>
      <Event time="2025-02-06T21:39:35.00" id="{349d169d-ca3a-4565-afcd-e5d3a6078101}">
        <Attribution userId="placeholder@email.com" userName="Rafael Bernardo" userProvider="google-sheets"/>
        <Anchor>
          <Comment id="{f346cab8-338d-4925-bfbe-938697e8367a}"/>
        </Anchor>
        <Create/>
      </Event>
      <Event time="2025-02-06T21:39:35.00" id="{d5d51e59-a9c3-4a12-983c-6936e86df849}">
        <Attribution userId="placeholder@email.com" userName="Rafael Bernardo" userProvider="google-sheets"/>
        <Anchor>
          <Comment id="{f346cab8-338d-4925-bfbe-938697e8367a}"/>
        </Anchor>
        <Assign userId="isabel@coryhometeam.com" userName="isabel@coryhometeam.com" userProvider="google-sheets"/>
      </Event>
    </History>
  </Task>
  <Task id="{cfd8f3c6-e349-4508-abcf-99b5bc72af1d}">
    <Anchor>
      <Comment id="{c7fc1147-1460-4142-9774-f18c4ad52539}"/>
    </Anchor>
    <History>
      <Event time="2025-05-15T17:32:57.00" id="{8417b22a-6c02-4583-8227-1d313957c942}">
        <Attribution userId="placeholder@email.com" userName="Jam Bernardo" userProvider="google-sheets"/>
        <Anchor>
          <Comment id="{c7fc1147-1460-4142-9774-f18c4ad52539}"/>
        </Anchor>
        <Create/>
      </Event>
      <Event time="2025-05-15T17:32:57.00" id="{212cbbd5-93c5-4801-b650-c0f74523ae6d}">
        <Attribution userId="placeholder@email.com" userName="Jam Bernardo" userProvider="google-sheets"/>
        <Anchor>
          <Comment id="{c7fc1147-1460-4142-9774-f18c4ad52539}"/>
        </Anchor>
        <Assign userId="isabel@coryhometeam.com" userName="isabel@coryhometeam.com" userProvider="google-sheets"/>
      </Event>
    </History>
  </Task>
  <Task id="{f70b5b48-7303-4687-9402-3c1af0b230d5}">
    <Anchor>
      <Comment id="{eddf27b4-e6cf-460b-9008-655dc52c9349}"/>
    </Anchor>
    <History>
      <Event time="2025-04-17T23:25:38.00" id="{d4cc0c7e-4138-4abf-a1b8-b6d1e33a39cf}">
        <Attribution userId="placeholder@email.com" userName="Jam Bernardo" userProvider="google-sheets"/>
        <Anchor>
          <Comment id="{eddf27b4-e6cf-460b-9008-655dc52c9349}"/>
        </Anchor>
        <Create/>
      </Event>
      <Event time="2025-04-17T23:25:38.00" id="{676133fa-3d45-4548-bcaf-d1849b167fd4}">
        <Attribution userId="placeholder@email.com" userName="Jam Bernardo" userProvider="google-sheets"/>
        <Anchor>
          <Comment id="{eddf27b4-e6cf-460b-9008-655dc52c9349}"/>
        </Anchor>
        <Assign userId="isabel@coryhometeam.com" userName="isabel@coryhometeam.com" userProvider="google-sheets"/>
      </Event>
    </History>
  </Task>
  <Task id="{8b999f77-65c5-4e4d-9665-3af51923904b}">
    <Anchor>
      <Comment id="{8d87642c-1770-4d68-bb72-a97dbd6097a3}"/>
    </Anchor>
    <History>
      <Event time="2025-11-05T23:10:03.00" id="{0faf1228-aba3-40b7-8ea5-d1e4b8e492c3}">
        <Attribution userId="placeholder@email.com" userName="Dana Martinez" userProvider="google-sheets"/>
        <Anchor>
          <Comment id="{8d87642c-1770-4d68-bb72-a97dbd6097a3}"/>
        </Anchor>
        <Create/>
      </Event>
      <Event time="2025-11-05T23:10:03.00" id="{1b965b8b-48bb-408c-a622-f27e05124d79}">
        <Attribution userId="placeholder@email.com" userName="Dana Martinez" userProvider="google-sheets"/>
        <Anchor>
          <Comment id="{8d87642c-1770-4d68-bb72-a97dbd6097a3}"/>
        </Anchor>
        <Assign userId="isabel@coryhometeam.com" userName="isabel@coryhometeam.com" userProvider="google-sheets"/>
      </Event>
    </History>
  </Task>
  <Task id="{5fbdb73e-3a30-4914-a6e7-5350f8d0fd73}">
    <Anchor>
      <Comment id="{ed71d9d1-53fb-467b-9055-79ad31d9b3e0}"/>
    </Anchor>
    <History>
      <Event time="2025-02-13T22:27:42.00" id="{89775e50-73c6-4f4c-824e-bc4b2818976d}">
        <Attribution userId="placeholder@email.com" userName="Rafael Bernardo" userProvider="google-sheets"/>
        <Anchor>
          <Comment id="{ed71d9d1-53fb-467b-9055-79ad31d9b3e0}"/>
        </Anchor>
        <Create/>
      </Event>
      <Event time="2025-02-13T22:27:42.00" id="{f3564af1-1865-4084-8c51-074e56168b32}">
        <Attribution userId="placeholder@email.com" userName="Rafael Bernardo" userProvider="google-sheets"/>
        <Anchor>
          <Comment id="{ed71d9d1-53fb-467b-9055-79ad31d9b3e0}"/>
        </Anchor>
        <Assign userId="isabel@coryhometeam.com" userName="isabel@coryhometeam.com" userProvider="google-sheets"/>
      </Event>
    </History>
  </Task>
  <Task id="{acb6b0cc-a03e-4a30-8c6c-2143866c4c72}">
    <Anchor>
      <Comment id="{f6e22ea7-10a4-43d4-8d34-2b8ee4754289}"/>
    </Anchor>
    <History>
      <Event time="2025-02-28T22:55:46.00" id="{94669167-5db7-4e4d-8358-23c39b305a58}">
        <Attribution userId="placeholder@email.com" userName="Rafael Bernardo" userProvider="google-sheets"/>
        <Anchor>
          <Comment id="{f6e22ea7-10a4-43d4-8d34-2b8ee4754289}"/>
        </Anchor>
        <Create/>
      </Event>
      <Event time="2025-02-28T22:55:46.00" id="{6603acaa-d612-4495-ab11-d25aa3636976}">
        <Attribution userId="placeholder@email.com" userName="Rafael Bernardo" userProvider="google-sheets"/>
        <Anchor>
          <Comment id="{f6e22ea7-10a4-43d4-8d34-2b8ee4754289}"/>
        </Anchor>
        <Assign userId="isabel@coryhometeam.com" userName="isabel@coryhometeam.com" userProvider="google-sheets"/>
      </Event>
    </History>
  </Task>
  <Task id="{94ac7167-9376-4218-b108-2729f2017d8a}">
    <Anchor>
      <Comment id="{64c36a78-ae10-48f6-978a-4085a5bcd194}"/>
    </Anchor>
    <History>
      <Event time="2025-02-13T18:54:57.00" id="{9d4d7220-edec-4ef4-b511-502effe6d029}">
        <Attribution userId="placeholder@email.com" userName="Rafael Bernardo" userProvider="google-sheets"/>
        <Anchor>
          <Comment id="{64c36a78-ae10-48f6-978a-4085a5bcd194}"/>
        </Anchor>
        <Create/>
      </Event>
      <Event time="2025-02-13T18:54:57.00" id="{e428bf6c-d0e6-4bc6-8f27-a421c9d6b91f}">
        <Attribution userId="placeholder@email.com" userName="Rafael Bernardo" userProvider="google-sheets"/>
        <Anchor>
          <Comment id="{64c36a78-ae10-48f6-978a-4085a5bcd194}"/>
        </Anchor>
        <Assign userId="isabel@coryhometeam.com" userName="isabel@coryhometeam.com" userProvider="google-sheets"/>
      </Event>
    </History>
  </Task>
  <Task id="{4f359ccd-e76f-443f-841f-c3c23b7e07d3}">
    <Anchor>
      <Comment id="{5ae1dbb9-b25f-42e3-96b0-4a996d3a40fe}"/>
    </Anchor>
    <History>
      <Event time="2025-07-08T04:53:32.00" id="{0d732f78-4b40-4622-b2d1-72101c9eb944}">
        <Attribution userId="placeholder@email.com" userName="Alexis Cassidy" userProvider="google-sheets"/>
        <Anchor>
          <Comment id="{5ae1dbb9-b25f-42e3-96b0-4a996d3a40fe}"/>
        </Anchor>
        <Create/>
      </Event>
      <Event time="2025-07-08T04:53:32.00" id="{9d8a7922-6375-4cb6-bcb3-f7e1543a6d95}">
        <Attribution userId="placeholder@email.com" userName="Alexis Cassidy" userProvider="google-sheets"/>
        <Anchor>
          <Comment id="{5ae1dbb9-b25f-42e3-96b0-4a996d3a40fe}"/>
        </Anchor>
        <Assign userId="aileen@coryhometeam.com" userName="aileen@coryhometeam.com" userProvider="google-sheets"/>
      </Event>
    </History>
  </Task>
  <Task id="{d41a0644-aee5-4af1-baf7-4ef33d4cb4df}">
    <Anchor>
      <Comment id="{dee1d7bd-74fd-4d43-8543-403b9598a309}"/>
    </Anchor>
    <History>
      <Event time="2025-07-08T04:47:38.00" id="{70f2e46d-4d23-41c9-be42-3142b0cb4560}">
        <Attribution userId="placeholder@email.com" userName="Alexis Cassidy" userProvider="google-sheets"/>
        <Anchor>
          <Comment id="{dee1d7bd-74fd-4d43-8543-403b9598a309}"/>
        </Anchor>
        <Create/>
      </Event>
      <Event time="2025-07-08T04:47:38.00" id="{848e3175-360b-48bc-94af-4a98fbd9339c}">
        <Attribution userId="placeholder@email.com" userName="Alexis Cassidy" userProvider="google-sheets"/>
        <Anchor>
          <Comment id="{dee1d7bd-74fd-4d43-8543-403b9598a309}"/>
        </Anchor>
        <Assign userId="aileen@coryhometeam.com" userName="aileen@coryhometeam.com" userProvider="google-sheets"/>
      </Event>
    </History>
  </Task>
  <Task id="{86ea56c5-17f9-4576-a4d7-26ba68331760}">
    <Anchor>
      <Comment id="{04d472bb-8487-40ae-8647-3d02cf0f4334}"/>
    </Anchor>
    <History>
      <Event time="2025-04-17T23:04:56.00" id="{76251dda-0835-4a41-8f31-36345b6d8e4d}">
        <Attribution userId="placeholder@email.com" userName="Jam Bernardo" userProvider="google-sheets"/>
        <Anchor>
          <Comment id="{04d472bb-8487-40ae-8647-3d02cf0f4334}"/>
        </Anchor>
        <Create/>
      </Event>
      <Event time="2025-04-17T23:04:56.00" id="{c56c5a8f-9289-46cd-949a-4716f77cd8f4}">
        <Attribution userId="placeholder@email.com" userName="Jam Bernardo" userProvider="google-sheets"/>
        <Anchor>
          <Comment id="{04d472bb-8487-40ae-8647-3d02cf0f4334}"/>
        </Anchor>
        <Assign userId="isabel@coryhometeam.com" userName="isabel@coryhometeam.com" userProvider="google-sheets"/>
      </Event>
    </History>
  </Task>
  <Task id="{7697fe7a-292e-420a-8d49-23b147d73a65}">
    <Anchor>
      <Comment id="{0c2becad-feab-467f-9dbd-d56908349727}"/>
    </Anchor>
    <History>
      <Event time="2025-07-08T04:55:44.00" id="{406b354d-e7f9-4624-9909-fee2fa95c5ec}">
        <Attribution userId="placeholder@email.com" userName="Alexis Cassidy" userProvider="google-sheets"/>
        <Anchor>
          <Comment id="{0c2becad-feab-467f-9dbd-d56908349727}"/>
        </Anchor>
        <Create/>
      </Event>
      <Event time="2025-07-08T04:55:44.00" id="{0c26ff01-ff66-4b31-8955-d6025d528858}">
        <Attribution userId="placeholder@email.com" userName="Alexis Cassidy" userProvider="google-sheets"/>
        <Anchor>
          <Comment id="{0c2becad-feab-467f-9dbd-d56908349727}"/>
        </Anchor>
        <Assign userId="aileen@coryhometeam.com" userName="aileen@coryhometeam.com" userProvider="google-sheets"/>
      </Event>
    </History>
  </Task>
  <Task id="{38d27d1a-d126-4f73-bc3c-d14b5619b882}">
    <Anchor>
      <Comment id="{e66d87d7-1465-4074-a2e4-2c73c8ed1a3f}"/>
    </Anchor>
    <History>
      <Event time="2025-04-17T23:04:16.00" id="{126f8d11-3edc-4f5e-9c54-0d50ae756141}">
        <Attribution userId="placeholder@email.com" userName="Jam Bernardo" userProvider="google-sheets"/>
        <Anchor>
          <Comment id="{e66d87d7-1465-4074-a2e4-2c73c8ed1a3f}"/>
        </Anchor>
        <Create/>
      </Event>
      <Event time="2025-04-17T23:04:16.00" id="{be1a434c-3990-4e11-af2d-35facae5f3a6}">
        <Attribution userId="placeholder@email.com" userName="Jam Bernardo" userProvider="google-sheets"/>
        <Anchor>
          <Comment id="{e66d87d7-1465-4074-a2e4-2c73c8ed1a3f}"/>
        </Anchor>
        <Assign userId="isabel@coryhometeam.com" userName="isabel@coryhometeam.com" userProvider="google-sheets"/>
      </Event>
    </History>
  </Task>
  <Task id="{b2ca3f20-ec1b-4c22-86f4-6e20ffc5ee4d}">
    <Anchor>
      <Comment id="{8be1d2c9-f0d1-4ead-a07a-086a72959f5e}"/>
    </Anchor>
    <History>
      <Event time="2025-10-27T17:04:45.00" id="{1fa77a01-7b7c-4d73-ac4f-251186536b7e}">
        <Attribution userId="placeholder@email.com" userName="Rafael Bernardo" userProvider="google-sheets"/>
        <Anchor>
          <Comment id="{8be1d2c9-f0d1-4ead-a07a-086a72959f5e}"/>
        </Anchor>
        <Create/>
      </Event>
      <Event time="2025-10-27T17:04:45.00" id="{ae01eb96-b663-41a2-9c14-e31b6b071bc3}">
        <Attribution userId="placeholder@email.com" userName="Rafael Bernardo" userProvider="google-sheets"/>
        <Anchor>
          <Comment id="{8be1d2c9-f0d1-4ead-a07a-086a72959f5e}"/>
        </Anchor>
        <Assign userId="isabel@coryhometeam.com" userName="isabel@coryhometeam.com" userProvider="google-sheets"/>
      </Event>
    </History>
  </Task>
  <Task id="{816f5691-8928-4c9d-ad4e-f0f65d764b01}">
    <Anchor>
      <Comment id="{541c8e6a-1ab5-4f54-aafa-d79e1df4b30d}"/>
    </Anchor>
    <History>
      <Event time="2025-04-17T23:10:13.00" id="{376e5dd6-4f42-4719-8f68-408d7c6998d7}">
        <Attribution userId="placeholder@email.com" userName="Jam Bernardo" userProvider="google-sheets"/>
        <Anchor>
          <Comment id="{541c8e6a-1ab5-4f54-aafa-d79e1df4b30d}"/>
        </Anchor>
        <Create/>
      </Event>
      <Event time="2025-04-17T23:10:13.00" id="{35d07e26-df0d-4e80-b8f5-69e9658906e4}">
        <Attribution userId="placeholder@email.com" userName="Jam Bernardo" userProvider="google-sheets"/>
        <Anchor>
          <Comment id="{541c8e6a-1ab5-4f54-aafa-d79e1df4b30d}"/>
        </Anchor>
        <Assign userId="isabel@coryhometeam.com" userName="isabel@coryhometeam.com" userProvider="google-sheets"/>
      </Event>
    </History>
  </Task>
  <Task id="{c294dd8e-a7ab-47f8-8ec7-57aaee4462bb}">
    <Anchor>
      <Comment id="{b83deab6-fbde-4c66-a213-ebe036024b9b}"/>
    </Anchor>
    <History>
      <Event time="2025-04-10T16:20:40.00" id="{d3b814b8-1c21-4a83-93ee-40a81686ab09}">
        <Attribution userId="placeholder@email.com" userName="Rafael Bernardo" userProvider="google-sheets"/>
        <Anchor>
          <Comment id="{b83deab6-fbde-4c66-a213-ebe036024b9b}"/>
        </Anchor>
        <Create/>
      </Event>
      <Event time="2025-04-10T16:20:40.00" id="{41985d5a-f070-418c-aec7-9d74603092da}">
        <Attribution userId="placeholder@email.com" userName="Rafael Bernardo" userProvider="google-sheets"/>
        <Anchor>
          <Comment id="{b83deab6-fbde-4c66-a213-ebe036024b9b}"/>
        </Anchor>
        <Assign userId="isabel@coryhometeam.com" userName="isabel@coryhometeam.com" userProvider="google-sheets"/>
      </Event>
    </History>
  </Task>
  <Task id="{09dde0b8-f5b0-4bf2-a9da-54e264d66edd}">
    <Anchor>
      <Comment id="{a411f939-9945-41aa-882d-7a5e5e3a9d17}"/>
    </Anchor>
    <History>
      <Event time="2025-04-17T23:16:21.00" id="{1e5e774d-f786-4945-b2c8-82147a3311f6}">
        <Attribution userId="placeholder@email.com" userName="Jam Bernardo" userProvider="google-sheets"/>
        <Anchor>
          <Comment id="{a411f939-9945-41aa-882d-7a5e5e3a9d17}"/>
        </Anchor>
        <Create/>
      </Event>
      <Event time="2025-04-17T23:16:21.00" id="{533157ca-2fe0-4347-87a2-de2fe098076e}">
        <Attribution userId="placeholder@email.com" userName="Jam Bernardo" userProvider="google-sheets"/>
        <Anchor>
          <Comment id="{a411f939-9945-41aa-882d-7a5e5e3a9d17}"/>
        </Anchor>
        <Assign userId="isabel@coryhometeam.com" userName="isabel@coryhometeam.com" userProvider="google-sheets"/>
      </Event>
    </History>
  </Task>
  <Task id="{5d3b05e6-5ad9-4897-acce-54f3979ba4d5}">
    <Anchor>
      <Comment id="{3ff73274-1949-46d1-9202-f3ff2fc9fda4}"/>
    </Anchor>
    <History>
      <Event time="2025-10-14T23:45:36.00" id="{13df1098-f168-49e9-8a18-fb52eb0af09c}">
        <Attribution userId="placeholder@email.com" userName="Jam Bernardo" userProvider="google-sheets"/>
        <Anchor>
          <Comment id="{3ff73274-1949-46d1-9202-f3ff2fc9fda4}"/>
        </Anchor>
        <Create/>
      </Event>
      <Event time="2025-10-14T23:45:36.00" id="{23152525-f9bd-4faa-a8f9-5264c21ebc37}">
        <Attribution userId="placeholder@email.com" userName="Jam Bernardo" userProvider="google-sheets"/>
        <Anchor>
          <Comment id="{3ff73274-1949-46d1-9202-f3ff2fc9fda4}"/>
        </Anchor>
        <Assign userId="isabel@coryhometeam.com" userName="isabel@coryhometeam.com" userProvider="google-sheets"/>
      </Event>
    </History>
  </Task>
  <Task id="{15f788ba-5d47-42d3-bf6d-61b5d0940ecc}">
    <Anchor>
      <Comment id="{3416d6f3-5e01-4209-9de5-4d882b6c9e07}"/>
    </Anchor>
    <History>
      <Event time="2025-10-27T16:32:40.00" id="{4a95e9b2-1d86-4cff-ac0f-8c200c844da5}">
        <Attribution userId="placeholder@email.com" userName="Rafael Bernardo" userProvider="google-sheets"/>
        <Anchor>
          <Comment id="{3416d6f3-5e01-4209-9de5-4d882b6c9e07}"/>
        </Anchor>
        <Create/>
      </Event>
      <Event time="2025-10-27T16:32:40.00" id="{33773d49-6d34-4745-9f9d-fe0becfbaecf}">
        <Attribution userId="placeholder@email.com" userName="Rafael Bernardo" userProvider="google-sheets"/>
        <Anchor>
          <Comment id="{3416d6f3-5e01-4209-9de5-4d882b6c9e07}"/>
        </Anchor>
        <Assign userId="isabel@coryhometeam.com" userName="isabel@coryhometeam.com" userProvider="google-sheets"/>
      </Event>
    </History>
  </Task>
  <Task id="{eb5e25aa-7a38-413f-afb2-adcf98a4a508}">
    <Anchor>
      <Comment id="{2be4c2c1-259f-4ba0-8cf4-834799d45a1a}"/>
    </Anchor>
    <History>
      <Event time="2025-03-07T18:06:29.00" id="{04807a92-e4a9-4d0c-9cae-99b62ba81e8d}">
        <Attribution userId="placeholder@email.com" userName="Rafael Bernardo" userProvider="google-sheets"/>
        <Anchor>
          <Comment id="{2be4c2c1-259f-4ba0-8cf4-834799d45a1a}"/>
        </Anchor>
        <Create/>
      </Event>
      <Event time="2025-03-07T18:06:29.00" id="{0fee8264-0d86-4dd4-9f2d-b6e10ea2bfa4}">
        <Attribution userId="placeholder@email.com" userName="Rafael Bernardo" userProvider="google-sheets"/>
        <Anchor>
          <Comment id="{2be4c2c1-259f-4ba0-8cf4-834799d45a1a}"/>
        </Anchor>
        <Assign userId="isabel@coryhometeam.com" userName="isabel@coryhometeam.com" userProvider="google-sheets"/>
      </Event>
    </History>
  </Task>
  <Task id="{a745c330-012c-4409-8eee-aea62e4bf757}">
    <Anchor>
      <Comment id="{66d56110-436e-4173-a53d-2d7d5e6f9ab4}"/>
    </Anchor>
    <History>
      <Event time="2025-04-10T16:16:11.00" id="{5279720a-c428-4966-aef8-0061e214c85a}">
        <Attribution userId="placeholder@email.com" userName="Rafael Bernardo" userProvider="google-sheets"/>
        <Anchor>
          <Comment id="{66d56110-436e-4173-a53d-2d7d5e6f9ab4}"/>
        </Anchor>
        <Create/>
      </Event>
      <Event time="2025-04-10T16:16:11.00" id="{bc001e6e-1391-4bf1-bd5e-e31d55e70b17}">
        <Attribution userId="placeholder@email.com" userName="Rafael Bernardo" userProvider="google-sheets"/>
        <Anchor>
          <Comment id="{66d56110-436e-4173-a53d-2d7d5e6f9ab4}"/>
        </Anchor>
        <Assign userId="isabel@coryhometeam.com" userName="isabel@coryhometeam.com" userProvider="google-sheets"/>
      </Event>
    </History>
  </Task>
  <Task id="{7a7e3415-2127-484b-8267-85eeb5935113}">
    <Anchor>
      <Comment id="{0d856646-29b6-493b-9f6f-9f8283764322}"/>
    </Anchor>
    <History>
      <Event time="2025-04-10T16:18:26.00" id="{b7fb3bea-b1a5-45cc-9abf-e214a94126f0}">
        <Attribution userId="placeholder@email.com" userName="Rafael Bernardo" userProvider="google-sheets"/>
        <Anchor>
          <Comment id="{0d856646-29b6-493b-9f6f-9f8283764322}"/>
        </Anchor>
        <Create/>
      </Event>
      <Event time="2025-04-10T16:18:26.00" id="{e09fdf87-5ac6-48c2-9348-f1feb7dd92ef}">
        <Attribution userId="placeholder@email.com" userName="Rafael Bernardo" userProvider="google-sheets"/>
        <Anchor>
          <Comment id="{0d856646-29b6-493b-9f6f-9f8283764322}"/>
        </Anchor>
        <Assign userId="isabel@coryhometeam.com" userName="isabel@coryhometeam.com" userProvider="google-sheets"/>
      </Event>
    </History>
  </Task>
  <Task id="{b235f5ac-d5b5-46a2-9b3f-ff99152c0141}">
    <Anchor>
      <Comment id="{dcfb952c-696e-47e9-9f1b-13a16b545545}"/>
    </Anchor>
    <History>
      <Event time="2025-04-17T23:21:15.00" id="{959067de-228b-481e-b86d-468748893bb7}">
        <Attribution userId="placeholder@email.com" userName="Jam Bernardo" userProvider="google-sheets"/>
        <Anchor>
          <Comment id="{dcfb952c-696e-47e9-9f1b-13a16b545545}"/>
        </Anchor>
        <Create/>
      </Event>
      <Event time="2025-04-17T23:21:15.00" id="{9fa05a8f-a6c8-464d-8b07-6bdceaf18f0e}">
        <Attribution userId="placeholder@email.com" userName="Jam Bernardo" userProvider="google-sheets"/>
        <Anchor>
          <Comment id="{dcfb952c-696e-47e9-9f1b-13a16b545545}"/>
        </Anchor>
        <Assign userId="isabel@coryhometeam.com" userName="isabel@coryhometeam.com" userProvider="google-sheets"/>
      </Event>
    </History>
  </Task>
  <Task id="{f3fd42f9-488c-4d69-83d1-baa31299233e}">
    <Anchor>
      <Comment id="{12a01f3f-3fad-46ba-85bf-e87a623f6d28}"/>
    </Anchor>
    <History>
      <Event time="2025-05-06T23:37:55.00" id="{73cf369f-30ba-4ddf-97bf-dfb4658196ff}">
        <Attribution userId="placeholder@email.com" userName="Jam Bernardo" userProvider="google-sheets"/>
        <Anchor>
          <Comment id="{12a01f3f-3fad-46ba-85bf-e87a623f6d28}"/>
        </Anchor>
        <Create/>
      </Event>
      <Event time="2025-05-06T23:37:55.00" id="{5d5131a4-0cf5-4369-9b1a-6ed01964af8e}">
        <Attribution userId="placeholder@email.com" userName="Jam Bernardo" userProvider="google-sheets"/>
        <Anchor>
          <Comment id="{12a01f3f-3fad-46ba-85bf-e87a623f6d28}"/>
        </Anchor>
        <Assign userId="isabel@coryhometeam.com" userName="isabel@coryhometeam.com" userProvider="google-sheets"/>
      </Event>
    </History>
  </Task>
  <Task id="{9224b140-e07c-475f-96ea-bd30e350fe9d}">
    <Anchor>
      <Comment id="{2dcd0678-6d7b-4b5c-8ac0-15343511636d}"/>
    </Anchor>
    <History>
      <Event time="2025-03-07T18:11:52.00" id="{4bb760ef-b171-4e4c-b8e9-2b5863238666}">
        <Attribution userId="placeholder@email.com" userName="Jam Bernardo" userProvider="google-sheets"/>
        <Anchor>
          <Comment id="{2dcd0678-6d7b-4b5c-8ac0-15343511636d}"/>
        </Anchor>
        <Create/>
      </Event>
      <Event time="2025-03-07T18:11:52.00" id="{7a82365e-399e-4e99-8ea3-c9c2e2935e81}">
        <Attribution userId="placeholder@email.com" userName="Jam Bernardo" userProvider="google-sheets"/>
        <Anchor>
          <Comment id="{2dcd0678-6d7b-4b5c-8ac0-15343511636d}"/>
        </Anchor>
        <Assign userId="isabel@coryhometeam.com" userName="isabel@coryhometeam.com" userProvider="google-sheets"/>
      </Event>
    </History>
  </Task>
  <Task id="{acafd223-1c0b-406e-ac28-e0cd27e5c7ea}">
    <Anchor>
      <Comment id="{1cc0754f-c0d0-4dc2-857a-ddb64d9f39ed}"/>
    </Anchor>
    <History>
      <Event time="2025-04-25T19:28:07.00" id="{836b0d4e-84d7-4dc2-a2a7-caf445e3ed3e}">
        <Attribution userId="placeholder@email.com" userName="Jam Bernardo" userProvider="google-sheets"/>
        <Anchor>
          <Comment id="{1cc0754f-c0d0-4dc2-857a-ddb64d9f39ed}"/>
        </Anchor>
        <Create/>
      </Event>
      <Event time="2025-04-25T19:28:07.00" id="{ebeef68b-0322-49a8-8480-f49c82cd6b37}">
        <Attribution userId="placeholder@email.com" userName="Jam Bernardo" userProvider="google-sheets"/>
        <Anchor>
          <Comment id="{1cc0754f-c0d0-4dc2-857a-ddb64d9f39ed}"/>
        </Anchor>
        <Assign userId="isabel@coryhometeam.com" userName="isabel@coryhometeam.com" userProvider="google-sheets"/>
      </Event>
    </History>
  </Task>
  <Task id="{d8cb490a-4ea4-4cbe-a663-3c84bf1c7ca7}">
    <Anchor>
      <Comment id="{4d745b8f-ad86-42d1-8261-0fa2d72292bb}"/>
    </Anchor>
    <History>
      <Event time="2025-05-06T23:21:20.00" id="{380da147-1bc2-4b1c-ae29-bf8f2035bc7c}">
        <Attribution userId="placeholder@email.com" userName="Jam Bernardo" userProvider="google-sheets"/>
        <Anchor>
          <Comment id="{4d745b8f-ad86-42d1-8261-0fa2d72292bb}"/>
        </Anchor>
        <Create/>
      </Event>
      <Event time="2025-05-06T23:21:20.00" id="{85abb8b1-dad2-45b8-9d33-56b1c46217a5}">
        <Attribution userId="placeholder@email.com" userName="Jam Bernardo" userProvider="google-sheets"/>
        <Anchor>
          <Comment id="{4d745b8f-ad86-42d1-8261-0fa2d72292bb}"/>
        </Anchor>
        <Assign userId="isabel@coryhometeam.com" userName="isabel@coryhometeam.com" userProvider="google-sheets"/>
      </Event>
    </History>
  </Task>
  <Task id="{8537cdd8-c578-466f-a86a-a7f1dc2b314b}">
    <Anchor>
      <Comment id="{65727ee3-8c50-4787-8a60-5d73ea6f6c2e}"/>
    </Anchor>
    <History>
      <Event time="2025-07-14T19:48:58.00" id="{d17c7dbe-ca75-4e7e-96ff-4453519da569}">
        <Attribution userId="placeholder@email.com" userName="Kenia Bautista" userProvider="google-sheets"/>
        <Anchor>
          <Comment id="{65727ee3-8c50-4787-8a60-5d73ea6f6c2e}"/>
        </Anchor>
        <Create/>
      </Event>
      <Event time="2025-07-14T19:48:58.00" id="{16a5cdb8-0512-4a7d-aa04-f6c6a28770c9}">
        <Attribution userId="placeholder@email.com" userName="Kenia Bautista" userProvider="google-sheets"/>
        <Anchor>
          <Comment id="{65727ee3-8c50-4787-8a60-5d73ea6f6c2e}"/>
        </Anchor>
        <Assign userId="aileen@coryhometeam.com" userName="aileen@coryhometeam.com" userProvider="google-sheets"/>
      </Event>
    </History>
  </Task>
  <Task id="{3d9ab3cf-e1e9-49e7-b204-9b04518c89dc}">
    <Anchor>
      <Comment id="{6a83c614-0a5d-4bd7-90c8-87b5a83073be}"/>
    </Anchor>
    <History>
      <Event time="2025-06-14T15:01:41.00" id="{478b6809-136d-4456-862b-76c118a57b08}">
        <Attribution userId="placeholder@email.com" userName="Alexis Cassidy" userProvider="google-sheets"/>
        <Anchor>
          <Comment id="{6a83c614-0a5d-4bd7-90c8-87b5a83073be}"/>
        </Anchor>
        <Create/>
      </Event>
      <Event time="2025-06-14T15:01:41.00" id="{0f1ba109-d934-4b41-88e0-11fa8fcf9a5a}">
        <Attribution userId="placeholder@email.com" userName="Alexis Cassidy" userProvider="google-sheets"/>
        <Anchor>
          <Comment id="{6a83c614-0a5d-4bd7-90c8-87b5a83073be}"/>
        </Anchor>
        <Assign userId="aileen@coryhometeam.com" userName="aileen@coryhometeam.com" userProvider="google-sheets"/>
      </Event>
    </History>
  </Task>
  <Task id="{c0514419-6ce9-4ff6-a969-c4ad811a30d0}">
    <Anchor>
      <Comment id="{416e9527-b1eb-44c4-9441-f938a750cace}"/>
    </Anchor>
    <History>
      <Event time="2025-05-13T11:32:14.00" id="{216eb737-b212-44de-8fd0-390ccefeba50}">
        <Attribution userId="placeholder@email.com" userName="Rafael Bernardo" userProvider="google-sheets"/>
        <Anchor>
          <Comment id="{416e9527-b1eb-44c4-9441-f938a750cace}"/>
        </Anchor>
        <Create/>
      </Event>
      <Event time="2025-05-13T11:32:14.00" id="{f2c7d7b0-64ac-4bbd-b8be-0ba0d79f6fb9}">
        <Attribution userId="placeholder@email.com" userName="Rafael Bernardo" userProvider="google-sheets"/>
        <Anchor>
          <Comment id="{416e9527-b1eb-44c4-9441-f938a750cace}"/>
        </Anchor>
        <Assign userId="isabel@coryhometeam.com" userName="isabel@coryhometeam.com" userProvider="google-sheets"/>
      </Event>
    </History>
  </Task>
  <Task id="{6e951113-8d08-4bff-8b6a-28280c240ead}">
    <Anchor>
      <Comment id="{daf585ab-8c67-4b19-8b95-b2aaa3949efc}"/>
    </Anchor>
    <History>
      <Event time="2025-08-19T16:14:27.00" id="{f8ba18bc-8abb-44e6-afaa-06adae913159}">
        <Attribution userId="placeholder@email.com" userName="Jam Bernardo" userProvider="google-sheets"/>
        <Anchor>
          <Comment id="{daf585ab-8c67-4b19-8b95-b2aaa3949efc}"/>
        </Anchor>
        <Create/>
      </Event>
      <Event time="2025-08-19T16:14:27.00" id="{61befacb-47e0-463c-a6f1-54a21df8e2fe}">
        <Attribution userId="placeholder@email.com" userName="Jam Bernardo" userProvider="google-sheets"/>
        <Anchor>
          <Comment id="{daf585ab-8c67-4b19-8b95-b2aaa3949efc}"/>
        </Anchor>
        <Assign userId="isabel@coryhometeam.com" userName="isabel@coryhometeam.com" userProvider="google-sheets"/>
      </Event>
    </History>
  </Task>
  <Task id="{1174683a-99d4-4665-979d-4bf9e5ae8eca}">
    <Anchor>
      <Comment id="{29ff7a72-eb50-4b8f-98f2-63c05a227b13}"/>
    </Anchor>
    <History>
      <Event time="2025-11-10T18:22:26.00" id="{968b8fea-4dff-485a-910c-de5c35458bcb}">
        <Attribution userId="placeholder@email.com" userName="Rafael Bernardo" userProvider="google-sheets"/>
        <Anchor>
          <Comment id="{29ff7a72-eb50-4b8f-98f2-63c05a227b13}"/>
        </Anchor>
        <Create/>
      </Event>
      <Event time="2025-11-10T18:22:26.00" id="{085b9f7c-0cf5-4830-8f99-eab59e38dc0d}">
        <Attribution userId="placeholder@email.com" userName="Rafael Bernardo" userProvider="google-sheets"/>
        <Anchor>
          <Comment id="{29ff7a72-eb50-4b8f-98f2-63c05a227b13}"/>
        </Anchor>
        <Assign userId="isabel@coryhometeam.com" userName="isabel@coryhometeam.com" userProvider="google-sheets"/>
      </Event>
    </History>
  </Task>
  <Task id="{e32ea85e-753c-492c-a2aa-3049fd4ee9d2}">
    <Anchor>
      <Comment id="{f6a5b305-2b5b-48bc-8117-06ec4deca4b3}"/>
    </Anchor>
    <History>
      <Event time="2025-05-29T18:38:50.00" id="{2a480e65-1a06-4bcf-81da-f5f441aae1a0}">
        <Attribution userId="placeholder@email.com" userName="Rafael Bernardo" userProvider="google-sheets"/>
        <Anchor>
          <Comment id="{f6a5b305-2b5b-48bc-8117-06ec4deca4b3}"/>
        </Anchor>
        <Create/>
      </Event>
      <Event time="2025-05-29T18:38:50.00" id="{b35dcd82-c6ff-4a55-acec-4e0087aa05f6}">
        <Attribution userId="placeholder@email.com" userName="Rafael Bernardo" userProvider="google-sheets"/>
        <Anchor>
          <Comment id="{f6a5b305-2b5b-48bc-8117-06ec4deca4b3}"/>
        </Anchor>
        <Assign userId="isabel@coryhometeam.com" userName="isabel@coryhometeam.com" userProvider="google-sheets"/>
      </Event>
    </History>
  </Task>
  <Task id="{610e94e7-38c8-4a19-8252-14e9ea5b2e89}">
    <Anchor>
      <Comment id="{061f11fa-7b12-4ec6-916f-41cc9e72d1c8}"/>
    </Anchor>
    <History>
      <Event time="2025-04-23T01:09:50.00" id="{0b000ee2-11b4-470d-8355-619fe897e842}">
        <Attribution userId="placeholder@email.com" userName="Alexis Cassidy" userProvider="google-sheets"/>
        <Anchor>
          <Comment id="{061f11fa-7b12-4ec6-916f-41cc9e72d1c8}"/>
        </Anchor>
        <Create/>
      </Event>
      <Event time="2025-04-23T01:09:50.00" id="{50b5bd91-8a6c-47b3-bc60-ef42a6234d17}">
        <Attribution userId="placeholder@email.com" userName="Alexis Cassidy" userProvider="google-sheets"/>
        <Anchor>
          <Comment id="{061f11fa-7b12-4ec6-916f-41cc9e72d1c8}"/>
        </Anchor>
        <Assign userId="aileen@coryhometeam.com" userName="aileen@coryhometeam.com" userProvider="google-sheets"/>
      </Event>
    </History>
  </Task>
  <Task id="{77713bda-ce09-47fa-9389-b88dc8c052e3}">
    <Anchor>
      <Comment id="{13cdfa9a-1a8e-456b-893b-ea976ac2d4d5}"/>
    </Anchor>
    <History>
      <Event time="2025-08-19T16:14:32.00" id="{2d2c39e2-3483-466d-8145-6a6fb766692d}">
        <Attribution userId="placeholder@email.com" userName="Jam Bernardo" userProvider="google-sheets"/>
        <Anchor>
          <Comment id="{13cdfa9a-1a8e-456b-893b-ea976ac2d4d5}"/>
        </Anchor>
        <Create/>
      </Event>
      <Event time="2025-08-19T16:14:32.00" id="{82f23a03-4006-4662-8aeb-4135dafe85d2}">
        <Attribution userId="placeholder@email.com" userName="Jam Bernardo" userProvider="google-sheets"/>
        <Anchor>
          <Comment id="{13cdfa9a-1a8e-456b-893b-ea976ac2d4d5}"/>
        </Anchor>
        <Assign userId="isabel@coryhometeam.com" userName="isabel@coryhometeam.com" userProvider="google-sheets"/>
      </Event>
    </History>
  </Task>
  <Task id="{3c6c5eaa-771e-4b51-8658-be805ebbb73c}">
    <Anchor>
      <Comment id="{d6128a09-0983-44c4-bcca-2217490d8077}"/>
    </Anchor>
    <History>
      <Event time="2025-04-23T01:10:57.00" id="{30782149-93eb-4607-a7e8-7c05c54d9e4f}">
        <Attribution userId="placeholder@email.com" userName="Alexis Cassidy" userProvider="google-sheets"/>
        <Anchor>
          <Comment id="{d6128a09-0983-44c4-bcca-2217490d8077}"/>
        </Anchor>
        <Create/>
      </Event>
      <Event time="2025-04-23T01:10:57.00" id="{e902543c-075d-4ce5-8ebb-682c8d585004}">
        <Attribution userId="placeholder@email.com" userName="Alexis Cassidy" userProvider="google-sheets"/>
        <Anchor>
          <Comment id="{d6128a09-0983-44c4-bcca-2217490d8077}"/>
        </Anchor>
        <Assign userId="aileen@coryhometeam.com" userName="aileen@coryhometeam.com" userProvider="google-sheets"/>
      </Event>
    </History>
  </Task>
  <Task id="{85c18d62-09f5-4e35-b15b-71b152ab0e00}">
    <Anchor>
      <Comment id="{f47399ff-9ceb-4856-852c-b4a38722b0f4}"/>
    </Anchor>
    <History>
      <Event time="2025-04-23T01:08:58.00" id="{dd56cfed-84ad-4eac-ae87-8b480d03c4bb}">
        <Attribution userId="placeholder@email.com" userName="Alexis Cassidy" userProvider="google-sheets"/>
        <Anchor>
          <Comment id="{f47399ff-9ceb-4856-852c-b4a38722b0f4}"/>
        </Anchor>
        <Create/>
      </Event>
      <Event time="2025-04-23T01:08:58.00" id="{5a066771-e785-4990-9d25-20c2d292ba0f}">
        <Attribution userId="placeholder@email.com" userName="Alexis Cassidy" userProvider="google-sheets"/>
        <Anchor>
          <Comment id="{f47399ff-9ceb-4856-852c-b4a38722b0f4}"/>
        </Anchor>
        <Assign userId="aileen@coryhometeam.com" userName="aileen@coryhometeam.com" userProvider="google-sheets"/>
      </Event>
    </History>
  </Task>
  <Task id="{929a415e-14d2-412b-bfe8-0fae07b2cbcb}">
    <Anchor>
      <Comment id="{af7013f5-859e-46f1-a3ae-b447f92ff3cb}"/>
    </Anchor>
    <History>
      <Event time="2025-11-26T23:24:50.00" id="{5c38acc7-c928-4ee8-9ed6-d29ff48b0d63}">
        <Attribution userId="placeholder@email.com" userName="Jam Bernardo" userProvider="google-sheets"/>
        <Anchor>
          <Comment id="{af7013f5-859e-46f1-a3ae-b447f92ff3cb}"/>
        </Anchor>
        <Create/>
      </Event>
      <Event time="2025-11-26T23:24:50.00" id="{dc971348-ef1a-44ba-a08f-4576d46574d5}">
        <Attribution userId="placeholder@email.com" userName="Jam Bernardo" userProvider="google-sheets"/>
        <Anchor>
          <Comment id="{af7013f5-859e-46f1-a3ae-b447f92ff3cb}"/>
        </Anchor>
        <Assign userId="isabel@coryhometeam.com" userName="isabel@coryhometeam.com" userProvider="google-sheets"/>
      </Event>
    </History>
  </Task>
  <Task id="{bab11c79-101f-462c-a5b5-b7befecfce88}">
    <Anchor>
      <Comment id="{107444ed-3c63-4e2a-a6a9-a5e6f2368184}"/>
    </Anchor>
    <History>
      <Event time="2025-01-10T16:06:14.00" id="{85dfa3e8-f720-4722-bb20-efe14457498f}">
        <Attribution userId="placeholder@email.com" userName="Rafael Bernardo" userProvider="google-sheets"/>
        <Anchor>
          <Comment id="{107444ed-3c63-4e2a-a6a9-a5e6f2368184}"/>
        </Anchor>
        <Create/>
      </Event>
      <Event time="2025-01-10T16:06:14.00" id="{877e9866-f954-4086-a7b1-8dbfd084f51c}">
        <Attribution userId="placeholder@email.com" userName="Rafael Bernardo" userProvider="google-sheets"/>
        <Anchor>
          <Comment id="{107444ed-3c63-4e2a-a6a9-a5e6f2368184}"/>
        </Anchor>
        <Assign userId="isabel@coryhometeam.com" userName="isabel@coryhometeam.com" userProvider="google-sheets"/>
      </Event>
    </History>
  </Task>
  <Task id="{056ab1e8-cacc-489d-bb54-f266229c1892}">
    <Anchor>
      <Comment id="{909fe6a5-958c-4f8a-930f-db26322ce115}"/>
    </Anchor>
    <History>
      <Event time="2025-07-11T11:08:04.00" id="{270e348d-6462-48e4-ae20-acef00fb1bb5}">
        <Attribution userId="placeholder@email.com" userName="Rafael Bernardo" userProvider="google-sheets"/>
        <Anchor>
          <Comment id="{909fe6a5-958c-4f8a-930f-db26322ce115}"/>
        </Anchor>
        <Create/>
      </Event>
      <Event time="2025-07-11T11:08:04.00" id="{9090ca4d-2837-4753-abb0-8b63e60dda96}">
        <Attribution userId="placeholder@email.com" userName="Rafael Bernardo" userProvider="google-sheets"/>
        <Anchor>
          <Comment id="{909fe6a5-958c-4f8a-930f-db26322ce115}"/>
        </Anchor>
        <Assign userId="isabel@coryhometeam.com" userName="isabel@coryhometeam.com" userProvider="google-sheets"/>
      </Event>
    </History>
  </Task>
  <Task id="{bc331dc3-05f7-4b80-820f-a935d44d3f59}">
    <Anchor>
      <Comment id="{68504f55-ab2b-4549-b2d8-8e13485085f5}"/>
    </Anchor>
    <History>
      <Event time="2025-06-12T13:56:33.00" id="{1d3f1122-de15-48d3-8d3a-db2b53b102f9}">
        <Attribution userId="placeholder@email.com" userName="Rafael Bernardo" userProvider="google-sheets"/>
        <Anchor>
          <Comment id="{68504f55-ab2b-4549-b2d8-8e13485085f5}"/>
        </Anchor>
        <Create/>
      </Event>
      <Event time="2025-06-12T13:56:33.00" id="{4fb7ecbb-97bc-4077-912c-b79849b3a69f}">
        <Attribution userId="placeholder@email.com" userName="Rafael Bernardo" userProvider="google-sheets"/>
        <Anchor>
          <Comment id="{68504f55-ab2b-4549-b2d8-8e13485085f5}"/>
        </Anchor>
        <Assign userId="isabel@coryhometeam.com" userName="isabel@coryhometeam.com" userProvider="google-sheets"/>
      </Event>
    </History>
  </Task>
  <Task id="{bb02f752-4484-4105-8ded-2618a9b1f6c4}">
    <Anchor>
      <Comment id="{b96baa58-5f2d-4cfb-bb4a-3f4abe1f97cd}"/>
    </Anchor>
    <History>
      <Event time="2025-08-19T17:02:58.00" id="{675c9c4c-57b0-4242-bfe6-620e6843afd4}">
        <Attribution userId="placeholder@email.com" userName="Rafael Bernardo" userProvider="google-sheets"/>
        <Anchor>
          <Comment id="{b96baa58-5f2d-4cfb-bb4a-3f4abe1f97cd}"/>
        </Anchor>
        <Create/>
      </Event>
      <Event time="2025-08-19T17:02:58.00" id="{3f7f2b14-3710-4046-a705-291deb9b2a28}">
        <Attribution userId="placeholder@email.com" userName="Rafael Bernardo" userProvider="google-sheets"/>
        <Anchor>
          <Comment id="{b96baa58-5f2d-4cfb-bb4a-3f4abe1f97cd}"/>
        </Anchor>
        <Assign userId="isabel@coryhometeam.com" userName="isabel@coryhometeam.com" userProvider="google-sheets"/>
      </Event>
    </History>
  </Task>
  <Task id="{15fc059c-6f3d-46a3-abcd-30e5081201ef}">
    <Anchor>
      <Comment id="{0c739895-5113-40c5-accc-d41dfa407905}"/>
    </Anchor>
    <History>
      <Event time="2025-09-02T22:30:01.00" id="{1e9b7eff-f549-414a-80d4-9f5df2eb6952}">
        <Attribution userId="placeholder@email.com" userName="Rafael Bernardo" userProvider="google-sheets"/>
        <Anchor>
          <Comment id="{0c739895-5113-40c5-accc-d41dfa407905}"/>
        </Anchor>
        <Create/>
      </Event>
      <Event time="2025-09-02T22:30:01.00" id="{6ccadf86-836b-46d2-b4cb-91b82784bbe3}">
        <Attribution userId="placeholder@email.com" userName="Rafael Bernardo" userProvider="google-sheets"/>
        <Anchor>
          <Comment id="{0c739895-5113-40c5-accc-d41dfa407905}"/>
        </Anchor>
        <Assign userId="isabel@coryhometeam.com" userName="isabel@coryhometeam.com" userProvider="google-sheets"/>
      </Event>
    </History>
  </Task>
  <Task id="{8d6fc4dd-4f14-47d2-b609-635496c894e6}">
    <Anchor>
      <Comment id="{64c6a047-335c-4363-89e6-8eb58c8dd478}"/>
    </Anchor>
    <History>
      <Event time="2025-11-26T23:29:29.00" id="{06c347e3-3059-4141-b9f4-0fcc13d67378}">
        <Attribution userId="placeholder@email.com" userName="Jam Bernardo" userProvider="google-sheets"/>
        <Anchor>
          <Comment id="{64c6a047-335c-4363-89e6-8eb58c8dd478}"/>
        </Anchor>
        <Create/>
      </Event>
      <Event time="2025-11-26T23:29:29.00" id="{034cd5dc-8b33-4a32-85ac-3f9cff8f1060}">
        <Attribution userId="placeholder@email.com" userName="Jam Bernardo" userProvider="google-sheets"/>
        <Anchor>
          <Comment id="{64c6a047-335c-4363-89e6-8eb58c8dd478}"/>
        </Anchor>
        <Assign userId="isabel@coryhometeam.com" userName="isabel@coryhometeam.com" userProvider="google-sheets"/>
      </Event>
    </History>
  </Task>
  <Task id="{017814ee-c5b2-4d04-8796-0a36ac394c58}">
    <Anchor>
      <Comment id="{121b2c68-0c17-4e6f-ad33-50d7f6169e37}"/>
    </Anchor>
    <History>
      <Event time="2025-12-12T17:42:16.00" id="{696bd8a1-e00d-468f-b105-4d9c6ae7347d}">
        <Attribution userId="placeholder@email.com" userName="Jam Bernardo" userProvider="google-sheets"/>
        <Anchor>
          <Comment id="{121b2c68-0c17-4e6f-ad33-50d7f6169e37}"/>
        </Anchor>
        <Create/>
      </Event>
      <Event time="2025-12-12T17:42:16.00" id="{de227345-e219-4c23-8bf3-2e28bc23fc39}">
        <Attribution userId="placeholder@email.com" userName="Jam Bernardo" userProvider="google-sheets"/>
        <Anchor>
          <Comment id="{121b2c68-0c17-4e6f-ad33-50d7f6169e37}"/>
        </Anchor>
        <Assign userId="isabel@coryhometeam.com" userName="isabel@coryhometeam.com" userProvider="google-sheets"/>
      </Event>
    </History>
  </Task>
  <Task id="{8f4e94c3-0cfa-4fd0-89a6-b57fa407edba}">
    <Anchor>
      <Comment id="{7e362ad8-88eb-406b-b364-945e3535a360}"/>
    </Anchor>
    <History>
      <Event time="2025-04-17T12:16:00.00" id="{4e2d1fc4-cc5b-4bbf-9ccb-dc430308e182}">
        <Attribution userId="placeholder@email.com" userName="Rafael Bernardo" userProvider="google-sheets"/>
        <Anchor>
          <Comment id="{7e362ad8-88eb-406b-b364-945e3535a360}"/>
        </Anchor>
        <Create/>
      </Event>
      <Event time="2025-04-17T12:16:00.00" id="{42f237fe-842b-47b3-9f84-5a4080ed0d42}">
        <Attribution userId="placeholder@email.com" userName="Rafael Bernardo" userProvider="google-sheets"/>
        <Anchor>
          <Comment id="{7e362ad8-88eb-406b-b364-945e3535a360}"/>
        </Anchor>
        <Assign userId="isabel@coryhometeam.com" userName="isabel@coryhometeam.com" userProvider="google-sheets"/>
      </Event>
    </History>
  </Task>
  <Task id="{44485586-585b-4395-935c-c3eab0e42fc2}">
    <Anchor>
      <Comment id="{d0d0d8c7-1061-46fc-8c5d-ed92c1f99dfa}"/>
    </Anchor>
    <History>
      <Event time="2025-09-10T14:46:59.00" id="{f9783338-6666-45bc-8284-f1aecbe21f82}">
        <Attribution userId="placeholder@email.com" userName="Rafael Bernardo" userProvider="google-sheets"/>
        <Anchor>
          <Comment id="{d0d0d8c7-1061-46fc-8c5d-ed92c1f99dfa}"/>
        </Anchor>
        <Create/>
      </Event>
      <Event time="2025-09-10T14:46:59.00" id="{7eed5b92-5bfe-49d5-ae85-bae719cd383c}">
        <Attribution userId="placeholder@email.com" userName="Rafael Bernardo" userProvider="google-sheets"/>
        <Anchor>
          <Comment id="{d0d0d8c7-1061-46fc-8c5d-ed92c1f99dfa}"/>
        </Anchor>
        <Assign userId="isabel@coryhometeam.com" userName="isabel@coryhometeam.com" userProvider="google-sheets"/>
      </Event>
    </History>
  </Task>
  <Task id="{00b91499-013f-4acf-aeb4-50a29003d865}">
    <Anchor>
      <Comment id="{52cbe462-08ec-4caa-8b55-92e8cda95bb5}"/>
    </Anchor>
    <History>
      <Event time="2025-07-04T00:01:16.00" id="{6e222753-2ebc-415d-907b-7f3b1ce4472c}">
        <Attribution userId="placeholder@email.com" userName="Jam Bernardo" userProvider="google-sheets"/>
        <Anchor>
          <Comment id="{52cbe462-08ec-4caa-8b55-92e8cda95bb5}"/>
        </Anchor>
        <Create/>
      </Event>
      <Event time="2025-07-04T00:01:16.00" id="{1d9e3b6f-2745-45f6-a831-2d11adba55c3}">
        <Attribution userId="placeholder@email.com" userName="Jam Bernardo" userProvider="google-sheets"/>
        <Anchor>
          <Comment id="{52cbe462-08ec-4caa-8b55-92e8cda95bb5}"/>
        </Anchor>
        <Assign userId="isabel@coryhometeam.com" userName="isabel@coryhometeam.com" userProvider="google-sheets"/>
      </Event>
    </History>
  </Task>
  <Task id="{c940b157-6cbe-415d-be94-376a78770594}">
    <Anchor>
      <Comment id="{fe8cb1e8-09f0-45dc-bd5d-9fdee9819d9e}"/>
    </Anchor>
    <History>
      <Event time="2025-09-11T18:07:03.00" id="{a45db2e8-9b08-454a-83a2-d4c4e6e5bf0c}">
        <Attribution userId="placeholder@email.com" userName="Remy Victoria" userProvider="google-sheets"/>
        <Anchor>
          <Comment id="{fe8cb1e8-09f0-45dc-bd5d-9fdee9819d9e}"/>
        </Anchor>
        <Create/>
      </Event>
      <Event time="2025-09-11T18:07:03.00" id="{30c3e08b-ac0f-441f-afc2-3e2a66d024ae}">
        <Attribution userId="placeholder@email.com" userName="Remy Victoria" userProvider="google-sheets"/>
        <Anchor>
          <Comment id="{fe8cb1e8-09f0-45dc-bd5d-9fdee9819d9e}"/>
        </Anchor>
        <Assign userId="kenia@coryhometeam.com" userName="kenia@coryhometeam.com" userProvider="google-sheets"/>
      </Event>
    </History>
  </Task>
  <Task id="{051342bf-11c4-4a9a-a549-e21304fd9179}">
    <Anchor>
      <Comment id="{00cf966d-d81d-48ba-8bfe-d5d97687a77b}"/>
    </Anchor>
    <History>
      <Event time="2025-06-18T16:03:01.00" id="{1373849d-14af-47c1-bd21-afa81d6be720}">
        <Attribution userId="placeholder@email.com" userName="Rafael Bernardo" userProvider="google-sheets"/>
        <Anchor>
          <Comment id="{00cf966d-d81d-48ba-8bfe-d5d97687a77b}"/>
        </Anchor>
        <Create/>
      </Event>
      <Event time="2025-06-18T16:03:01.00" id="{aa8c85d4-c84b-4892-a2db-3efea124c9c9}">
        <Attribution userId="placeholder@email.com" userName="Rafael Bernardo" userProvider="google-sheets"/>
        <Anchor>
          <Comment id="{00cf966d-d81d-48ba-8bfe-d5d97687a77b}"/>
        </Anchor>
        <Assign userId="isabel@coryhometeam.com" userName="isabel@coryhometeam.com" userProvider="google-sheets"/>
      </Event>
    </History>
  </Task>
  <Task id="{2ee4dda6-63b3-4305-80d7-3384998334a9}">
    <Anchor>
      <Comment id="{4aa26d52-a0b8-49d8-890d-9ab45797df47}"/>
    </Anchor>
    <History>
      <Event time="2025-08-19T21:44:07.00" id="{d9802e67-27f0-4a5f-a72b-8767e47547dd}">
        <Attribution userId="placeholder@email.com" userName="Jam Bernardo" userProvider="google-sheets"/>
        <Anchor>
          <Comment id="{4aa26d52-a0b8-49d8-890d-9ab45797df47}"/>
        </Anchor>
        <Create/>
      </Event>
      <Event time="2025-08-19T21:44:07.00" id="{3d711390-d8b9-441a-97f0-c5e6fd09ac50}">
        <Attribution userId="placeholder@email.com" userName="Jam Bernardo" userProvider="google-sheets"/>
        <Anchor>
          <Comment id="{4aa26d52-a0b8-49d8-890d-9ab45797df47}"/>
        </Anchor>
        <Assign userId="isabel@coryhometeam.com" userName="isabel@coryhometeam.com" userProvider="google-sheets"/>
      </Event>
    </History>
  </Task>
  <Task id="{0430f7ae-9697-44fd-bf01-07697e37098b}">
    <Anchor>
      <Comment id="{e0cba235-cb10-46c9-9099-c009a24dcf9c}"/>
    </Anchor>
    <History>
      <Event time="2025-02-13T20:01:47.00" id="{1b237ac6-e086-4e3a-96ff-132591c593a7}">
        <Attribution userId="placeholder@email.com" userName="Rafael Bernardo" userProvider="google-sheets"/>
        <Anchor>
          <Comment id="{e0cba235-cb10-46c9-9099-c009a24dcf9c}"/>
        </Anchor>
        <Create/>
      </Event>
      <Event time="2025-02-13T20:01:47.00" id="{564e385f-e18e-4d7a-bb32-2931f8f6aa9c}">
        <Attribution userId="placeholder@email.com" userName="Rafael Bernardo" userProvider="google-sheets"/>
        <Anchor>
          <Comment id="{e0cba235-cb10-46c9-9099-c009a24dcf9c}"/>
        </Anchor>
        <Assign userId="isabel@coryhometeam.com" userName="isabel@coryhometeam.com" userProvider="google-sheets"/>
      </Event>
    </History>
  </Task>
  <Task id="{12b6b344-4342-4f2c-918e-72b45046eb3f}">
    <Anchor>
      <Comment id="{e333db3d-0a40-4bf4-ace7-13d3af8dbfab}"/>
    </Anchor>
    <History>
      <Event time="2025-05-13T12:24:35.00" id="{818a1823-19f8-4041-bfd7-d40cf8bcd4ce}">
        <Attribution userId="placeholder@email.com" userName="Rafael Bernardo" userProvider="google-sheets"/>
        <Anchor>
          <Comment id="{e333db3d-0a40-4bf4-ace7-13d3af8dbfab}"/>
        </Anchor>
        <Create/>
      </Event>
      <Event time="2025-05-13T12:24:35.00" id="{52adccf4-d5fc-4185-ac76-0cf73fa45324}">
        <Attribution userId="placeholder@email.com" userName="Rafael Bernardo" userProvider="google-sheets"/>
        <Anchor>
          <Comment id="{e333db3d-0a40-4bf4-ace7-13d3af8dbfab}"/>
        </Anchor>
        <Assign userId="isabel@coryhometeam.com" userName="isabel@coryhometeam.com" userProvider="google-sheets"/>
      </Event>
    </History>
  </Task>
  <Task id="{aee6a6d1-2430-4371-81af-f595b8e065c0}">
    <Anchor>
      <Comment id="{834d3af9-2d7b-45e0-bc10-f40ffb7dc051}"/>
    </Anchor>
    <History>
      <Event time="2025-03-26T22:37:40.00" id="{98f484e7-e984-4e29-ade2-51317e50cb96}">
        <Attribution userId="placeholder@email.com" userName="Jam Bernardo" userProvider="google-sheets"/>
        <Anchor>
          <Comment id="{834d3af9-2d7b-45e0-bc10-f40ffb7dc051}"/>
        </Anchor>
        <Create/>
      </Event>
      <Event time="2025-03-26T22:37:40.00" id="{f76d7e84-2c28-46a2-988f-120d8827f295}">
        <Attribution userId="placeholder@email.com" userName="Jam Bernardo" userProvider="google-sheets"/>
        <Anchor>
          <Comment id="{834d3af9-2d7b-45e0-bc10-f40ffb7dc051}"/>
        </Anchor>
        <Assign userId="isabel@coryhometeam.com" userName="isabel@coryhometeam.com" userProvider="google-sheets"/>
      </Event>
    </History>
  </Task>
  <Task id="{04bb9bb1-0f5b-420d-b1f3-211bdcc30e90}">
    <Anchor>
      <Comment id="{59399378-5895-406c-83ee-dda1916a51d9}"/>
    </Anchor>
    <History>
      <Event time="2025-03-26T14:58:56.00" id="{3aa1a61c-12c0-4550-99ea-3670c3b828b0}">
        <Attribution userId="placeholder@email.com" userName="Rafael Bernardo" userProvider="google-sheets"/>
        <Anchor>
          <Comment id="{59399378-5895-406c-83ee-dda1916a51d9}"/>
        </Anchor>
        <Create/>
      </Event>
      <Event time="2025-03-26T14:58:56.00" id="{0c175c63-fb19-4aab-b638-9a7c95041268}">
        <Attribution userId="placeholder@email.com" userName="Rafael Bernardo" userProvider="google-sheets"/>
        <Anchor>
          <Comment id="{59399378-5895-406c-83ee-dda1916a51d9}"/>
        </Anchor>
        <Assign userId="isabel@coryhometeam.com" userName="isabel@coryhometeam.com" userProvider="google-sheets"/>
      </Event>
    </History>
  </Task>
  <Task id="{45cccc17-8f2c-4d59-a9e4-d1d0b03cc4b8}">
    <Anchor>
      <Comment id="{4afe66dc-553a-4a5f-aaaf-a7c5a28cc55a}"/>
    </Anchor>
    <History>
      <Event time="2025-08-25T20:20:14.00" id="{0bc0703b-d403-4d80-87af-3f3b214ce1a2}">
        <Attribution userId="placeholder@email.com" userName="Jam Bernardo" userProvider="google-sheets"/>
        <Anchor>
          <Comment id="{4afe66dc-553a-4a5f-aaaf-a7c5a28cc55a}"/>
        </Anchor>
        <Create/>
      </Event>
      <Event time="2025-08-25T20:20:14.00" id="{74544b30-f3a7-43eb-96ab-75e27526b895}">
        <Attribution userId="placeholder@email.com" userName="Jam Bernardo" userProvider="google-sheets"/>
        <Anchor>
          <Comment id="{4afe66dc-553a-4a5f-aaaf-a7c5a28cc55a}"/>
        </Anchor>
        <Assign userId="isabel@coryhometeam.com" userName="isabel@coryhometeam.com" userProvider="google-sheets"/>
      </Event>
    </History>
  </Task>
  <Task id="{640962c8-61df-49bc-832d-0fda19322152}">
    <Anchor>
      <Comment id="{e612c0b6-295e-4b79-820d-9c34d7e5c9f7}"/>
    </Anchor>
    <History>
      <Event time="2025-06-06T17:09:44.00" id="{feec4ef2-ee47-4392-bfdb-08d26fd212c0}">
        <Attribution userId="placeholder@email.com" userName="Jam Bernardo" userProvider="google-sheets"/>
        <Anchor>
          <Comment id="{e612c0b6-295e-4b79-820d-9c34d7e5c9f7}"/>
        </Anchor>
        <Create/>
      </Event>
      <Event time="2025-06-06T17:09:44.00" id="{40dcf56e-6281-412f-b265-50f02d40632e}">
        <Attribution userId="placeholder@email.com" userName="Jam Bernardo" userProvider="google-sheets"/>
        <Anchor>
          <Comment id="{e612c0b6-295e-4b79-820d-9c34d7e5c9f7}"/>
        </Anchor>
        <Assign userId="isabel@coryhometeam.com" userName="isabel@coryhometeam.com" userProvider="google-sheets"/>
      </Event>
    </History>
  </Task>
  <Task id="{b7ccf5c4-9edb-42a7-9ae3-d92162303f0f}">
    <Anchor>
      <Comment id="{5150bf60-ac65-4521-9ee6-81ad849f5294}"/>
    </Anchor>
    <History>
      <Event time="2025-12-01T18:39:55.00" id="{ea61488a-1e08-4c7f-87d8-8f11d1bf2000}">
        <Attribution userId="placeholder@email.com" userName="Rafael Bernardo" userProvider="google-sheets"/>
        <Anchor>
          <Comment id="{5150bf60-ac65-4521-9ee6-81ad849f5294}"/>
        </Anchor>
        <Create/>
      </Event>
      <Event time="2025-12-01T18:39:55.00" id="{38c8131a-b277-45d5-9edf-ed4fcbae607f}">
        <Attribution userId="placeholder@email.com" userName="Rafael Bernardo" userProvider="google-sheets"/>
        <Anchor>
          <Comment id="{5150bf60-ac65-4521-9ee6-81ad849f5294}"/>
        </Anchor>
        <Assign userId="isabel@coryhometeam.com" userName="isabel@coryhometeam.com" userProvider="google-sheets"/>
      </Event>
    </History>
  </Task>
  <Task id="{a0357211-76d3-491b-b757-f6fcec7f080a}">
    <Anchor>
      <Comment id="{8ffc69cb-cb50-4c47-b4f7-3f07a7c194ec}"/>
    </Anchor>
    <History>
      <Event time="2025-08-25T20:24:00.00" id="{5dafa6c7-b2e8-46ad-b491-f2a5fb054c77}">
        <Attribution userId="placeholder@email.com" userName="Jam Bernardo" userProvider="google-sheets"/>
        <Anchor>
          <Comment id="{8ffc69cb-cb50-4c47-b4f7-3f07a7c194ec}"/>
        </Anchor>
        <Create/>
      </Event>
      <Event time="2025-08-25T20:24:00.00" id="{be2c4234-83ee-431b-821a-b844844042ff}">
        <Attribution userId="placeholder@email.com" userName="Jam Bernardo" userProvider="google-sheets"/>
        <Anchor>
          <Comment id="{8ffc69cb-cb50-4c47-b4f7-3f07a7c194ec}"/>
        </Anchor>
        <Assign userId="isabel@coryhometeam.com" userName="isabel@coryhometeam.com" userProvider="google-sheets"/>
      </Event>
    </History>
  </Task>
  <Task id="{637845d9-4cbb-4df9-8ea0-327d7f9e9b76}">
    <Anchor>
      <Comment id="{9f916eb0-16c2-4279-a9b9-7f13b05391ed}"/>
    </Anchor>
    <History>
      <Event time="2026-03-12T20:41:45.00" id="{f344693e-8c05-490f-a6c2-22cbaf37f254}">
        <Attribution userId="placeholder@email.com" userName="Jam Bernardo" userProvider="google-sheets"/>
        <Anchor>
          <Comment id="{9f916eb0-16c2-4279-a9b9-7f13b05391ed}"/>
        </Anchor>
        <Create/>
      </Event>
      <Event time="2026-03-12T20:41:45.00" id="{159758d2-1155-4927-a34e-4461913f0b5b}">
        <Attribution userId="placeholder@email.com" userName="Jam Bernardo" userProvider="google-sheets"/>
        <Anchor>
          <Comment id="{9f916eb0-16c2-4279-a9b9-7f13b05391ed}"/>
        </Anchor>
        <Assign userId="isabel@coryhometeam.com" userName="isabel@coryhometeam.com" userProvider="google-sheets"/>
      </Event>
    </History>
  </Task>
  <Task id="{e6ea5466-d3db-41a6-9549-236ca0a96f1c}">
    <Anchor>
      <Comment id="{a3bc81a2-ac7b-4b84-a1be-1bbf2c0cfd0d}"/>
    </Anchor>
    <History>
      <Event time="2026-03-12T20:41:40.00" id="{df223d92-3877-4eb2-b03d-49888882b0e7}">
        <Attribution userId="placeholder@email.com" userName="Jam Bernardo" userProvider="google-sheets"/>
        <Anchor>
          <Comment id="{a3bc81a2-ac7b-4b84-a1be-1bbf2c0cfd0d}"/>
        </Anchor>
        <Create/>
      </Event>
      <Event time="2026-03-12T20:41:40.00" id="{4098f212-7ae9-4d07-a61e-9a4262b32684}">
        <Attribution userId="placeholder@email.com" userName="Jam Bernardo" userProvider="google-sheets"/>
        <Anchor>
          <Comment id="{a3bc81a2-ac7b-4b84-a1be-1bbf2c0cfd0d}"/>
        </Anchor>
        <Assign userId="isabel@coryhometeam.com" userName="isabel@coryhometeam.com" userProvider="google-sheets"/>
      </Event>
    </History>
  </Task>
  <Task id="{436697a3-65b9-4e8d-8eb9-14e62c92d42f}">
    <Anchor>
      <Comment id="{1350081d-31c7-4b78-a801-67f1e82a55b1}"/>
    </Anchor>
    <History>
      <Event time="2025-09-02T20:57:09.00" id="{b03d7768-ab76-4c23-8eee-265c53f59588}">
        <Attribution userId="placeholder@email.com" userName="Jam Bernardo" userProvider="google-sheets"/>
        <Anchor>
          <Comment id="{1350081d-31c7-4b78-a801-67f1e82a55b1}"/>
        </Anchor>
        <Create/>
      </Event>
      <Event time="2025-09-02T20:57:09.00" id="{c1bcbdce-914b-48f0-81a9-ee8b19d1378c}">
        <Attribution userId="placeholder@email.com" userName="Jam Bernardo" userProvider="google-sheets"/>
        <Anchor>
          <Comment id="{1350081d-31c7-4b78-a801-67f1e82a55b1}"/>
        </Anchor>
        <Assign userId="isabel@coryhometeam.com" userName="isabel@coryhometeam.com" userProvider="google-sheets"/>
      </Event>
    </History>
  </Task>
  <Task id="{b4036587-6c08-4796-9140-c3b7888cc850}">
    <Anchor>
      <Comment id="{f6888f47-1e87-46f8-810e-cac76038ec66}"/>
    </Anchor>
    <History>
      <Event time="2025-09-02T21:01:47.00" id="{45049d9b-8493-4d0a-a4dc-7e702fffc51b}">
        <Attribution userId="placeholder@email.com" userName="Jam Bernardo" userProvider="google-sheets"/>
        <Anchor>
          <Comment id="{f6888f47-1e87-46f8-810e-cac76038ec66}"/>
        </Anchor>
        <Create/>
      </Event>
      <Event time="2025-09-02T21:01:47.00" id="{da70e010-a9ca-43d6-80bd-ffcb593c6832}">
        <Attribution userId="placeholder@email.com" userName="Jam Bernardo" userProvider="google-sheets"/>
        <Anchor>
          <Comment id="{f6888f47-1e87-46f8-810e-cac76038ec66}"/>
        </Anchor>
        <Assign userId="isabel@coryhometeam.com" userName="isabel@coryhometeam.com" userProvider="google-sheets"/>
      </Event>
    </History>
  </Task>
  <Task id="{4dced78b-444f-4f90-a2a5-00e7811444c1}">
    <Anchor>
      <Comment id="{3b75cf89-6d56-43ac-a864-a367e3227516}"/>
    </Anchor>
    <History>
      <Event time="2025-08-25T21:39:11.00" id="{a38d2158-a428-4c18-93b2-3ccd4a35fa57}">
        <Attribution userId="placeholder@email.com" userName="Jam Bernardo" userProvider="google-sheets"/>
        <Anchor>
          <Comment id="{3b75cf89-6d56-43ac-a864-a367e3227516}"/>
        </Anchor>
        <Create/>
      </Event>
      <Event time="2025-08-25T21:39:11.00" id="{ac779544-1a23-40a8-ad43-3d5b614c6bed}">
        <Attribution userId="placeholder@email.com" userName="Jam Bernardo" userProvider="google-sheets"/>
        <Anchor>
          <Comment id="{3b75cf89-6d56-43ac-a864-a367e3227516}"/>
        </Anchor>
        <Assign userId="isabel@coryhometeam.com" userName="isabel@coryhometeam.com" userProvider="google-sheets"/>
      </Event>
    </History>
  </Task>
  <Task id="{f18e90ae-00c1-489d-a2cd-3e7581b2f789}">
    <Anchor>
      <Comment id="{fdd4ea44-bd7e-4401-9a66-f7759f9e4555}"/>
    </Anchor>
    <History>
      <Event time="2025-09-02T21:06:02.00" id="{e5325a9a-49fa-4073-b106-0fd948fd2013}">
        <Attribution userId="placeholder@email.com" userName="Jam Bernardo" userProvider="google-sheets"/>
        <Anchor>
          <Comment id="{fdd4ea44-bd7e-4401-9a66-f7759f9e4555}"/>
        </Anchor>
        <Create/>
      </Event>
      <Event time="2025-09-02T21:06:02.00" id="{38f96985-14b3-4115-963b-3fd85204c3f1}">
        <Attribution userId="placeholder@email.com" userName="Jam Bernardo" userProvider="google-sheets"/>
        <Anchor>
          <Comment id="{fdd4ea44-bd7e-4401-9a66-f7759f9e4555}"/>
        </Anchor>
        <Assign userId="isabel@coryhometeam.com" userName="isabel@coryhometeam.com" userProvider="google-sheets"/>
      </Event>
    </History>
  </Task>
  <Task id="{a2710f3a-8ecf-4adc-8afa-ef80a878bdd1}">
    <Anchor>
      <Comment id="{059bb3c5-657e-461b-bd03-613c7544a1a3}"/>
    </Anchor>
    <History>
      <Event time="2025-07-11T10:51:57.00" id="{fbc6b55e-569b-4e0e-a0f1-aa2319ca3f48}">
        <Attribution userId="placeholder@email.com" userName="Rafael Bernardo" userProvider="google-sheets"/>
        <Anchor>
          <Comment id="{059bb3c5-657e-461b-bd03-613c7544a1a3}"/>
        </Anchor>
        <Create/>
      </Event>
      <Event time="2025-07-11T10:51:57.00" id="{2bf82166-dd3c-4b4e-a3bf-d0aed52325e4}">
        <Attribution userId="placeholder@email.com" userName="Rafael Bernardo" userProvider="google-sheets"/>
        <Anchor>
          <Comment id="{059bb3c5-657e-461b-bd03-613c7544a1a3}"/>
        </Anchor>
        <Assign userId="isabel@coryhometeam.com" userName="isabel@coryhometeam.com" userProvider="google-sheets"/>
      </Event>
    </History>
  </Task>
  <Task id="{08a7d681-5398-4a22-82ab-0d86117e3740}">
    <Anchor>
      <Comment id="{861017ce-d5c5-438b-b067-83d92d0cc657}"/>
    </Anchor>
    <History>
      <Event time="2025-09-11T23:24:29.00" id="{9210a218-e6e7-46fb-9042-659af7aeaa5c}">
        <Attribution userId="placeholder@email.com" userName="Jam Bernardo" userProvider="google-sheets"/>
        <Anchor>
          <Comment id="{861017ce-d5c5-438b-b067-83d92d0cc657}"/>
        </Anchor>
        <Create/>
      </Event>
      <Event time="2025-09-11T23:24:29.00" id="{16e2f101-7c14-46a2-9cc7-f89c5d33c4a7}">
        <Attribution userId="placeholder@email.com" userName="Jam Bernardo" userProvider="google-sheets"/>
        <Anchor>
          <Comment id="{861017ce-d5c5-438b-b067-83d92d0cc657}"/>
        </Anchor>
        <Assign userId="isabel@coryhometeam.com" userName="isabel@coryhometeam.com" userProvider="google-sheets"/>
      </Event>
    </History>
  </Task>
  <Task id="{885ec629-479c-4559-8a50-473369794d5c}">
    <Anchor>
      <Comment id="{22bfb8b1-660b-4833-9394-607e3455b868}"/>
    </Anchor>
    <History>
      <Event time="2025-06-18T19:12:21.00" id="{31c67df6-dda7-4082-82d2-d306629fe595}">
        <Attribution userId="placeholder@email.com" userName="Kenia Bautista" userProvider="google-sheets"/>
        <Anchor>
          <Comment id="{22bfb8b1-660b-4833-9394-607e3455b868}"/>
        </Anchor>
        <Create/>
      </Event>
      <Event time="2025-06-18T19:12:21.00" id="{3e24bf6d-fb69-4d55-929a-1f86253db2b5}">
        <Attribution userId="placeholder@email.com" userName="Kenia Bautista" userProvider="google-sheets"/>
        <Anchor>
          <Comment id="{22bfb8b1-660b-4833-9394-607e3455b868}"/>
        </Anchor>
        <Assign userId="aileen@coryhometeam.com" userName="aileen@coryhometeam.com" userProvider="google-sheets"/>
      </Event>
    </History>
  </Task>
  <Task id="{0a0df20c-d9c6-4532-97b5-8f146cd5a325}">
    <Anchor>
      <Comment id="{556b8e8c-062e-4160-a7c4-884ed91a4734}"/>
    </Anchor>
    <History>
      <Event time="2025-07-11T10:08:59.00" id="{bfc1fd37-099d-47c1-9af1-8560f05fb910}">
        <Attribution userId="placeholder@email.com" userName="Rafael Bernardo" userProvider="google-sheets"/>
        <Anchor>
          <Comment id="{556b8e8c-062e-4160-a7c4-884ed91a4734}"/>
        </Anchor>
        <Create/>
      </Event>
      <Event time="2025-07-11T10:08:59.00" id="{94b0c53c-f9df-4c7e-b7f8-00876c1dead6}">
        <Attribution userId="placeholder@email.com" userName="Rafael Bernardo" userProvider="google-sheets"/>
        <Anchor>
          <Comment id="{556b8e8c-062e-4160-a7c4-884ed91a4734}"/>
        </Anchor>
        <Assign userId="isabel@coryhometeam.com" userName="isabel@coryhometeam.com" userProvider="google-sheets"/>
      </Event>
    </History>
  </Task>
  <Task id="{3598c231-8e27-40bd-8c81-e6f956b99a54}">
    <Anchor>
      <Comment id="{8862f329-1945-4414-9195-1a65f3b110dc}"/>
    </Anchor>
    <History>
      <Event time="2025-12-23T16:55:28.00" id="{82093645-85f7-40a3-8c63-e983be47b57f}">
        <Attribution userId="placeholder@email.com" userName="Rafael Bernardo" userProvider="google-sheets"/>
        <Anchor>
          <Comment id="{8862f329-1945-4414-9195-1a65f3b110dc}"/>
        </Anchor>
        <Create/>
      </Event>
      <Event time="2025-12-23T16:55:28.00" id="{f4edd938-1b16-4b21-b66e-a2c1c5fd65df}">
        <Attribution userId="placeholder@email.com" userName="Rafael Bernardo" userProvider="google-sheets"/>
        <Anchor>
          <Comment id="{8862f329-1945-4414-9195-1a65f3b110dc}"/>
        </Anchor>
        <Assign userId="isabel@coryhometeam.com" userName="isabel@coryhometeam.com" userProvider="google-sheets"/>
      </Event>
    </History>
  </Task>
  <Task id="{ad1f3fff-43fc-4b46-a436-5b6d4068b89a}">
    <Anchor>
      <Comment id="{3157c2da-2376-4f61-84ba-4ac1d2dda3b4}"/>
    </Anchor>
    <History>
      <Event time="2025-07-11T18:40:00.00" id="{dc33035d-6a3a-4568-995e-4e91b402e357}">
        <Attribution userId="placeholder@email.com" userName="Jam Bernardo" userProvider="google-sheets"/>
        <Anchor>
          <Comment id="{3157c2da-2376-4f61-84ba-4ac1d2dda3b4}"/>
        </Anchor>
        <Create/>
      </Event>
      <Event time="2025-07-11T18:40:00.00" id="{eaae0bb9-70f0-4db1-97f8-2fef2de18b37}">
        <Attribution userId="placeholder@email.com" userName="Jam Bernardo" userProvider="google-sheets"/>
        <Anchor>
          <Comment id="{3157c2da-2376-4f61-84ba-4ac1d2dda3b4}"/>
        </Anchor>
        <Assign userId="isabel@coryhometeam.com" userName="isabel@coryhometeam.com" userProvider="google-sheets"/>
      </Event>
    </History>
  </Task>
  <Task id="{8c09e58f-1e7b-451b-bcbc-8e8121242094}">
    <Anchor>
      <Comment id="{fd6a9673-0ed1-4c82-8f05-e2ffc3e3e366}"/>
    </Anchor>
    <History>
      <Event time="2025-03-26T13:07:13.00" id="{dcef754d-f0db-428a-83c3-d2b74f09e276}">
        <Attribution userId="placeholder@email.com" userName="Rafael Bernardo" userProvider="google-sheets"/>
        <Anchor>
          <Comment id="{fd6a9673-0ed1-4c82-8f05-e2ffc3e3e366}"/>
        </Anchor>
        <Create/>
      </Event>
      <Event time="2025-03-26T13:07:13.00" id="{fbee54e2-e4fc-49ce-a5cd-68483038f5af}">
        <Attribution userId="placeholder@email.com" userName="Rafael Bernardo" userProvider="google-sheets"/>
        <Anchor>
          <Comment id="{fd6a9673-0ed1-4c82-8f05-e2ffc3e3e366}"/>
        </Anchor>
        <Assign userId="isabel@coryhometeam.com" userName="isabel@coryhometeam.com" userProvider="google-sheets"/>
      </Event>
    </History>
  </Task>
  <Task id="{eb990b4c-cc3e-441b-8b78-9d09414111e0}">
    <Anchor>
      <Comment id="{daef87cb-d655-4e6f-a7e5-e68dcc736b4b}"/>
    </Anchor>
    <History>
      <Event time="2025-08-13T18:14:34.00" id="{95d72a50-a51c-4d5f-b15b-8d9a371c23d4}">
        <Attribution userId="placeholder@email.com" userName="Jam Bernardo" userProvider="google-sheets"/>
        <Anchor>
          <Comment id="{daef87cb-d655-4e6f-a7e5-e68dcc736b4b}"/>
        </Anchor>
        <Create/>
      </Event>
      <Event time="2025-08-13T18:14:34.00" id="{e7d92f8f-06fb-4451-bb0c-07823acb3eb8}">
        <Attribution userId="placeholder@email.com" userName="Jam Bernardo" userProvider="google-sheets"/>
        <Anchor>
          <Comment id="{daef87cb-d655-4e6f-a7e5-e68dcc736b4b}"/>
        </Anchor>
        <Assign userId="isabel@coryhometeam.com" userName="isabel@coryhometeam.com" userProvider="google-sheets"/>
      </Event>
    </History>
  </Task>
  <Task id="{9bf9277b-0a83-4d47-bb2e-2ee7ba35e59a}">
    <Anchor>
      <Comment id="{f06ea3b5-9fc8-4193-a906-f03a4518bab5}"/>
    </Anchor>
    <History>
      <Event time="2025-09-30T21:27:50.00" id="{fb20041e-3a7c-49d8-8527-12c9b77e2f74}">
        <Attribution userId="placeholder@email.com" userName="Jam Bernardo" userProvider="google-sheets"/>
        <Anchor>
          <Comment id="{f06ea3b5-9fc8-4193-a906-f03a4518bab5}"/>
        </Anchor>
        <Create/>
      </Event>
      <Event time="2025-09-30T21:27:50.00" id="{73100de4-7f68-46ab-a412-a8b7b9d3938d}">
        <Attribution userId="placeholder@email.com" userName="Jam Bernardo" userProvider="google-sheets"/>
        <Anchor>
          <Comment id="{f06ea3b5-9fc8-4193-a906-f03a4518bab5}"/>
        </Anchor>
        <Assign userId="isabel@coryhometeam.com" userName="isabel@coryhometeam.com" userProvider="google-sheets"/>
      </Event>
    </History>
  </Task>
  <Task id="{f2200fab-d6a0-4c4a-adb8-87114d963564}">
    <Anchor>
      <Comment id="{e495e64b-e703-4d87-8b0a-45c03bfab8c8}"/>
    </Anchor>
    <History>
      <Event time="2025-06-06T17:16:46.00" id="{cdd5a348-14a3-4579-b1fa-f8777270040a}">
        <Attribution userId="placeholder@email.com" userName="Jam Bernardo" userProvider="google-sheets"/>
        <Anchor>
          <Comment id="{e495e64b-e703-4d87-8b0a-45c03bfab8c8}"/>
        </Anchor>
        <Create/>
      </Event>
      <Event time="2025-06-06T17:16:46.00" id="{47bb2ec9-f41a-40a8-874c-9bfb7da02d5a}">
        <Attribution userId="placeholder@email.com" userName="Jam Bernardo" userProvider="google-sheets"/>
        <Anchor>
          <Comment id="{e495e64b-e703-4d87-8b0a-45c03bfab8c8}"/>
        </Anchor>
        <Assign userId="isabel@coryhometeam.com" userName="isabel@coryhometeam.com" userProvider="google-sheets"/>
      </Event>
    </History>
  </Task>
  <Task id="{36272ea7-7366-4d87-8e6a-d0454396938c}">
    <Anchor>
      <Comment id="{7dbdadf7-67fb-4f6c-8526-920c0df203ff}"/>
    </Anchor>
    <History>
      <Event time="2025-11-06T17:03:33.00" id="{6197548d-0dc2-42d4-99b5-0c17096bd478}">
        <Attribution userId="placeholder@email.com" userName="Rafael Bernardo" userProvider="google-sheets"/>
        <Anchor>
          <Comment id="{7dbdadf7-67fb-4f6c-8526-920c0df203ff}"/>
        </Anchor>
        <Create/>
      </Event>
      <Event time="2025-11-06T17:03:33.00" id="{3b97f0af-34eb-4dd7-bde6-4db0b238c60f}">
        <Attribution userId="placeholder@email.com" userName="Rafael Bernardo" userProvider="google-sheets"/>
        <Anchor>
          <Comment id="{7dbdadf7-67fb-4f6c-8526-920c0df203ff}"/>
        </Anchor>
        <Assign userId="isabel@coryhometeam.com" userName="isabel@coryhometeam.com" userProvider="google-sheets"/>
      </Event>
    </History>
  </Task>
  <Task id="{b3d10d03-9666-4248-b2cc-0df772036a92}">
    <Anchor>
      <Comment id="{6f0538a8-e47b-48ac-8dff-fbdaf754e0a8}"/>
    </Anchor>
    <History>
      <Event time="2025-06-06T17:10:20.00" id="{78779705-cdc6-41c9-bbef-d0d0a6bb6d2a}">
        <Attribution userId="placeholder@email.com" userName="Jam Bernardo" userProvider="google-sheets"/>
        <Anchor>
          <Comment id="{6f0538a8-e47b-48ac-8dff-fbdaf754e0a8}"/>
        </Anchor>
        <Create/>
      </Event>
      <Event time="2025-06-06T17:10:20.00" id="{f3bc3861-9d90-49a1-b0a7-da718b14ea7f}">
        <Attribution userId="placeholder@email.com" userName="Jam Bernardo" userProvider="google-sheets"/>
        <Anchor>
          <Comment id="{6f0538a8-e47b-48ac-8dff-fbdaf754e0a8}"/>
        </Anchor>
        <Assign userId="isabel@coryhometeam.com" userName="isabel@coryhometeam.com" userProvider="google-sheets"/>
      </Event>
    </History>
  </Task>
  <Task id="{78ac51d8-e31b-42c1-a3a3-9dccb3320863}">
    <Anchor>
      <Comment id="{7c5f6809-9e0a-44c0-9ecc-b7599f337a0a}"/>
    </Anchor>
    <History>
      <Event time="2025-11-20T19:56:20.00" id="{b8fc95e1-de58-4c93-a907-022c11280a8f}">
        <Attribution userId="placeholder@email.com" userName="Rafael Bernardo" userProvider="google-sheets"/>
        <Anchor>
          <Comment id="{7c5f6809-9e0a-44c0-9ecc-b7599f337a0a}"/>
        </Anchor>
        <Create/>
      </Event>
      <Event time="2025-11-20T19:56:20.00" id="{96de65c9-9a4b-4202-a1cd-925b0191e4cf}">
        <Attribution userId="placeholder@email.com" userName="Rafael Bernardo" userProvider="google-sheets"/>
        <Anchor>
          <Comment id="{7c5f6809-9e0a-44c0-9ecc-b7599f337a0a}"/>
        </Anchor>
        <Assign userId="isabel@coryhometeam.com" userName="isabel@coryhometeam.com" userProvider="google-sheets"/>
      </Event>
    </History>
  </Task>
  <Task id="{8a9979e4-caa4-4522-8fd5-88dc23f1c1c8}">
    <Anchor>
      <Comment id="{06b2b3bc-7081-4f0b-a863-da89678827b0}"/>
    </Anchor>
    <History>
      <Event time="2025-02-21T20:41:04.00" id="{9f3fc659-5288-4c08-b4fc-55edb1ad0292}">
        <Attribution userId="placeholder@email.com" userName="Jam Bernardo" userProvider="google-sheets"/>
        <Anchor>
          <Comment id="{06b2b3bc-7081-4f0b-a863-da89678827b0}"/>
        </Anchor>
        <Create/>
      </Event>
      <Event time="2025-02-21T20:41:04.00" id="{9b09970d-8838-4810-9fce-6041cadc1b17}">
        <Attribution userId="placeholder@email.com" userName="Jam Bernardo" userProvider="google-sheets"/>
        <Anchor>
          <Comment id="{06b2b3bc-7081-4f0b-a863-da89678827b0}"/>
        </Anchor>
        <Assign userId="isabel@coryhometeam.com" userName="isabel@coryhometeam.com" userProvider="google-sheets"/>
      </Event>
    </History>
  </Task>
  <Task id="{ceacd00a-d98a-40bb-8c3c-19836edc5310}">
    <Anchor>
      <Comment id="{3999991b-a11f-4da6-91ce-e7c02c94aa6b}"/>
    </Anchor>
    <History>
      <Event time="2025-11-20T19:51:02.00" id="{ee6ef88f-c870-4de5-b126-0a12afa1c694}">
        <Attribution userId="placeholder@email.com" userName="Rafael Bernardo" userProvider="google-sheets"/>
        <Anchor>
          <Comment id="{3999991b-a11f-4da6-91ce-e7c02c94aa6b}"/>
        </Anchor>
        <Create/>
      </Event>
      <Event time="2025-11-20T19:51:02.00" id="{5851f7fd-1f60-4892-babc-903c6e735c95}">
        <Attribution userId="placeholder@email.com" userName="Rafael Bernardo" userProvider="google-sheets"/>
        <Anchor>
          <Comment id="{3999991b-a11f-4da6-91ce-e7c02c94aa6b}"/>
        </Anchor>
        <Assign userId="isabel@coryhometeam.com" userName="isabel@coryhometeam.com" userProvider="google-sheets"/>
      </Event>
    </History>
  </Task>
  <Task id="{bf68f9a9-6a5e-433d-8e7e-e9a742dd8b8d}">
    <Anchor>
      <Comment id="{fce6a4e3-ce63-474e-b05b-f5057628816e}"/>
    </Anchor>
    <History>
      <Event time="2025-03-17T12:15:22.00" id="{89d76e1b-2730-41b7-8b3b-c0eb68e5a5ce}">
        <Attribution userId="placeholder@email.com" userName="Rafael Bernardo" userProvider="google-sheets"/>
        <Anchor>
          <Comment id="{fce6a4e3-ce63-474e-b05b-f5057628816e}"/>
        </Anchor>
        <Create/>
      </Event>
      <Event time="2025-03-17T12:15:22.00" id="{d189247c-4eaf-4d3d-b5ca-e5e658850712}">
        <Attribution userId="placeholder@email.com" userName="Rafael Bernardo" userProvider="google-sheets"/>
        <Anchor>
          <Comment id="{fce6a4e3-ce63-474e-b05b-f5057628816e}"/>
        </Anchor>
        <Assign userId="isabel@coryhometeam.com" userName="isabel@coryhometeam.com" userProvider="google-sheets"/>
      </Event>
    </History>
  </Task>
  <Task id="{f2b3d1d3-1013-468a-a4ac-35a6a49e9aa6}">
    <Anchor>
      <Comment id="{6c69dd8d-b634-4634-b3a3-e0226ca8d1a2}"/>
    </Anchor>
    <History>
      <Event time="2025-10-06T15:27:18.00" id="{903922fe-8768-4ff5-aa5e-7b019f96e0e1}">
        <Attribution userId="placeholder@email.com" userName="Jam Bernardo" userProvider="google-sheets"/>
        <Anchor>
          <Comment id="{6c69dd8d-b634-4634-b3a3-e0226ca8d1a2}"/>
        </Anchor>
        <Create/>
      </Event>
      <Event time="2025-10-06T15:27:18.00" id="{ce6c674e-7666-410a-8f73-16647e14cc54}">
        <Attribution userId="placeholder@email.com" userName="Jam Bernardo" userProvider="google-sheets"/>
        <Anchor>
          <Comment id="{6c69dd8d-b634-4634-b3a3-e0226ca8d1a2}"/>
        </Anchor>
        <Assign userId="isabel@coryhometeam.com" userName="isabel@coryhometeam.com" userProvider="google-sheets"/>
      </Event>
    </History>
  </Task>
  <Task id="{86f77ca3-6c66-42fd-8443-0e396c029462}">
    <Anchor>
      <Comment id="{9ec840a7-7d81-4afb-a1d1-0457122432df}"/>
    </Anchor>
    <History>
      <Event time="2025-03-17T12:19:00.00" id="{af01abe2-c47e-4108-baed-39214da6a1b8}">
        <Attribution userId="placeholder@email.com" userName="Rafael Bernardo" userProvider="google-sheets"/>
        <Anchor>
          <Comment id="{9ec840a7-7d81-4afb-a1d1-0457122432df}"/>
        </Anchor>
        <Create/>
      </Event>
      <Event time="2025-03-17T12:19:00.00" id="{528d7912-21cd-42e1-ae2b-9ee58c299c1e}">
        <Attribution userId="placeholder@email.com" userName="Rafael Bernardo" userProvider="google-sheets"/>
        <Anchor>
          <Comment id="{9ec840a7-7d81-4afb-a1d1-0457122432df}"/>
        </Anchor>
        <Assign userId="isabel@coryhometeam.com" userName="isabel@coryhometeam.com" userProvider="google-sheets"/>
      </Event>
    </History>
  </Task>
  <Task id="{7eaa7aef-2bfb-406d-864e-350c5afdaaa5}">
    <Anchor>
      <Comment id="{3a2cedbb-bc0c-4124-8469-e12ba0465e49}"/>
    </Anchor>
    <History>
      <Event time="2025-11-06T15:23:59.00" id="{06e4cae6-582a-4675-be68-58a0428a1d0d}">
        <Attribution userId="placeholder@email.com" userName="Rafael Bernardo" userProvider="google-sheets"/>
        <Anchor>
          <Comment id="{3a2cedbb-bc0c-4124-8469-e12ba0465e49}"/>
        </Anchor>
        <Create/>
      </Event>
      <Event time="2025-11-06T15:23:59.00" id="{a418cbd7-2a7f-4b5e-84fb-56663f6b3d02}">
        <Attribution userId="placeholder@email.com" userName="Rafael Bernardo" userProvider="google-sheets"/>
        <Anchor>
          <Comment id="{3a2cedbb-bc0c-4124-8469-e12ba0465e49}"/>
        </Anchor>
        <Assign userId="isabel@coryhometeam.com" userName="isabel@coryhometeam.com" userProvider="google-sheets"/>
      </Event>
    </History>
  </Task>
  <Task id="{90b62699-f062-4d54-9424-991def15d566}">
    <Anchor>
      <Comment id="{2b21b688-1b3f-417a-b87a-255df457d055}"/>
    </Anchor>
    <History>
      <Event time="2025-08-14T18:54:33.00" id="{11097eeb-55c6-442a-95f7-0ba062cebc52}">
        <Attribution userId="placeholder@email.com" userName="Jam Bernardo" userProvider="google-sheets"/>
        <Anchor>
          <Comment id="{2b21b688-1b3f-417a-b87a-255df457d055}"/>
        </Anchor>
        <Create/>
      </Event>
      <Event time="2025-08-14T18:54:33.00" id="{38e58d65-35af-4c85-ae7b-8c6a5e498d97}">
        <Attribution userId="placeholder@email.com" userName="Jam Bernardo" userProvider="google-sheets"/>
        <Anchor>
          <Comment id="{2b21b688-1b3f-417a-b87a-255df457d055}"/>
        </Anchor>
        <Assign userId="isabel@coryhometeam.com" userName="isabel@coryhometeam.com" userProvider="google-sheets"/>
      </Event>
    </History>
  </Task>
  <Task id="{7f81de55-242b-4673-b3bc-88cd0605d66e}">
    <Anchor>
      <Comment id="{6864b104-1789-42a5-bfd7-2b91fe8b547a}"/>
    </Anchor>
    <History>
      <Event time="2025-11-06T15:19:22.00" id="{41e27db3-9922-4e47-956d-a9f2bc7145e3}">
        <Attribution userId="placeholder@email.com" userName="Rafael Bernardo" userProvider="google-sheets"/>
        <Anchor>
          <Comment id="{6864b104-1789-42a5-bfd7-2b91fe8b547a}"/>
        </Anchor>
        <Create/>
      </Event>
      <Event time="2025-11-06T15:19:22.00" id="{4b3fd636-bac3-45de-b568-7393af149f19}">
        <Attribution userId="placeholder@email.com" userName="Rafael Bernardo" userProvider="google-sheets"/>
        <Anchor>
          <Comment id="{6864b104-1789-42a5-bfd7-2b91fe8b547a}"/>
        </Anchor>
        <Assign userId="isabel@coryhometeam.com" userName="isabel@coryhometeam.com" userProvider="google-sheets"/>
      </Event>
    </History>
  </Task>
  <Task id="{c3ea7e0f-9c40-4e50-af5d-b571a06a72f8}">
    <Anchor>
      <Comment id="{b3bb13ed-1023-4b2f-bc81-db0a9068022a}"/>
    </Anchor>
    <History>
      <Event time="2025-07-18T16:33:29.00" id="{7e6b33c8-0f99-4fdc-8517-2aac6ffc051c}">
        <Attribution userId="placeholder@email.com" userName="Rafael Bernardo" userProvider="google-sheets"/>
        <Anchor>
          <Comment id="{b3bb13ed-1023-4b2f-bc81-db0a9068022a}"/>
        </Anchor>
        <Create/>
      </Event>
      <Event time="2025-07-18T16:33:29.00" id="{40fa4088-133a-44b7-a9e4-b366e6bc927b}">
        <Attribution userId="placeholder@email.com" userName="Rafael Bernardo" userProvider="google-sheets"/>
        <Anchor>
          <Comment id="{b3bb13ed-1023-4b2f-bc81-db0a9068022a}"/>
        </Anchor>
        <Assign userId="isabel@coryhometeam.com" userName="isabel@coryhometeam.com" userProvider="google-sheets"/>
      </Event>
    </History>
  </Task>
  <Task id="{1b6a565f-cce5-422f-b8c5-8b88b92f9c5d}">
    <Anchor>
      <Comment id="{3abe7744-ef9d-4c00-9f67-148076f1d54e}"/>
    </Anchor>
    <History>
      <Event time="2025-08-13T18:17:11.00" id="{372e6500-da90-4c11-baf5-c49438cc5dcb}">
        <Attribution userId="placeholder@email.com" userName="Jam Bernardo" userProvider="google-sheets"/>
        <Anchor>
          <Comment id="{3abe7744-ef9d-4c00-9f67-148076f1d54e}"/>
        </Anchor>
        <Create/>
      </Event>
      <Event time="2025-08-13T18:17:11.00" id="{26b54502-9665-43b6-b434-baa3bd8126f3}">
        <Attribution userId="placeholder@email.com" userName="Jam Bernardo" userProvider="google-sheets"/>
        <Anchor>
          <Comment id="{3abe7744-ef9d-4c00-9f67-148076f1d54e}"/>
        </Anchor>
        <Assign userId="isabel@coryhometeam.com" userName="isabel@coryhometeam.com" userProvider="google-sheets"/>
      </Event>
    </History>
  </Task>
  <Task id="{bfa10da1-ff9e-494f-91e5-d70efac9a8b8}">
    <Anchor>
      <Comment id="{03e04270-08e0-46db-9a7b-11eaff26e442}"/>
    </Anchor>
    <History>
      <Event time="2025-03-26T13:12:43.00" id="{fbabe615-1bd6-4064-8396-2372fa801b2e}">
        <Attribution userId="placeholder@email.com" userName="Rafael Bernardo" userProvider="google-sheets"/>
        <Anchor>
          <Comment id="{03e04270-08e0-46db-9a7b-11eaff26e442}"/>
        </Anchor>
        <Create/>
      </Event>
      <Event time="2025-03-26T13:12:43.00" id="{f37eebef-49ca-45f3-b354-684d546c7864}">
        <Attribution userId="placeholder@email.com" userName="Rafael Bernardo" userProvider="google-sheets"/>
        <Anchor>
          <Comment id="{03e04270-08e0-46db-9a7b-11eaff26e442}"/>
        </Anchor>
        <Assign userId="isabel@coryhometeam.com" userName="isabel@coryhometeam.com" userProvider="google-sheets"/>
      </Event>
    </History>
  </Task>
  <Task id="{459cc961-609f-4efe-ac83-23cb4be79fbd}">
    <Anchor>
      <Comment id="{5ea8ae49-0de5-490f-9d44-2e12776685f8}"/>
    </Anchor>
    <History>
      <Event time="2025-05-15T20:58:43.00" id="{d58ea827-7b2f-4a7f-86d3-ca7ca9a791f5}">
        <Attribution userId="placeholder@email.com" userName="Jam Bernardo" userProvider="google-sheets"/>
        <Anchor>
          <Comment id="{5ea8ae49-0de5-490f-9d44-2e12776685f8}"/>
        </Anchor>
        <Create/>
      </Event>
      <Event time="2025-05-15T20:58:43.00" id="{6c8bedb2-53b7-4ba4-a431-83517c4b7018}">
        <Attribution userId="placeholder@email.com" userName="Jam Bernardo" userProvider="google-sheets"/>
        <Anchor>
          <Comment id="{5ea8ae49-0de5-490f-9d44-2e12776685f8}"/>
        </Anchor>
        <Assign userId="isabel@coryhometeam.com" userName="isabel@coryhometeam.com" userProvider="google-sheets"/>
      </Event>
    </History>
  </Task>
  <Task id="{3b0e4034-a3f6-4714-977c-8f3fba58e124}">
    <Anchor>
      <Comment id="{8cdc70a9-92ba-4124-b6b8-5ec0710b79f4}"/>
    </Anchor>
    <History>
      <Event time="2025-03-26T13:19:20.00" id="{e9f8be7e-f4de-4811-9af1-0f6636cbecd1}">
        <Attribution userId="placeholder@email.com" userName="Rafael Bernardo" userProvider="google-sheets"/>
        <Anchor>
          <Comment id="{8cdc70a9-92ba-4124-b6b8-5ec0710b79f4}"/>
        </Anchor>
        <Create/>
      </Event>
      <Event time="2025-03-26T13:19:20.00" id="{493ecc34-c90d-4a7a-ac69-9effc57ff2fe}">
        <Attribution userId="placeholder@email.com" userName="Rafael Bernardo" userProvider="google-sheets"/>
        <Anchor>
          <Comment id="{8cdc70a9-92ba-4124-b6b8-5ec0710b79f4}"/>
        </Anchor>
        <Assign userId="isabel@coryhometeam.com" userName="isabel@coryhometeam.com" userProvider="google-sheets"/>
      </Event>
    </History>
  </Task>
  <Task id="{892dda98-34b5-4488-a197-f76345871daf}">
    <Anchor>
      <Comment id="{7b793dde-11a5-4fa9-9493-0f9f11d5136a}"/>
    </Anchor>
    <History>
      <Event time="2025-07-29T23:52:51.00" id="{ed30602d-76df-4cd8-a716-717e06a01f23}">
        <Attribution userId="placeholder@email.com" userName="Alexis Cassidy" userProvider="google-sheets"/>
        <Anchor>
          <Comment id="{7b793dde-11a5-4fa9-9493-0f9f11d5136a}"/>
        </Anchor>
        <Create/>
      </Event>
      <Event time="2025-07-29T23:52:51.00" id="{f63c59a6-0af0-4df3-8a5f-4ad3966cd4fc}">
        <Attribution userId="placeholder@email.com" userName="Alexis Cassidy" userProvider="google-sheets"/>
        <Anchor>
          <Comment id="{7b793dde-11a5-4fa9-9493-0f9f11d5136a}"/>
        </Anchor>
        <Assign userId="dana@coryhometeam.com" userName="dana@coryhometeam.com" userProvider="google-sheets"/>
      </Event>
    </History>
  </Task>
  <Task id="{6adad4fd-b25b-4f53-8ad9-5d3ce63b4bff}">
    <Anchor>
      <Comment id="{b75932bc-9504-4a12-9403-035283d32387}"/>
    </Anchor>
    <History>
      <Event time="2025-01-22T22:50:54.00" id="{5aa92bcb-cd49-40b8-8cdd-d0d3fe9dcc1b}">
        <Attribution userId="placeholder@email.com" userName="Jam Bernardo" userProvider="google-sheets"/>
        <Anchor>
          <Comment id="{b75932bc-9504-4a12-9403-035283d32387}"/>
        </Anchor>
        <Create/>
      </Event>
      <Event time="2025-01-22T22:50:54.00" id="{4f611c55-3154-49bb-8611-f02b2ee3bf6c}">
        <Attribution userId="placeholder@email.com" userName="Jam Bernardo" userProvider="google-sheets"/>
        <Anchor>
          <Comment id="{b75932bc-9504-4a12-9403-035283d32387}"/>
        </Anchor>
        <Assign userId="isabel@coryhometeam.com" userName="isabel@coryhometeam.com" userProvider="google-sheets"/>
      </Event>
    </History>
  </Task>
  <Task id="{933965f5-5748-4853-bef1-5100be49e657}">
    <Anchor>
      <Comment id="{2be49cbf-8577-4cff-9973-c9ace56947ef}"/>
    </Anchor>
    <History>
      <Event time="2025-12-08T23:19:35.00" id="{9e393e15-36e4-4514-8eb6-5276ed508a4d}">
        <Attribution userId="placeholder@email.com" userName="Rafael Bernardo" userProvider="google-sheets"/>
        <Anchor>
          <Comment id="{2be49cbf-8577-4cff-9973-c9ace56947ef}"/>
        </Anchor>
        <Create/>
      </Event>
      <Event time="2025-12-08T23:19:35.00" id="{8d630bcb-be89-43ff-937d-3ef2a1f16b83}">
        <Attribution userId="placeholder@email.com" userName="Rafael Bernardo" userProvider="google-sheets"/>
        <Anchor>
          <Comment id="{2be49cbf-8577-4cff-9973-c9ace56947ef}"/>
        </Anchor>
        <Assign userId="isabel@coryhometeam.com" userName="isabel@coryhometeam.com" userProvider="google-sheets"/>
      </Event>
    </History>
  </Task>
  <Task id="{10d0b641-13f8-42e3-b76d-6588da9f6b7a}">
    <Anchor>
      <Comment id="{ba5ddea4-77e6-4d35-943e-e6420ecb507d}"/>
    </Anchor>
    <History>
      <Event time="2025-12-08T23:15:18.00" id="{880bc9fc-352c-4a83-8519-a2a5ebaf59de}">
        <Attribution userId="placeholder@email.com" userName="Jam Bernardo" userProvider="google-sheets"/>
        <Anchor>
          <Comment id="{ba5ddea4-77e6-4d35-943e-e6420ecb507d}"/>
        </Anchor>
        <Create/>
      </Event>
      <Event time="2025-12-08T23:15:18.00" id="{835f964e-54a9-43cc-8302-26ea6451b34b}">
        <Attribution userId="placeholder@email.com" userName="Jam Bernardo" userProvider="google-sheets"/>
        <Anchor>
          <Comment id="{ba5ddea4-77e6-4d35-943e-e6420ecb507d}"/>
        </Anchor>
        <Assign userId="isabel@coryhometeam.com" userName="isabel@coryhometeam.com" userProvider="google-sheets"/>
      </Event>
    </History>
  </Task>
  <Task id="{07a42a96-4d11-40a8-8155-70cdcebcb91d}">
    <Anchor>
      <Comment id="{d09dc8be-bb32-4670-a5a2-8791b273aa53}"/>
    </Anchor>
    <History>
      <Event time="2025-05-16T12:52:07.00" id="{c8be9c4b-f127-428a-8edb-ad234e23081d}">
        <Attribution userId="placeholder@email.com" userName="Rafael Bernardo" userProvider="google-sheets"/>
        <Anchor>
          <Comment id="{d09dc8be-bb32-4670-a5a2-8791b273aa53}"/>
        </Anchor>
        <Create/>
      </Event>
      <Event time="2025-05-16T12:52:07.00" id="{3ee1458d-1d7f-4aea-8456-d82c0a0edc44}">
        <Attribution userId="placeholder@email.com" userName="Rafael Bernardo" userProvider="google-sheets"/>
        <Anchor>
          <Comment id="{d09dc8be-bb32-4670-a5a2-8791b273aa53}"/>
        </Anchor>
        <Assign userId="isabel@coryhometeam.com" userName="isabel@coryhometeam.com" userProvider="google-sheets"/>
      </Event>
    </History>
  </Task>
  <Task id="{625a7311-d702-4d9f-82cb-e05f2e0f7d59}">
    <Anchor>
      <Comment id="{ad9f3e79-4302-421e-a18c-afb419e6c50b}"/>
    </Anchor>
    <History>
      <Event time="2025-12-08T23:15:22.00" id="{c82657e3-d644-463d-a0e3-143def4e1e2f}">
        <Attribution userId="placeholder@email.com" userName="Jam Bernardo" userProvider="google-sheets"/>
        <Anchor>
          <Comment id="{ad9f3e79-4302-421e-a18c-afb419e6c50b}"/>
        </Anchor>
        <Create/>
      </Event>
      <Event time="2025-12-08T23:15:22.00" id="{03c60639-0d99-4698-91c9-e7aab12ff76a}">
        <Attribution userId="placeholder@email.com" userName="Jam Bernardo" userProvider="google-sheets"/>
        <Anchor>
          <Comment id="{ad9f3e79-4302-421e-a18c-afb419e6c50b}"/>
        </Anchor>
        <Assign userId="isabel@coryhometeam.com" userName="isabel@coryhometeam.com" userProvider="google-sheets"/>
      </Event>
    </History>
  </Task>
  <Task id="{d46a976b-fb3f-4e3f-b222-0f0d942e23f9}">
    <Anchor>
      <Comment id="{47ffa218-48d4-4b40-9d36-0bef3e9f9137}"/>
    </Anchor>
    <History>
      <Event time="2026-01-05T20:52:10.00" id="{8fb9952e-ff5b-461d-8f53-f24d2e1e9af9}">
        <Attribution userId="placeholder@email.com" userName="Alexis Cassidy" userProvider="google-sheets"/>
        <Anchor>
          <Comment id="{47ffa218-48d4-4b40-9d36-0bef3e9f9137}"/>
        </Anchor>
        <Create/>
      </Event>
      <Event time="2026-01-05T20:52:10.00" id="{15973cec-efc1-4a4c-893f-e6f3c7eb87c9}">
        <Attribution userId="placeholder@email.com" userName="Alexis Cassidy" userProvider="google-sheets"/>
        <Anchor>
          <Comment id="{47ffa218-48d4-4b40-9d36-0bef3e9f9137}"/>
        </Anchor>
        <Assign userId="dana@coryhometeam.com" userName="dana@coryhometeam.com" userProvider="google-sheets"/>
      </Event>
    </History>
  </Task>
  <Task id="{c9c78c1d-9ea0-4cc4-aea2-a3a5c9341598}">
    <Anchor>
      <Comment id="{ee3a95bb-c33a-43c7-a571-ab4f15fdd1a8}"/>
    </Anchor>
    <History>
      <Event time="2025-01-17T23:53:37.00" id="{dc1470d3-9823-4cdf-890a-e7d018689f2c}">
        <Attribution userId="placeholder@email.com" userName="Jam Bernardo" userProvider="google-sheets"/>
        <Anchor>
          <Comment id="{ee3a95bb-c33a-43c7-a571-ab4f15fdd1a8}"/>
        </Anchor>
        <Create/>
      </Event>
      <Event time="2025-01-17T23:53:37.00" id="{d7e7d9bc-4b88-4032-b5b8-63602a44d659}">
        <Attribution userId="placeholder@email.com" userName="Jam Bernardo" userProvider="google-sheets"/>
        <Anchor>
          <Comment id="{ee3a95bb-c33a-43c7-a571-ab4f15fdd1a8}"/>
        </Anchor>
        <Assign userId="isabel@coryhometeam.com" userName="isabel@coryhometeam.com" userProvider="google-sheets"/>
      </Event>
    </History>
  </Task>
  <Task id="{52be2742-1b15-4d63-b7fe-f8ed133a7455}">
    <Anchor>
      <Comment id="{721add8c-c04a-46c9-80bb-9026c08a8d52}"/>
    </Anchor>
    <History>
      <Event time="2025-04-28T18:12:03.00" id="{4aa37244-3815-421b-9c0e-b82195c1c1d2}">
        <Attribution userId="placeholder@email.com" userName="Remy Victoria" userProvider="google-sheets"/>
        <Anchor>
          <Comment id="{721add8c-c04a-46c9-80bb-9026c08a8d52}"/>
        </Anchor>
        <Create/>
      </Event>
      <Event time="2025-04-28T18:12:03.00" id="{1421b386-6329-4c76-9336-74c77c173f01}">
        <Attribution userId="placeholder@email.com" userName="Remy Victoria" userProvider="google-sheets"/>
        <Anchor>
          <Comment id="{721add8c-c04a-46c9-80bb-9026c08a8d52}"/>
        </Anchor>
        <Assign userId="alexis@coryhometeam.com" userName="alexis@coryhometeam.com" userProvider="google-sheets"/>
      </Event>
    </History>
  </Task>
  <Task id="{5b0c3a06-8fcf-446f-a286-d9d2f083d4b3}">
    <Anchor>
      <Comment id="{20ffadd1-4220-4795-b1b6-c980c89a8e88}"/>
    </Anchor>
    <History>
      <Event time="2025-11-18T13:04:40.00" id="{c18e037c-63b0-42bd-93b6-a185292b8584}">
        <Attribution userId="placeholder@email.com" userName="Jam Bernardo" userProvider="google-sheets"/>
        <Anchor>
          <Comment id="{20ffadd1-4220-4795-b1b6-c980c89a8e88}"/>
        </Anchor>
        <Create/>
      </Event>
      <Event time="2025-11-18T13:04:40.00" id="{8d5d2a1d-b517-4796-83ba-19c00fea485a}">
        <Attribution userId="placeholder@email.com" userName="Jam Bernardo" userProvider="google-sheets"/>
        <Anchor>
          <Comment id="{20ffadd1-4220-4795-b1b6-c980c89a8e88}"/>
        </Anchor>
        <Assign userId="isabel@coryhometeam.com" userName="isabel@coryhometeam.com" userProvider="google-sheets"/>
      </Event>
    </History>
  </Task>
  <Task id="{6279d105-a7fc-476a-8137-fdbaad8fa517}">
    <Anchor>
      <Comment id="{131217c2-dca2-4236-bf91-6fec551c6b00}"/>
    </Anchor>
    <History>
      <Event time="2025-11-18T13:01:21.00" id="{c1666822-88ab-45f6-b589-0a4a435b06cb}">
        <Attribution userId="placeholder@email.com" userName="Jam Bernardo" userProvider="google-sheets"/>
        <Anchor>
          <Comment id="{131217c2-dca2-4236-bf91-6fec551c6b00}"/>
        </Anchor>
        <Create/>
      </Event>
      <Event time="2025-11-18T13:01:21.00" id="{e05584f0-b1e4-4afe-9246-3632b1d4d226}">
        <Attribution userId="placeholder@email.com" userName="Jam Bernardo" userProvider="google-sheets"/>
        <Anchor>
          <Comment id="{131217c2-dca2-4236-bf91-6fec551c6b00}"/>
        </Anchor>
        <Assign userId="isabel@coryhometeam.com" userName="isabel@coryhometeam.com" userProvider="google-sheets"/>
      </Event>
    </History>
  </Task>
  <Task id="{e05d8628-9627-4dec-a964-561a114f9add}">
    <Anchor>
      <Comment id="{27ff6fc7-a33d-4b46-9ecf-e435ebd6cc7e}"/>
    </Anchor>
    <History>
      <Event time="2026-02-04T22:21:23.00" id="{8656faf1-d0a9-4e21-a2d2-9d214d55dc2d}">
        <Attribution userId="placeholder@email.com" userName="Blake Cory" userProvider="google-sheets"/>
        <Anchor>
          <Comment id="{27ff6fc7-a33d-4b46-9ecf-e435ebd6cc7e}"/>
        </Anchor>
        <Create/>
      </Event>
      <Event time="2026-02-04T22:21:23.00" id="{b89edf2b-ffa3-459f-9ef0-f1d1743fc7fc}">
        <Attribution userId="placeholder@email.com" userName="Blake Cory" userProvider="google-sheets"/>
        <Anchor>
          <Comment id="{27ff6fc7-a33d-4b46-9ecf-e435ebd6cc7e}"/>
        </Anchor>
        <Assign userId="mark@coryhometeam.com" userName="mark@coryhometeam.com" userProvider="google-sheets"/>
      </Event>
    </History>
  </Task>
  <Task id="{00f6c4ff-5e92-4501-976e-6abf2a16fe3a}">
    <Anchor>
      <Comment id="{03c1c07a-c399-4282-917a-5f398e360b26}"/>
    </Anchor>
    <History>
      <Event time="2025-09-29T20:31:22.00" id="{52eecccc-5f48-4c40-8213-c13a53c3e410}">
        <Attribution userId="placeholder@email.com" userName="Jam Bernardo" userProvider="google-sheets"/>
        <Anchor>
          <Comment id="{03c1c07a-c399-4282-917a-5f398e360b26}"/>
        </Anchor>
        <Create/>
      </Event>
      <Event time="2025-09-29T20:31:22.00" id="{67ff754d-d58b-4198-97c3-2c2fbc944e81}">
        <Attribution userId="placeholder@email.com" userName="Jam Bernardo" userProvider="google-sheets"/>
        <Anchor>
          <Comment id="{03c1c07a-c399-4282-917a-5f398e360b26}"/>
        </Anchor>
        <Assign userId="isabel@coryhometeam.com" userName="isabel@coryhometeam.com" userProvider="google-sheets"/>
      </Event>
    </History>
  </Task>
  <Task id="{c3709bdc-3ba3-4278-a65b-68cd5b472f87}">
    <Anchor>
      <Comment id="{811a2d1f-8b66-4c07-b31f-2a4312b7512a}"/>
    </Anchor>
    <History>
      <Event time="2025-03-11T10:32:11.00" id="{47966e08-6caf-4883-b91e-2033039e08bd}">
        <Attribution userId="placeholder@email.com" userName="Rafael Bernardo" userProvider="google-sheets"/>
        <Anchor>
          <Comment id="{811a2d1f-8b66-4c07-b31f-2a4312b7512a}"/>
        </Anchor>
        <Create/>
      </Event>
      <Event time="2025-03-11T10:32:11.00" id="{1da14309-7942-488c-9691-4e9ab83f82bb}">
        <Attribution userId="placeholder@email.com" userName="Rafael Bernardo" userProvider="google-sheets"/>
        <Anchor>
          <Comment id="{811a2d1f-8b66-4c07-b31f-2a4312b7512a}"/>
        </Anchor>
        <Assign userId="isabel@coryhometeam.com" userName="isabel@coryhometeam.com" userProvider="google-sheets"/>
      </Event>
    </History>
  </Task>
  <Task id="{ef0d1530-5bbc-4b9b-98e9-f1215caf9a3f}">
    <Anchor>
      <Comment id="{1adb4316-6f3e-47b3-8772-dbe64916009a}"/>
    </Anchor>
    <History>
      <Event time="2025-02-21T20:37:51.00" id="{d97746b5-dde0-4f07-ace8-f9ff5dbebde8}">
        <Attribution userId="placeholder@email.com" userName="Jam Bernardo" userProvider="google-sheets"/>
        <Anchor>
          <Comment id="{1adb4316-6f3e-47b3-8772-dbe64916009a}"/>
        </Anchor>
        <Create/>
      </Event>
      <Event time="2025-02-21T20:37:51.00" id="{ed2766a7-916a-4f9a-bdb8-64504c6b6e36}">
        <Attribution userId="placeholder@email.com" userName="Jam Bernardo" userProvider="google-sheets"/>
        <Anchor>
          <Comment id="{1adb4316-6f3e-47b3-8772-dbe64916009a}"/>
        </Anchor>
        <Assign userId="isabel@coryhometeam.com" userName="isabel@coryhometeam.com" userProvider="google-sheets"/>
      </Event>
    </History>
  </Task>
  <Task id="{3ce678a8-476e-40da-b583-6bfd484ededd}">
    <Anchor>
      <Comment id="{1066eae4-077f-43ec-97ea-c7620717d017}"/>
    </Anchor>
    <History>
      <Event time="2025-09-29T20:08:11.00" id="{79992c5d-4632-4f96-a013-98e6beb23554}">
        <Attribution userId="placeholder@email.com" userName="Jam Bernardo" userProvider="google-sheets"/>
        <Anchor>
          <Comment id="{1066eae4-077f-43ec-97ea-c7620717d017}"/>
        </Anchor>
        <Create/>
      </Event>
      <Event time="2025-09-29T20:08:11.00" id="{11fb8472-cb56-4979-a154-7091fc6bd3b0}">
        <Attribution userId="placeholder@email.com" userName="Jam Bernardo" userProvider="google-sheets"/>
        <Anchor>
          <Comment id="{1066eae4-077f-43ec-97ea-c7620717d017}"/>
        </Anchor>
        <Assign userId="isabel@coryhometeam.com" userName="isabel@coryhometeam.com" userProvider="google-sheets"/>
      </Event>
    </History>
  </Task>
  <Task id="{2bcc54d2-749f-40dc-a97e-c61e0ff5afd9}">
    <Anchor>
      <Comment id="{019d8845-41ac-4532-8109-c4c1dde7c0e4}"/>
    </Anchor>
    <History>
      <Event time="2025-07-24T16:59:52.00" id="{4cbdc128-c649-4e74-8b97-b333e41cba27}">
        <Attribution userId="placeholder@email.com" userName="Rafael Bernardo" userProvider="google-sheets"/>
        <Anchor>
          <Comment id="{019d8845-41ac-4532-8109-c4c1dde7c0e4}"/>
        </Anchor>
        <Create/>
      </Event>
      <Event time="2025-07-24T16:59:52.00" id="{a6cdd2f2-96fd-4ac0-a212-67744ea71664}">
        <Attribution userId="placeholder@email.com" userName="Rafael Bernardo" userProvider="google-sheets"/>
        <Anchor>
          <Comment id="{019d8845-41ac-4532-8109-c4c1dde7c0e4}"/>
        </Anchor>
        <Assign userId="isabel@coryhometeam.com" userName="isabel@coryhometeam.com" userProvider="google-sheets"/>
      </Event>
    </History>
  </Task>
  <Task id="{859e7cff-719a-4db2-a900-1011dcba1743}">
    <Anchor>
      <Comment id="{626e689b-6ed8-4fc2-9050-7b8f649d6826}"/>
    </Anchor>
    <History>
      <Event time="2025-04-15T18:40:14.00" id="{cdc1e1b5-13e5-4166-a46b-0fc46da7e1a7}">
        <Attribution userId="placeholder@email.com" userName="Jam Bernardo" userProvider="google-sheets"/>
        <Anchor>
          <Comment id="{626e689b-6ed8-4fc2-9050-7b8f649d6826}"/>
        </Anchor>
        <Create/>
      </Event>
      <Event time="2025-04-15T18:40:14.00" id="{fa8545da-e63c-4574-9848-ac9fa620c2cc}">
        <Attribution userId="placeholder@email.com" userName="Jam Bernardo" userProvider="google-sheets"/>
        <Anchor>
          <Comment id="{626e689b-6ed8-4fc2-9050-7b8f649d6826}"/>
        </Anchor>
        <Assign userId="isabel@coryhometeam.com" userName="isabel@coryhometeam.com" userProvider="google-sheets"/>
      </Event>
    </History>
  </Task>
  <Task id="{21cfd8f8-dd59-4d47-a4e0-7ae68eed62c5}">
    <Anchor>
      <Comment id="{26317a9c-3c44-4feb-ac47-84f453f14e65}"/>
    </Anchor>
    <History>
      <Event time="2025-07-14T19:17:44.00" id="{17bb8d66-b696-432c-ae9d-9b1c1db122a8}">
        <Attribution userId="placeholder@email.com" userName="Jam Bernardo" userProvider="google-sheets"/>
        <Anchor>
          <Comment id="{26317a9c-3c44-4feb-ac47-84f453f14e65}"/>
        </Anchor>
        <Create/>
      </Event>
      <Event time="2025-07-14T19:17:44.00" id="{337e7669-cdc2-4660-a0e2-99d85c373e85}">
        <Attribution userId="placeholder@email.com" userName="Jam Bernardo" userProvider="google-sheets"/>
        <Anchor>
          <Comment id="{26317a9c-3c44-4feb-ac47-84f453f14e65}"/>
        </Anchor>
        <Assign userId="isabel@coryhometeam.com" userName="isabel@coryhometeam.com" userProvider="google-sheets"/>
      </Event>
    </History>
  </Task>
  <Task id="{f32457c6-c384-41e4-8b13-7df9d9ffebed}">
    <Anchor>
      <Comment id="{884f8148-c305-4378-b9d6-675c83dfd879}"/>
    </Anchor>
    <History>
      <Event time="2025-12-03T00:48:56.00" id="{a0d1d22f-5295-4d1f-a3f6-a87fcfa4b27f}">
        <Attribution userId="placeholder@email.com" userName="Jam Bernardo" userProvider="google-sheets"/>
        <Anchor>
          <Comment id="{884f8148-c305-4378-b9d6-675c83dfd879}"/>
        </Anchor>
        <Create/>
      </Event>
      <Event time="2025-12-03T00:48:56.00" id="{3c8debf5-a29b-4e0d-9ad3-b5068872eaac}">
        <Attribution userId="placeholder@email.com" userName="Jam Bernardo" userProvider="google-sheets"/>
        <Anchor>
          <Comment id="{884f8148-c305-4378-b9d6-675c83dfd879}"/>
        </Anchor>
        <Assign userId="isabel@coryhometeam.com" userName="isabel@coryhometeam.com" userProvider="google-sheets"/>
      </Event>
    </History>
  </Task>
  <Task id="{4533d02f-5870-441d-ae99-c4f0dc5b15ab}">
    <Anchor>
      <Comment id="{2f6ead8f-a885-486a-b358-1333dd889041}"/>
    </Anchor>
    <History>
      <Event time="2025-11-05T18:22:45.00" id="{ae233d13-aae9-4c62-9cea-d52af6830f6f}">
        <Attribution userId="placeholder@email.com" userName="Rafael Bernardo" userProvider="google-sheets"/>
        <Anchor>
          <Comment id="{2f6ead8f-a885-486a-b358-1333dd889041}"/>
        </Anchor>
        <Create/>
      </Event>
      <Event time="2025-11-05T18:22:45.00" id="{d5c935db-d0fb-4c26-a5a3-63873c5cd6e1}">
        <Attribution userId="placeholder@email.com" userName="Rafael Bernardo" userProvider="google-sheets"/>
        <Anchor>
          <Comment id="{2f6ead8f-a885-486a-b358-1333dd889041}"/>
        </Anchor>
        <Assign userId="isabel@coryhometeam.com" userName="isabel@coryhometeam.com" userProvider="google-sheets"/>
      </Event>
    </History>
  </Task>
  <Task id="{3df4e2f6-1367-4413-8091-f2739a7f6cfb}">
    <Anchor>
      <Comment id="{89a0ac8e-3ed1-4ec7-bed6-5307c2922716}"/>
    </Anchor>
    <History>
      <Event time="2025-08-04T18:42:26.00" id="{93521c43-766f-4a9d-a9d0-0793e8849231}">
        <Attribution userId="placeholder@email.com" userName="Rafael Bernardo" userProvider="google-sheets"/>
        <Anchor>
          <Comment id="{89a0ac8e-3ed1-4ec7-bed6-5307c2922716}"/>
        </Anchor>
        <Create/>
      </Event>
      <Event time="2025-08-04T18:42:26.00" id="{6d32b9a0-52b5-49d7-b851-15fe1df5ec59}">
        <Attribution userId="placeholder@email.com" userName="Rafael Bernardo" userProvider="google-sheets"/>
        <Anchor>
          <Comment id="{89a0ac8e-3ed1-4ec7-bed6-5307c2922716}"/>
        </Anchor>
        <Assign userId="isabel@coryhometeam.com" userName="isabel@coryhometeam.com" userProvider="google-sheets"/>
      </Event>
    </History>
  </Task>
  <Task id="{4bf4dfc2-dc51-4cf8-8069-d726046d260c}">
    <Anchor>
      <Comment id="{f3099d6b-251d-4ca8-b894-02cbdd1e72eb}"/>
    </Anchor>
    <History>
      <Event time="2025-07-11T22:24:57.00" id="{63942a3e-e13b-41a3-901a-7f06364ef52a}">
        <Attribution userId="placeholder@email.com" userName="Jam Bernardo" userProvider="google-sheets"/>
        <Anchor>
          <Comment id="{f3099d6b-251d-4ca8-b894-02cbdd1e72eb}"/>
        </Anchor>
        <Create/>
      </Event>
      <Event time="2025-07-11T22:24:57.00" id="{ee871c78-f38f-4647-84d6-1e2328d2f048}">
        <Attribution userId="placeholder@email.com" userName="Jam Bernardo" userProvider="google-sheets"/>
        <Anchor>
          <Comment id="{f3099d6b-251d-4ca8-b894-02cbdd1e72eb}"/>
        </Anchor>
        <Assign userId="isabel@coryhometeam.com" userName="isabel@coryhometeam.com" userProvider="google-sheets"/>
      </Event>
    </History>
  </Task>
  <Task id="{03130b0c-ba11-4de6-b723-0fb68f7d5198}">
    <Anchor>
      <Comment id="{857c7ef5-b73d-4c08-ab9f-1f2a2547ac9e}"/>
    </Anchor>
    <History>
      <Event time="2025-12-03T00:45:44.00" id="{c056165e-1f5e-4987-b344-db4046c4a16e}">
        <Attribution userId="placeholder@email.com" userName="Jam Bernardo" userProvider="google-sheets"/>
        <Anchor>
          <Comment id="{857c7ef5-b73d-4c08-ab9f-1f2a2547ac9e}"/>
        </Anchor>
        <Create/>
      </Event>
      <Event time="2025-12-03T00:45:44.00" id="{817b4180-481f-4b90-9a6a-8b131176b063}">
        <Attribution userId="placeholder@email.com" userName="Jam Bernardo" userProvider="google-sheets"/>
        <Anchor>
          <Comment id="{857c7ef5-b73d-4c08-ab9f-1f2a2547ac9e}"/>
        </Anchor>
        <Assign userId="isabel@coryhometeam.com" userName="isabel@coryhometeam.com" userProvider="google-sheets"/>
      </Event>
    </History>
  </Task>
  <Task id="{9f166ea0-bad8-4546-b510-ca4d644ca7a2}">
    <Anchor>
      <Comment id="{9b8c2b4a-121c-4a5f-8b94-1bbc69dc470a}"/>
    </Anchor>
    <History>
      <Event time="2025-12-08T23:20:00.00" id="{0cb4560f-4a48-4ff5-9478-1d73e5df4735}">
        <Attribution userId="placeholder@email.com" userName="Jam Bernardo" userProvider="google-sheets"/>
        <Anchor>
          <Comment id="{9b8c2b4a-121c-4a5f-8b94-1bbc69dc470a}"/>
        </Anchor>
        <Create/>
      </Event>
      <Event time="2025-12-08T23:20:00.00" id="{4e0b29b1-f86c-40fe-813c-ef04d1af394c}">
        <Attribution userId="placeholder@email.com" userName="Jam Bernardo" userProvider="google-sheets"/>
        <Anchor>
          <Comment id="{9b8c2b4a-121c-4a5f-8b94-1bbc69dc470a}"/>
        </Anchor>
        <Assign userId="isabel@coryhometeam.com" userName="isabel@coryhometeam.com" userProvider="google-sheets"/>
      </Event>
    </History>
  </Task>
  <Task id="{ee0e5cec-bd76-4dab-9313-a7572fc2b4eb}">
    <Anchor>
      <Comment id="{b9089482-283f-4db9-ac4b-ff28fc23a1fe}"/>
    </Anchor>
    <History>
      <Event time="2025-03-12T15:59:23.00" id="{234fe3b3-f5dc-4e17-b4c3-a69bce5794c8}">
        <Attribution userId="placeholder@email.com" userName="Jam Bernardo" userProvider="google-sheets"/>
        <Anchor>
          <Comment id="{b9089482-283f-4db9-ac4b-ff28fc23a1fe}"/>
        </Anchor>
        <Create/>
      </Event>
      <Event time="2025-03-12T15:59:23.00" id="{c7d826e3-291f-4161-88ed-af54a1946079}">
        <Attribution userId="placeholder@email.com" userName="Jam Bernardo" userProvider="google-sheets"/>
        <Anchor>
          <Comment id="{b9089482-283f-4db9-ac4b-ff28fc23a1fe}"/>
        </Anchor>
        <Assign userId="isabel@coryhometeam.com" userName="isabel@coryhometeam.com" userProvider="google-sheets"/>
      </Event>
    </History>
  </Task>
  <Task id="{b0f0450d-36d8-431a-a90b-762f51a06104}">
    <Anchor>
      <Comment id="{5873bb31-0bea-46db-babf-1a9884a80150}"/>
    </Anchor>
    <History>
      <Event time="2025-06-04T23:13:25.00" id="{f1973aa1-fe01-4ee2-b36c-3bcd7d1f6850}">
        <Attribution userId="placeholder@email.com" userName="Jam Bernardo" userProvider="google-sheets"/>
        <Anchor>
          <Comment id="{5873bb31-0bea-46db-babf-1a9884a80150}"/>
        </Anchor>
        <Create/>
      </Event>
      <Event time="2025-06-04T23:13:25.00" id="{4bf52543-46f1-4c65-99fc-989d630aa713}">
        <Attribution userId="placeholder@email.com" userName="Jam Bernardo" userProvider="google-sheets"/>
        <Anchor>
          <Comment id="{5873bb31-0bea-46db-babf-1a9884a80150}"/>
        </Anchor>
        <Assign userId="isabel@coryhometeam.com" userName="isabel@coryhometeam.com" userProvider="google-sheets"/>
      </Event>
    </History>
  </Task>
  <Task id="{8f2e6ea0-37a2-455d-9549-19ae5b0b3491}">
    <Anchor>
      <Comment id="{fd4eef3c-1603-4ef4-9e4e-82fee0b6aad8}"/>
    </Anchor>
    <History>
      <Event time="2025-12-03T00:52:35.00" id="{aeb561d4-5534-45b3-a59b-567667212343}">
        <Attribution userId="placeholder@email.com" userName="Jam Bernardo" userProvider="google-sheets"/>
        <Anchor>
          <Comment id="{fd4eef3c-1603-4ef4-9e4e-82fee0b6aad8}"/>
        </Anchor>
        <Create/>
      </Event>
      <Event time="2025-12-03T00:52:35.00" id="{f55ee62c-5dda-4fd5-a9b1-1f5f3e8a3e2b}">
        <Attribution userId="placeholder@email.com" userName="Jam Bernardo" userProvider="google-sheets"/>
        <Anchor>
          <Comment id="{fd4eef3c-1603-4ef4-9e4e-82fee0b6aad8}"/>
        </Anchor>
        <Assign userId="isabel@coryhometeam.com" userName="isabel@coryhometeam.com" userProvider="google-sheets"/>
      </Event>
    </History>
  </Task>
  <Task id="{b64bb32c-84ce-4c21-85a0-877b0d3c377e}">
    <Anchor>
      <Comment id="{4d4bd357-1c08-463d-8051-154d2a50d3c9}"/>
    </Anchor>
    <History>
      <Event time="2025-11-18T19:15:34.00" id="{7ff23a97-e6a8-4b51-902e-301fe8a293dd}">
        <Attribution userId="placeholder@email.com" userName="Rafael Bernardo" userProvider="google-sheets"/>
        <Anchor>
          <Comment id="{4d4bd357-1c08-463d-8051-154d2a50d3c9}"/>
        </Anchor>
        <Create/>
      </Event>
      <Event time="2025-11-18T19:15:34.00" id="{d6e626f0-078a-49d0-9b1a-13723041783f}">
        <Attribution userId="placeholder@email.com" userName="Rafael Bernardo" userProvider="google-sheets"/>
        <Anchor>
          <Comment id="{4d4bd357-1c08-463d-8051-154d2a50d3c9}"/>
        </Anchor>
        <Assign userId="isabel@coryhometeam.com" userName="isabel@coryhometeam.com" userProvider="google-sheets"/>
      </Event>
    </History>
  </Task>
  <Task id="{62bd3c63-590d-4f11-9d31-6f13b924a06e}">
    <Anchor>
      <Comment id="{621eff27-52b2-4478-a224-8229bd3a7709}"/>
    </Anchor>
    <History>
      <Event time="2025-04-28T15:39:50.00" id="{b593d1fc-3baf-4daf-8e84-d7715ea22e7e}">
        <Attribution userId="placeholder@email.com" userName="Rafael Bernardo" userProvider="google-sheets"/>
        <Anchor>
          <Comment id="{621eff27-52b2-4478-a224-8229bd3a7709}"/>
        </Anchor>
        <Create/>
      </Event>
      <Event time="2025-04-28T15:39:50.00" id="{c99c734d-5122-48e4-bca4-9e1c43bbfdac}">
        <Attribution userId="placeholder@email.com" userName="Rafael Bernardo" userProvider="google-sheets"/>
        <Anchor>
          <Comment id="{621eff27-52b2-4478-a224-8229bd3a7709}"/>
        </Anchor>
        <Assign userId="isabel@coryhometeam.com" userName="isabel@coryhometeam.com" userProvider="google-sheets"/>
      </Event>
    </History>
  </Task>
  <Task id="{7e5517be-b597-47ad-9329-1f74fdeabb21}">
    <Anchor>
      <Comment id="{d8f4a0e2-5c35-4b05-a13e-04671e75442a}"/>
    </Anchor>
    <History>
      <Event time="2025-11-06T15:46:54.00" id="{aca3f750-6a34-462c-9652-6b7cc42a1f06}">
        <Attribution userId="placeholder@email.com" userName="Rafael Bernardo" userProvider="google-sheets"/>
        <Anchor>
          <Comment id="{d8f4a0e2-5c35-4b05-a13e-04671e75442a}"/>
        </Anchor>
        <Create/>
      </Event>
      <Event time="2025-11-06T15:46:54.00" id="{f8841a81-29b0-4932-8d28-462f2a7a68ab}">
        <Attribution userId="placeholder@email.com" userName="Rafael Bernardo" userProvider="google-sheets"/>
        <Anchor>
          <Comment id="{d8f4a0e2-5c35-4b05-a13e-04671e75442a}"/>
        </Anchor>
        <Assign userId="isabel@coryhometeam.com" userName="isabel@coryhometeam.com" userProvider="google-sheets"/>
      </Event>
    </History>
  </Task>
  <Task id="{4e4a8699-4433-4b3e-9c72-aef59ac52d01}">
    <Anchor>
      <Comment id="{eec6999c-37c5-48e6-bbf4-2f38de6625aa}"/>
    </Anchor>
    <History>
      <Event time="2025-11-06T15:29:09.00" id="{df51c5f9-427b-4967-91dc-1fe0dbe0647a}">
        <Attribution userId="placeholder@email.com" userName="Rafael Bernardo" userProvider="google-sheets"/>
        <Anchor>
          <Comment id="{eec6999c-37c5-48e6-bbf4-2f38de6625aa}"/>
        </Anchor>
        <Create/>
      </Event>
      <Event time="2025-11-06T15:29:09.00" id="{53b1d682-97a8-4607-9d4e-a6aff5dfa74b}">
        <Attribution userId="placeholder@email.com" userName="Rafael Bernardo" userProvider="google-sheets"/>
        <Anchor>
          <Comment id="{eec6999c-37c5-48e6-bbf4-2f38de6625aa}"/>
        </Anchor>
        <Assign userId="isabel@coryhometeam.com" userName="isabel@coryhometeam.com" userProvider="google-sheets"/>
      </Event>
    </History>
  </Task>
  <Task id="{9f5e7d52-ae67-41df-a650-1c2f72b0f31e}">
    <Anchor>
      <Comment id="{1dddd2f4-d8a4-40b3-badf-a6b7276c34d7}"/>
    </Anchor>
    <History>
      <Event time="2025-05-07T18:37:13.00" id="{6185dcbe-5d3d-4e70-902c-95e57d31dd67}">
        <Attribution userId="placeholder@email.com" userName="Rafael Bernardo" userProvider="google-sheets"/>
        <Anchor>
          <Comment id="{1dddd2f4-d8a4-40b3-badf-a6b7276c34d7}"/>
        </Anchor>
        <Create/>
      </Event>
      <Event time="2025-05-07T18:37:13.00" id="{d40c051b-ccad-4d0b-9e45-fbf94dad8e90}">
        <Attribution userId="placeholder@email.com" userName="Rafael Bernardo" userProvider="google-sheets"/>
        <Anchor>
          <Comment id="{1dddd2f4-d8a4-40b3-badf-a6b7276c34d7}"/>
        </Anchor>
        <Assign userId="isabel@coryhometeam.com" userName="isabel@coryhometeam.com" userProvider="google-sheets"/>
      </Event>
    </History>
  </Task>
  <Task id="{be9ae300-6682-413e-988b-129cf0ff4ae0}">
    <Anchor>
      <Comment id="{09bb713f-c5f7-4682-b8d1-7a3bcfc839b2}"/>
    </Anchor>
    <History>
      <Event time="2025-02-14T23:25:55.00" id="{4f39939d-3600-451b-9d5b-16de218c06c5}">
        <Attribution userId="placeholder@email.com" userName="Jam Bernardo" userProvider="google-sheets"/>
        <Anchor>
          <Comment id="{09bb713f-c5f7-4682-b8d1-7a3bcfc839b2}"/>
        </Anchor>
        <Create/>
      </Event>
      <Event time="2025-02-14T23:25:55.00" id="{9c4858d6-3feb-4539-a697-ea459d0380b6}">
        <Attribution userId="placeholder@email.com" userName="Jam Bernardo" userProvider="google-sheets"/>
        <Anchor>
          <Comment id="{09bb713f-c5f7-4682-b8d1-7a3bcfc839b2}"/>
        </Anchor>
        <Assign userId="isabel@coryhometeam.com" userName="isabel@coryhometeam.com" userProvider="google-sheets"/>
      </Event>
    </History>
  </Task>
  <Task id="{7445c243-a6c9-489f-b009-8af67ded5dbb}">
    <Anchor>
      <Comment id="{84222177-07d1-48ef-946a-50383a0ae4e6}"/>
    </Anchor>
    <History>
      <Event time="2025-04-15T16:07:06.00" id="{2067dfc6-3b1b-4f3a-810a-350171572569}">
        <Attribution userId="placeholder@email.com" userName="Rafael Bernardo" userProvider="google-sheets"/>
        <Anchor>
          <Comment id="{84222177-07d1-48ef-946a-50383a0ae4e6}"/>
        </Anchor>
        <Create/>
      </Event>
      <Event time="2025-04-15T16:07:06.00" id="{9b61ccd6-5b76-4945-bd3d-fccce5051c54}">
        <Attribution userId="placeholder@email.com" userName="Rafael Bernardo" userProvider="google-sheets"/>
        <Anchor>
          <Comment id="{84222177-07d1-48ef-946a-50383a0ae4e6}"/>
        </Anchor>
        <Assign userId="isabel@coryhometeam.com" userName="isabel@coryhometeam.com" userProvider="google-sheets"/>
      </Event>
    </History>
  </Task>
  <Task id="{8be64bd7-3b51-4c67-a35b-8151559fef07}">
    <Anchor>
      <Comment id="{296d46cf-3a83-42c8-96f0-59518c2388ee}"/>
    </Anchor>
    <History>
      <Event time="2025-02-14T23:17:13.00" id="{f5653c5e-1444-443b-b27f-adb06069b370}">
        <Attribution userId="placeholder@email.com" userName="Jam Bernardo" userProvider="google-sheets"/>
        <Anchor>
          <Comment id="{296d46cf-3a83-42c8-96f0-59518c2388ee}"/>
        </Anchor>
        <Create/>
      </Event>
      <Event time="2025-02-14T23:17:13.00" id="{c42acd1c-a6b5-4470-b86a-9420f383c95b}">
        <Attribution userId="placeholder@email.com" userName="Jam Bernardo" userProvider="google-sheets"/>
        <Anchor>
          <Comment id="{296d46cf-3a83-42c8-96f0-59518c2388ee}"/>
        </Anchor>
        <Assign userId="isabel@coryhometeam.com" userName="isabel@coryhometeam.com" userProvider="google-sheets"/>
      </Event>
    </History>
  </Task>
  <Task id="{12fafa5a-e39d-4933-ba0e-66e557397319}">
    <Anchor>
      <Comment id="{1b4fa215-a0c3-4b6d-9f0b-ffe40ac479c7}"/>
    </Anchor>
    <History>
      <Event time="2025-11-06T18:27:05.00" id="{55bfff5b-0460-4b2d-9785-46e238f08452}">
        <Attribution userId="placeholder@email.com" userName="Jam Bernardo" userProvider="google-sheets"/>
        <Anchor>
          <Comment id="{1b4fa215-a0c3-4b6d-9f0b-ffe40ac479c7}"/>
        </Anchor>
        <Create/>
      </Event>
      <Event time="2025-11-06T18:27:05.00" id="{c676b426-2281-4b01-ba68-7b0e4b32b983}">
        <Attribution userId="placeholder@email.com" userName="Jam Bernardo" userProvider="google-sheets"/>
        <Anchor>
          <Comment id="{1b4fa215-a0c3-4b6d-9f0b-ffe40ac479c7}"/>
        </Anchor>
        <Assign userId="isabel@coryhometeam.com" userName="isabel@coryhometeam.com" userProvider="google-sheets"/>
      </Event>
    </History>
  </Task>
  <Task id="{495dd29b-c345-4034-9403-6d6335f6d2b4}">
    <Anchor>
      <Comment id="{2b8c7858-1c19-4c0e-a0cb-a5a1f6756521}"/>
    </Anchor>
    <History>
      <Event time="2025-01-29T20:51:31.00" id="{6a2f472a-754b-4bf6-b26d-de776b6cd633}">
        <Attribution userId="placeholder@email.com" userName="Jam Bernardo" userProvider="google-sheets"/>
        <Anchor>
          <Comment id="{2b8c7858-1c19-4c0e-a0cb-a5a1f6756521}"/>
        </Anchor>
        <Create/>
      </Event>
      <Event time="2025-01-29T20:51:31.00" id="{1bb0c9e6-bff2-462b-8448-6e3f1e3b7dbb}">
        <Attribution userId="placeholder@email.com" userName="Jam Bernardo" userProvider="google-sheets"/>
        <Anchor>
          <Comment id="{2b8c7858-1c19-4c0e-a0cb-a5a1f6756521}"/>
        </Anchor>
        <Assign userId="isabel@coryhometeam.com" userName="isabel@coryhometeam.com" userProvider="google-sheets"/>
      </Event>
    </History>
  </Task>
  <Task id="{3d21f17e-e462-4606-8887-55ae017bb050}">
    <Anchor>
      <Comment id="{16beb964-aae3-4cf3-a961-ddb175e005e1}"/>
    </Anchor>
    <History>
      <Event time="2025-07-10T23:24:20.00" id="{0a4d885a-7738-4182-bdd4-3d534937d2be}">
        <Attribution userId="placeholder@email.com" userName="Rafael Bernardo" userProvider="google-sheets"/>
        <Anchor>
          <Comment id="{16beb964-aae3-4cf3-a961-ddb175e005e1}"/>
        </Anchor>
        <Create/>
      </Event>
      <Event time="2025-07-10T23:24:20.00" id="{7f1545f0-aac6-41d2-a99e-b04f5531f8e8}">
        <Attribution userId="placeholder@email.com" userName="Rafael Bernardo" userProvider="google-sheets"/>
        <Anchor>
          <Comment id="{16beb964-aae3-4cf3-a961-ddb175e005e1}"/>
        </Anchor>
        <Assign userId="isabel@coryhometeam.com" userName="isabel@coryhometeam.com" userProvider="google-sheets"/>
      </Event>
    </History>
  </Task>
  <Task id="{3fba4115-7d67-414b-9f38-e021717f11a8}">
    <Anchor>
      <Comment id="{8a5df992-bbcc-4f98-b09a-dfeeba3d1252}"/>
    </Anchor>
    <History>
      <Event time="2025-01-29T20:51:58.00" id="{5449fc25-1309-4621-a4d9-93ad4e1c1299}">
        <Attribution userId="placeholder@email.com" userName="Jam Bernardo" userProvider="google-sheets"/>
        <Anchor>
          <Comment id="{8a5df992-bbcc-4f98-b09a-dfeeba3d1252}"/>
        </Anchor>
        <Create/>
      </Event>
      <Event time="2025-01-29T20:51:58.00" id="{02d91ba4-fd2f-4b33-96d7-7d8b66be11c7}">
        <Attribution userId="placeholder@email.com" userName="Jam Bernardo" userProvider="google-sheets"/>
        <Anchor>
          <Comment id="{8a5df992-bbcc-4f98-b09a-dfeeba3d1252}"/>
        </Anchor>
        <Assign userId="isabel@coryhometeam.com" userName="isabel@coryhometeam.com" userProvider="google-sheets"/>
      </Event>
    </History>
  </Task>
  <Task id="{69a0bdfc-75f7-45ef-aac9-f2b8cfba20f8}">
    <Anchor>
      <Comment id="{8b5f84bd-52ba-46ac-ab67-5d117245b23e}"/>
    </Anchor>
    <History>
      <Event time="2025-02-14T23:26:00.00" id="{b376ca3b-4b49-4cd3-876b-1f512dca24c8}">
        <Attribution userId="placeholder@email.com" userName="Jam Bernardo" userProvider="google-sheets"/>
        <Anchor>
          <Comment id="{8b5f84bd-52ba-46ac-ab67-5d117245b23e}"/>
        </Anchor>
        <Create/>
      </Event>
      <Event time="2025-02-14T23:26:00.00" id="{e2100973-74c8-4977-a3b5-72b6dc3c552e}">
        <Attribution userId="placeholder@email.com" userName="Jam Bernardo" userProvider="google-sheets"/>
        <Anchor>
          <Comment id="{8b5f84bd-52ba-46ac-ab67-5d117245b23e}"/>
        </Anchor>
        <Assign userId="isabel@coryhometeam.com" userName="isabel@coryhometeam.com" userProvider="google-sheets"/>
      </Event>
    </History>
  </Task>
  <Task id="{40025d1f-cd17-4f64-96fb-f4a5075bf246}">
    <Anchor>
      <Comment id="{61ca4ed2-f37f-4322-be75-f7198b43292d}"/>
    </Anchor>
    <History>
      <Event time="2025-05-21T17:00:56.00" id="{429eeabe-049c-420e-a6b2-8fab8a8bdd11}">
        <Attribution userId="placeholder@email.com" userName="Jam Bernardo" userProvider="google-sheets"/>
        <Anchor>
          <Comment id="{61ca4ed2-f37f-4322-be75-f7198b43292d}"/>
        </Anchor>
        <Create/>
      </Event>
      <Event time="2025-05-21T17:00:56.00" id="{fc5a91a6-0dec-4dfb-99ff-648eac96585a}">
        <Attribution userId="placeholder@email.com" userName="Jam Bernardo" userProvider="google-sheets"/>
        <Anchor>
          <Comment id="{61ca4ed2-f37f-4322-be75-f7198b43292d}"/>
        </Anchor>
        <Assign userId="isabel@coryhometeam.com" userName="isabel@coryhometeam.com" userProvider="google-sheets"/>
      </Event>
    </History>
  </Task>
  <Task id="{c6044222-492f-4850-a402-4fab26cf9b8c}">
    <Anchor>
      <Comment id="{1d3f418d-b3d2-4e40-997f-40ff1691ac51}"/>
    </Anchor>
    <History>
      <Event time="2025-11-06T18:18:20.00" id="{3270e1db-e605-4551-aebc-8f31f9368c29}">
        <Attribution userId="placeholder@email.com" userName="Jam Bernardo" userProvider="google-sheets"/>
        <Anchor>
          <Comment id="{1d3f418d-b3d2-4e40-997f-40ff1691ac51}"/>
        </Anchor>
        <Create/>
      </Event>
      <Event time="2025-11-06T18:18:20.00" id="{c20a68dc-b459-4216-bdfb-d8ebb854188d}">
        <Attribution userId="placeholder@email.com" userName="Jam Bernardo" userProvider="google-sheets"/>
        <Anchor>
          <Comment id="{1d3f418d-b3d2-4e40-997f-40ff1691ac51}"/>
        </Anchor>
        <Assign userId="isabel@coryhometeam.com" userName="isabel@coryhometeam.com" userProvider="google-sheets"/>
      </Event>
    </History>
  </Task>
  <Task id="{38bd6795-b31a-4ce4-b62e-c23ea82b37e9}">
    <Anchor>
      <Comment id="{79db26e4-d9fe-41a5-9792-daeca305a102}"/>
    </Anchor>
    <History>
      <Event time="2025-07-10T23:37:21.00" id="{10d77a9e-c9d5-4715-a25d-d4b750335c78}">
        <Attribution userId="placeholder@email.com" userName="Rafael Bernardo" userProvider="google-sheets"/>
        <Anchor>
          <Comment id="{79db26e4-d9fe-41a5-9792-daeca305a102}"/>
        </Anchor>
        <Create/>
      </Event>
      <Event time="2025-07-10T23:37:21.00" id="{618d9dbe-c0a6-4cb7-9c8e-02bf78eefd38}">
        <Attribution userId="placeholder@email.com" userName="Rafael Bernardo" userProvider="google-sheets"/>
        <Anchor>
          <Comment id="{79db26e4-d9fe-41a5-9792-daeca305a102}"/>
        </Anchor>
        <Assign userId="isabel@coryhometeam.com" userName="isabel@coryhometeam.com" userProvider="google-sheets"/>
      </Event>
    </History>
  </Task>
  <Task id="{046e5339-81b2-4219-805a-e2ee877bae8b}">
    <Anchor>
      <Comment id="{18f3bb6b-2792-483c-b90a-8dd7d7663066}"/>
    </Anchor>
    <History>
      <Event time="2025-01-30T00:00:58.00" id="{4a2f2c3e-4282-4a64-875a-6484e11067d2}">
        <Attribution userId="placeholder@email.com" userName="Jam Bernardo" userProvider="google-sheets"/>
        <Anchor>
          <Comment id="{18f3bb6b-2792-483c-b90a-8dd7d7663066}"/>
        </Anchor>
        <Create/>
      </Event>
      <Event time="2025-01-30T00:00:58.00" id="{ff05e076-c9f9-45d0-b306-04818a6a16c2}">
        <Attribution userId="placeholder@email.com" userName="Jam Bernardo" userProvider="google-sheets"/>
        <Anchor>
          <Comment id="{18f3bb6b-2792-483c-b90a-8dd7d7663066}"/>
        </Anchor>
        <Assign userId="isabel@coryhometeam.com" userName="isabel@coryhometeam.com" userProvider="google-sheets"/>
      </Event>
    </History>
  </Task>
  <Task id="{3a05e50a-fb71-4517-88c9-0f8f4aa7e1f6}">
    <Anchor>
      <Comment id="{f3b13ca8-f53f-4e10-9330-cb68d747b9ec}"/>
    </Anchor>
    <History>
      <Event time="2025-07-10T23:32:44.00" id="{565c0470-4052-4308-bbc6-096c573cbbcc}">
        <Attribution userId="placeholder@email.com" userName="Rafael Bernardo" userProvider="google-sheets"/>
        <Anchor>
          <Comment id="{f3b13ca8-f53f-4e10-9330-cb68d747b9ec}"/>
        </Anchor>
        <Create/>
      </Event>
      <Event time="2025-07-10T23:32:44.00" id="{c151a31d-54e2-461d-8975-448a04f4a6e1}">
        <Attribution userId="placeholder@email.com" userName="Rafael Bernardo" userProvider="google-sheets"/>
        <Anchor>
          <Comment id="{f3b13ca8-f53f-4e10-9330-cb68d747b9ec}"/>
        </Anchor>
        <Assign userId="isabel@coryhometeam.com" userName="isabel@coryhometeam.com" userProvider="google-sheets"/>
      </Event>
    </History>
  </Task>
  <Task id="{f014c848-5218-4c5d-b724-371b96292012}">
    <Anchor>
      <Comment id="{2679fdfa-5a84-4ba4-a11d-d06ad5711f63}"/>
    </Anchor>
    <History>
      <Event time="2025-01-29T19:05:37.00" id="{f32d0511-73b7-4f3b-85cc-5493eec72d17}">
        <Attribution userId="placeholder@email.com" userName="Rafael Bernardo" userProvider="google-sheets"/>
        <Anchor>
          <Comment id="{2679fdfa-5a84-4ba4-a11d-d06ad5711f63}"/>
        </Anchor>
        <Create/>
      </Event>
      <Event time="2025-01-29T19:05:37.00" id="{eb497168-1559-47ca-b100-543e6597fd6c}">
        <Attribution userId="placeholder@email.com" userName="Rafael Bernardo" userProvider="google-sheets"/>
        <Anchor>
          <Comment id="{2679fdfa-5a84-4ba4-a11d-d06ad5711f63}"/>
        </Anchor>
        <Assign userId="isabel@coryhometeam.com" userName="isabel@coryhometeam.com" userProvider="google-sheets"/>
      </Event>
    </History>
  </Task>
  <Task id="{4b43898a-1b1a-432f-b161-93c53ae0c0b5}">
    <Anchor>
      <Comment id="{4748ebdd-4bd6-47d8-bf95-819fbcfeff0b}"/>
    </Anchor>
    <History>
      <Event time="2025-08-30T00:24:34.00" id="{9cf21f4b-195b-4cf4-9222-72db7edc23d0}">
        <Attribution userId="placeholder@email.com" userName="Jam Bernardo" userProvider="google-sheets"/>
        <Anchor>
          <Comment id="{4748ebdd-4bd6-47d8-bf95-819fbcfeff0b}"/>
        </Anchor>
        <Create/>
      </Event>
      <Event time="2025-08-30T00:24:34.00" id="{60947198-45ec-412d-9905-ab4f7f762537}">
        <Attribution userId="placeholder@email.com" userName="Jam Bernardo" userProvider="google-sheets"/>
        <Anchor>
          <Comment id="{4748ebdd-4bd6-47d8-bf95-819fbcfeff0b}"/>
        </Anchor>
        <Assign userId="isabel@coryhometeam.com" userName="isabel@coryhometeam.com" userProvider="google-sheets"/>
      </Event>
    </History>
  </Task>
  <Task id="{0d198bf9-a66b-498a-aa5e-813c881b16fa}">
    <Anchor>
      <Comment id="{daada13d-b9b6-4885-9849-f26328c22c4d}"/>
    </Anchor>
    <History>
      <Event time="2025-03-28T20:43:21.00" id="{e20fb5bd-c020-49f9-bd9f-6eba75417772}">
        <Attribution userId="placeholder@email.com" userName="Rafael Bernardo" userProvider="google-sheets"/>
        <Anchor>
          <Comment id="{daada13d-b9b6-4885-9849-f26328c22c4d}"/>
        </Anchor>
        <Create/>
      </Event>
      <Event time="2025-03-28T20:43:21.00" id="{f1c53a3c-bb12-45d1-8e37-f45e93c40093}">
        <Attribution userId="placeholder@email.com" userName="Rafael Bernardo" userProvider="google-sheets"/>
        <Anchor>
          <Comment id="{daada13d-b9b6-4885-9849-f26328c22c4d}"/>
        </Anchor>
        <Assign userId="isabel@coryhometeam.com" userName="isabel@coryhometeam.com" userProvider="google-sheets"/>
      </Event>
    </History>
  </Task>
  <Task id="{34093d97-8289-4fc2-999e-4bb1e0364748}">
    <Anchor>
      <Comment id="{3cdd4922-92c7-44d4-a610-434ad9b8d374}"/>
    </Anchor>
    <History>
      <Event time="2025-08-30T00:30:42.00" id="{8aeec8fa-76cb-4851-8798-f0941a491575}">
        <Attribution userId="placeholder@email.com" userName="Jam Bernardo" userProvider="google-sheets"/>
        <Anchor>
          <Comment id="{3cdd4922-92c7-44d4-a610-434ad9b8d374}"/>
        </Anchor>
        <Create/>
      </Event>
      <Event time="2025-08-30T00:30:42.00" id="{14afbfb8-c2da-44c5-98d3-187caafcf134}">
        <Attribution userId="placeholder@email.com" userName="Jam Bernardo" userProvider="google-sheets"/>
        <Anchor>
          <Comment id="{3cdd4922-92c7-44d4-a610-434ad9b8d374}"/>
        </Anchor>
        <Assign userId="isabel@coryhometeam.com" userName="isabel@coryhometeam.com" userProvider="google-sheets"/>
      </Event>
    </History>
  </Task>
  <Task id="{f9d5703c-7cfa-4a02-b96b-5a9dbe9b0a8e}">
    <Anchor>
      <Comment id="{3eaaf8dd-d049-43c4-bb33-a929999b9523}"/>
    </Anchor>
    <History>
      <Event time="2025-07-10T23:19:56.00" id="{be1f8b2e-f2d3-4ed8-ae73-7252bd691f0d}">
        <Attribution userId="placeholder@email.com" userName="Rafael Bernardo" userProvider="google-sheets"/>
        <Anchor>
          <Comment id="{3eaaf8dd-d049-43c4-bb33-a929999b9523}"/>
        </Anchor>
        <Create/>
      </Event>
      <Event time="2025-07-10T23:19:56.00" id="{7f995fb4-6d3a-4372-aa8f-a0ab90bbea69}">
        <Attribution userId="placeholder@email.com" userName="Rafael Bernardo" userProvider="google-sheets"/>
        <Anchor>
          <Comment id="{3eaaf8dd-d049-43c4-bb33-a929999b9523}"/>
        </Anchor>
        <Assign userId="isabel@coryhometeam.com" userName="isabel@coryhometeam.com" userProvider="google-sheets"/>
      </Event>
    </History>
  </Task>
  <Task id="{0941ad2a-a261-4c8a-80e3-f684ef7cc458}">
    <Anchor>
      <Comment id="{d3302d53-ba1b-40c5-8396-2ee61c728bf7}"/>
    </Anchor>
    <History>
      <Event time="2025-11-10T23:35:46.00" id="{62658e67-d359-4e10-b775-67e6f29efe9d}">
        <Attribution userId="placeholder@email.com" userName="Jam Bernardo" userProvider="google-sheets"/>
        <Anchor>
          <Comment id="{d3302d53-ba1b-40c5-8396-2ee61c728bf7}"/>
        </Anchor>
        <Create/>
      </Event>
      <Event time="2025-11-10T23:35:46.00" id="{3b15900e-f95d-4924-8c73-57766fa8bdb2}">
        <Attribution userId="placeholder@email.com" userName="Jam Bernardo" userProvider="google-sheets"/>
        <Anchor>
          <Comment id="{d3302d53-ba1b-40c5-8396-2ee61c728bf7}"/>
        </Anchor>
        <Assign userId="isabel@coryhometeam.com" userName="isabel@coryhometeam.com" userProvider="google-sheets"/>
      </Event>
    </History>
  </Task>
  <Task id="{fbca5889-d07c-40a8-b8c6-61082c7f0dab}">
    <Anchor>
      <Comment id="{a2f19df2-b0b4-4cf3-b8e2-3bbcd24abce7}"/>
    </Anchor>
    <History>
      <Event time="2025-08-04T19:38:16.00" id="{b3f62cd3-663e-45c2-9891-c7ffc59a88f8}">
        <Attribution userId="placeholder@email.com" userName="Rafael Bernardo" userProvider="google-sheets"/>
        <Anchor>
          <Comment id="{a2f19df2-b0b4-4cf3-b8e2-3bbcd24abce7}"/>
        </Anchor>
        <Create/>
      </Event>
      <Event time="2025-08-04T19:38:16.00" id="{adadd89d-78c9-4ffc-8de3-336437957730}">
        <Attribution userId="placeholder@email.com" userName="Rafael Bernardo" userProvider="google-sheets"/>
        <Anchor>
          <Comment id="{a2f19df2-b0b4-4cf3-b8e2-3bbcd24abce7}"/>
        </Anchor>
        <Assign userId="isabel@coryhometeam.com" userName="isabel@coryhometeam.com" userProvider="google-sheets"/>
      </Event>
    </History>
  </Task>
  <Task id="{84878473-b801-4946-b132-5ef0591141b1}">
    <Anchor>
      <Comment id="{a3c9545b-9205-4e0a-9374-49832a222645}"/>
    </Anchor>
    <History>
      <Event time="2025-11-10T23:14:03.00" id="{afd50092-5df3-478a-b8c3-d6c3b3870eb2}">
        <Attribution userId="placeholder@email.com" userName="Jam Bernardo" userProvider="google-sheets"/>
        <Anchor>
          <Comment id="{a3c9545b-9205-4e0a-9374-49832a222645}"/>
        </Anchor>
        <Create/>
      </Event>
      <Event time="2025-11-10T23:14:03.00" id="{a3a6ddbd-5104-4721-a9ee-7b93d10d9368}">
        <Attribution userId="placeholder@email.com" userName="Jam Bernardo" userProvider="google-sheets"/>
        <Anchor>
          <Comment id="{a3c9545b-9205-4e0a-9374-49832a222645}"/>
        </Anchor>
        <Assign userId="isabel@coryhometeam.com" userName="isabel@coryhometeam.com" userProvider="google-sheets"/>
      </Event>
    </History>
  </Task>
  <Task id="{4899f79f-8a8b-4888-9f74-94d0bb2bc26f}">
    <Anchor>
      <Comment id="{15a9ec00-4833-4b3f-8181-ac5ec6957e5a}"/>
    </Anchor>
    <History>
      <Event time="2025-04-15T16:46:19.00" id="{834951a8-38c1-4f67-a084-bae564864ab1}">
        <Attribution userId="placeholder@email.com" userName="Rafael Bernardo" userProvider="google-sheets"/>
        <Anchor>
          <Comment id="{15a9ec00-4833-4b3f-8181-ac5ec6957e5a}"/>
        </Anchor>
        <Create/>
      </Event>
      <Event time="2025-04-15T16:46:19.00" id="{f1f1b2eb-cb67-40ed-8237-1a50572d937c}">
        <Attribution userId="placeholder@email.com" userName="Rafael Bernardo" userProvider="google-sheets"/>
        <Anchor>
          <Comment id="{15a9ec00-4833-4b3f-8181-ac5ec6957e5a}"/>
        </Anchor>
        <Assign userId="isabel@coryhometeam.com" userName="isabel@coryhometeam.com" userProvider="google-sheets"/>
      </Event>
    </History>
  </Task>
  <Task id="{45706a77-2dc6-4678-9119-8e971787b94f}">
    <Anchor>
      <Comment id="{dc63d9c3-2666-49ab-a7d1-db307658ac36}"/>
    </Anchor>
    <History>
      <Event time="2025-02-14T19:47:08.00" id="{a34a42d0-f0a3-4e73-b471-73c984fa3096}">
        <Attribution userId="placeholder@email.com" userName="Jam Bernardo" userProvider="google-sheets"/>
        <Anchor>
          <Comment id="{dc63d9c3-2666-49ab-a7d1-db307658ac36}"/>
        </Anchor>
        <Create/>
      </Event>
      <Event time="2025-02-14T19:47:08.00" id="{9b049f50-de15-4b48-9d06-1ba37ce8d127}">
        <Attribution userId="placeholder@email.com" userName="Jam Bernardo" userProvider="google-sheets"/>
        <Anchor>
          <Comment id="{dc63d9c3-2666-49ab-a7d1-db307658ac36}"/>
        </Anchor>
        <Assign userId="isabel@coryhometeam.com" userName="isabel@coryhometeam.com" userProvider="google-sheets"/>
      </Event>
    </History>
  </Task>
  <Task id="{c70fcf6b-7be9-4941-9a43-b58f21bab55b}">
    <Anchor>
      <Comment id="{996d9d91-f7d9-4054-9802-790c10592184}"/>
    </Anchor>
    <History>
      <Event time="2025-10-24T17:02:59.00" id="{4b7709f6-974c-4301-8677-1a5f76736a93}">
        <Attribution userId="placeholder@email.com" userName="Kenia Bautista" userProvider="google-sheets"/>
        <Anchor>
          <Comment id="{996d9d91-f7d9-4054-9802-790c10592184}"/>
        </Anchor>
        <Create/>
      </Event>
      <Event time="2025-10-24T17:02:59.00" id="{36fae5c0-4ad2-4889-9a43-6c8d471a9277}">
        <Attribution userId="placeholder@email.com" userName="Kenia Bautista" userProvider="google-sheets"/>
        <Anchor>
          <Comment id="{996d9d91-f7d9-4054-9802-790c10592184}"/>
        </Anchor>
        <Assign userId="dana@coryhometeam.com" userName="dana@coryhometeam.com" userProvider="google-sheets"/>
      </Event>
    </History>
  </Task>
  <Task id="{93e1e3b4-592b-40cc-9869-4c15052ae7c4}">
    <Anchor>
      <Comment id="{bd20da46-6102-45ad-b3fc-da32d2afefcf}"/>
    </Anchor>
    <History>
      <Event time="2025-03-03T20:46:23.00" id="{dcbadf26-f8f8-4032-b732-5e67a45e9f9e}">
        <Attribution userId="placeholder@email.com" userName="Jam Bernardo" userProvider="google-sheets"/>
        <Anchor>
          <Comment id="{bd20da46-6102-45ad-b3fc-da32d2afefcf}"/>
        </Anchor>
        <Create/>
      </Event>
      <Event time="2025-03-03T20:46:23.00" id="{695623c0-c33b-4b90-95ba-c8ceda8dcb07}">
        <Attribution userId="placeholder@email.com" userName="Jam Bernardo" userProvider="google-sheets"/>
        <Anchor>
          <Comment id="{bd20da46-6102-45ad-b3fc-da32d2afefcf}"/>
        </Anchor>
        <Assign userId="isabel@coryhometeam.com" userName="isabel@coryhometeam.com" userProvider="google-sheets"/>
      </Event>
    </History>
  </Task>
  <Task id="{117a0faa-abba-4443-95b2-bb96845a0c5f}">
    <Anchor>
      <Comment id="{aab7e3af-33ef-4fd9-b8b6-3f93103bf2b6}"/>
    </Anchor>
    <History>
      <Event time="2025-03-03T18:57:26.00" id="{f02c8924-c006-4711-8834-e584f501380a}">
        <Attribution userId="placeholder@email.com" userName="Rafael Bernardo" userProvider="google-sheets"/>
        <Anchor>
          <Comment id="{aab7e3af-33ef-4fd9-b8b6-3f93103bf2b6}"/>
        </Anchor>
        <Create/>
      </Event>
      <Event time="2025-03-03T18:57:26.00" id="{32ed1530-16ba-4f28-8af4-5c81ca9aae5e}">
        <Attribution userId="placeholder@email.com" userName="Rafael Bernardo" userProvider="google-sheets"/>
        <Anchor>
          <Comment id="{aab7e3af-33ef-4fd9-b8b6-3f93103bf2b6}"/>
        </Anchor>
        <Assign userId="isabel@coryhometeam.com" userName="isabel@coryhometeam.com" userProvider="google-sheets"/>
      </Event>
    </History>
  </Task>
  <Task id="{c835a7fd-dae5-49fe-8a05-406ee62e9c69}">
    <Anchor>
      <Comment id="{1d19ba11-5555-4775-adc1-dbe818343c77}"/>
    </Anchor>
    <History>
      <Event time="2025-05-19T22:31:43.00" id="{46d0a1f5-95b3-4b18-ad33-0a16ac765095}">
        <Attribution userId="placeholder@email.com" userName="Jam Bernardo" userProvider="google-sheets"/>
        <Anchor>
          <Comment id="{1d19ba11-5555-4775-adc1-dbe818343c77}"/>
        </Anchor>
        <Create/>
      </Event>
      <Event time="2025-05-19T22:31:43.00" id="{4bcbc826-271e-4dc0-9542-f43b05991d3b}">
        <Attribution userId="placeholder@email.com" userName="Jam Bernardo" userProvider="google-sheets"/>
        <Anchor>
          <Comment id="{1d19ba11-5555-4775-adc1-dbe818343c77}"/>
        </Anchor>
        <Assign userId="isabel@coryhometeam.com" userName="isabel@coryhometeam.com" userProvider="google-sheets"/>
      </Event>
    </History>
  </Task>
  <Task id="{5b58a2ee-1ae0-4f12-a876-c13e62cbabab}">
    <Anchor>
      <Comment id="{52370f48-f7e8-483a-8cf2-18aaf0a4e932}"/>
    </Anchor>
    <History>
      <Event time="2025-02-26T17:24:53.00" id="{81e661b7-15d6-4584-8f40-824fe4620cba}">
        <Attribution userId="placeholder@email.com" userName="Jam Bernardo" userProvider="google-sheets"/>
        <Anchor>
          <Comment id="{52370f48-f7e8-483a-8cf2-18aaf0a4e932}"/>
        </Anchor>
        <Create/>
      </Event>
      <Event time="2025-02-26T17:24:53.00" id="{b2730eb5-f82b-4a6a-8d93-98d8b59b9a86}">
        <Attribution userId="placeholder@email.com" userName="Jam Bernardo" userProvider="google-sheets"/>
        <Anchor>
          <Comment id="{52370f48-f7e8-483a-8cf2-18aaf0a4e932}"/>
        </Anchor>
        <Assign userId="isabel@coryhometeam.com" userName="isabel@coryhometeam.com" userProvider="google-sheets"/>
      </Event>
    </History>
  </Task>
  <Task id="{6dbdca5c-1f44-4259-a105-225f121ba469}">
    <Anchor>
      <Comment id="{36a2a75e-fd07-416c-83b6-47d0eade59c6}"/>
    </Anchor>
    <History>
      <Event time="2025-06-20T23:19:48.00" id="{49d9c6fa-1f52-42d6-b871-b1c10b02aa9e}">
        <Attribution userId="placeholder@email.com" userName="Jam Bernardo" userProvider="google-sheets"/>
        <Anchor>
          <Comment id="{36a2a75e-fd07-416c-83b6-47d0eade59c6}"/>
        </Anchor>
        <Create/>
      </Event>
      <Event time="2025-06-20T23:19:48.00" id="{5b717606-31c5-4b65-905e-a074835cdd31}">
        <Attribution userId="placeholder@email.com" userName="Jam Bernardo" userProvider="google-sheets"/>
        <Anchor>
          <Comment id="{36a2a75e-fd07-416c-83b6-47d0eade59c6}"/>
        </Anchor>
        <Assign userId="isabel@coryhometeam.com" userName="isabel@coryhometeam.com" userProvider="google-sheets"/>
      </Event>
    </History>
  </Task>
  <Task id="{22afdc2a-15ae-49e1-8b1d-7eaa1abd86b6}">
    <Anchor>
      <Comment id="{48886a62-f7ff-40c9-b232-07a24c62adb3}"/>
    </Anchor>
    <History>
      <Event time="2025-06-20T23:24:05.00" id="{38360d1e-5f36-4ba5-9c08-599cece2bd3c}">
        <Attribution userId="placeholder@email.com" userName="Jam Bernardo" userProvider="google-sheets"/>
        <Anchor>
          <Comment id="{48886a62-f7ff-40c9-b232-07a24c62adb3}"/>
        </Anchor>
        <Create/>
      </Event>
      <Event time="2025-06-20T23:24:05.00" id="{82871b1e-67bb-4492-8e45-2817568ba82d}">
        <Attribution userId="placeholder@email.com" userName="Jam Bernardo" userProvider="google-sheets"/>
        <Anchor>
          <Comment id="{48886a62-f7ff-40c9-b232-07a24c62adb3}"/>
        </Anchor>
        <Assign userId="isabel@coryhometeam.com" userName="isabel@coryhometeam.com" userProvider="google-sheets"/>
      </Event>
    </History>
  </Task>
  <Task id="{987633bf-0a57-4fdf-beaa-6c1c79dfe127}">
    <Anchor>
      <Comment id="{23590b7b-a385-45a0-9dc6-e2b449635621}"/>
    </Anchor>
    <History>
      <Event time="2025-08-12T22:00:34.00" id="{520abd85-30df-4f1d-8531-1d0e16f6fc31}">
        <Attribution userId="placeholder@email.com" userName="Jam Bernardo" userProvider="google-sheets"/>
        <Anchor>
          <Comment id="{23590b7b-a385-45a0-9dc6-e2b449635621}"/>
        </Anchor>
        <Create/>
      </Event>
      <Event time="2025-08-12T22:00:34.00" id="{9e42afb9-887b-4831-bb72-19bd5a833cd7}">
        <Attribution userId="placeholder@email.com" userName="Jam Bernardo" userProvider="google-sheets"/>
        <Anchor>
          <Comment id="{23590b7b-a385-45a0-9dc6-e2b449635621}"/>
        </Anchor>
        <Assign userId="isabel@coryhometeam.com" userName="isabel@coryhometeam.com" userProvider="google-sheets"/>
      </Event>
    </History>
  </Task>
  <Task id="{14066468-6be9-4cff-958e-1e2e1ac415cf}">
    <Anchor>
      <Comment id="{6b488482-5ad8-40af-8b78-0728dd0f9eb6}"/>
    </Anchor>
    <History>
      <Event time="2025-03-03T19:02:42.00" id="{9f9a28ed-30f3-4720-8f59-72a48c08aa87}">
        <Attribution userId="placeholder@email.com" userName="Rafael Bernardo" userProvider="google-sheets"/>
        <Anchor>
          <Comment id="{6b488482-5ad8-40af-8b78-0728dd0f9eb6}"/>
        </Anchor>
        <Create/>
      </Event>
      <Event time="2025-03-03T19:02:42.00" id="{b15afacd-c7e6-468c-842d-f7b045142d63}">
        <Attribution userId="placeholder@email.com" userName="Rafael Bernardo" userProvider="google-sheets"/>
        <Anchor>
          <Comment id="{6b488482-5ad8-40af-8b78-0728dd0f9eb6}"/>
        </Anchor>
        <Assign userId="isabel@coryhometeam.com" userName="isabel@coryhometeam.com" userProvider="google-sheets"/>
      </Event>
    </History>
  </Task>
  <Task id="{4c71ebb8-3eb4-4e54-9e9d-01a4e77c4049}">
    <Anchor>
      <Comment id="{5bcd2125-51d8-44b5-ae42-92f767fbfb85}"/>
    </Anchor>
    <History>
      <Event time="2025-05-21T16:57:39.00" id="{ccb8a187-05df-470c-b4a2-535c5d6b9029}">
        <Attribution userId="placeholder@email.com" userName="Jam Bernardo" userProvider="google-sheets"/>
        <Anchor>
          <Comment id="{5bcd2125-51d8-44b5-ae42-92f767fbfb85}"/>
        </Anchor>
        <Create/>
      </Event>
      <Event time="2025-05-21T16:57:39.00" id="{8bb1af1b-b3cd-4e12-bb64-172aa87b2e6b}">
        <Attribution userId="placeholder@email.com" userName="Jam Bernardo" userProvider="google-sheets"/>
        <Anchor>
          <Comment id="{5bcd2125-51d8-44b5-ae42-92f767fbfb85}"/>
        </Anchor>
        <Assign userId="isabel@coryhometeam.com" userName="isabel@coryhometeam.com" userProvider="google-sheets"/>
      </Event>
    </History>
  </Task>
  <Task id="{88fac368-f88d-4540-9b61-ca87a0d0247a}">
    <Anchor>
      <Comment id="{21fa72fc-51d1-4f6e-bde8-899a0c53b52c}"/>
    </Anchor>
    <History>
      <Event time="2025-05-22T05:42:31.00" id="{2b0bcfa2-a3d1-4c1b-bb51-a92544318d7f}">
        <Attribution userId="placeholder@email.com" userName="Rafael Bernardo" userProvider="google-sheets"/>
        <Anchor>
          <Comment id="{21fa72fc-51d1-4f6e-bde8-899a0c53b52c}"/>
        </Anchor>
        <Create/>
      </Event>
      <Event time="2025-05-22T05:42:31.00" id="{f8924970-245e-4fd8-9684-395e510e9c1f}">
        <Attribution userId="placeholder@email.com" userName="Rafael Bernardo" userProvider="google-sheets"/>
        <Anchor>
          <Comment id="{21fa72fc-51d1-4f6e-bde8-899a0c53b52c}"/>
        </Anchor>
        <Assign userId="isabel@coryhometeam.com" userName="isabel@coryhometeam.com" userProvider="google-sheets"/>
      </Event>
    </History>
  </Task>
  <Task id="{e55d6aa9-58cb-4829-9146-9caa7c664b6e}">
    <Anchor>
      <Comment id="{fef65de5-7930-44ae-9c6e-16f0f2ca3c34}"/>
    </Anchor>
    <History>
      <Event time="2025-03-03T19:00:33.00" id="{a5191bc2-7374-4f97-84f2-b79ca99623a6}">
        <Attribution userId="placeholder@email.com" userName="Rafael Bernardo" userProvider="google-sheets"/>
        <Anchor>
          <Comment id="{fef65de5-7930-44ae-9c6e-16f0f2ca3c34}"/>
        </Anchor>
        <Create/>
      </Event>
      <Event time="2025-03-03T19:00:33.00" id="{6678f67a-a78f-4df8-912b-c599b786a389}">
        <Attribution userId="placeholder@email.com" userName="Rafael Bernardo" userProvider="google-sheets"/>
        <Anchor>
          <Comment id="{fef65de5-7930-44ae-9c6e-16f0f2ca3c34}"/>
        </Anchor>
        <Assign userId="isabel@coryhometeam.com" userName="isabel@coryhometeam.com" userProvider="google-sheets"/>
      </Event>
    </History>
  </Task>
  <Task id="{52033fb6-ce5f-4894-8dbc-1aa3f775945c}">
    <Anchor>
      <Comment id="{47f2d330-8e2d-466c-9aa2-fda79035aaed}"/>
    </Anchor>
    <History>
      <Event time="2025-11-19T00:15:58.00" id="{7f79cdce-e53b-4a19-ae28-e1be6ccb71df}">
        <Attribution userId="placeholder@email.com" userName="Jam Bernardo" userProvider="google-sheets"/>
        <Anchor>
          <Comment id="{47f2d330-8e2d-466c-9aa2-fda79035aaed}"/>
        </Anchor>
        <Create/>
      </Event>
      <Event time="2025-11-19T00:15:58.00" id="{a6dcac4f-567a-4157-8381-ed4578b7628f}">
        <Attribution userId="placeholder@email.com" userName="Jam Bernardo" userProvider="google-sheets"/>
        <Anchor>
          <Comment id="{47f2d330-8e2d-466c-9aa2-fda79035aaed}"/>
        </Anchor>
        <Assign userId="isabel@coryhometeam.com" userName="isabel@coryhometeam.com" userProvider="google-sheets"/>
      </Event>
    </History>
  </Task>
  <Task id="{b7fa76fa-e94f-4014-b8bb-6faf6c535fbd}">
    <Anchor>
      <Comment id="{38c4b0cc-1e17-410d-a2c9-6d3ef86f2b87}"/>
    </Anchor>
    <History>
      <Event time="2025-10-07T23:35:34.00" id="{01d8b23b-5583-42c4-81f5-4984a2587bf4}">
        <Attribution userId="placeholder@email.com" userName="Jam Bernardo" userProvider="google-sheets"/>
        <Anchor>
          <Comment id="{38c4b0cc-1e17-410d-a2c9-6d3ef86f2b87}"/>
        </Anchor>
        <Create/>
      </Event>
      <Event time="2025-10-07T23:35:34.00" id="{d2f95af3-22eb-4c14-b382-ffe7dd3910e0}">
        <Attribution userId="placeholder@email.com" userName="Jam Bernardo" userProvider="google-sheets"/>
        <Anchor>
          <Comment id="{38c4b0cc-1e17-410d-a2c9-6d3ef86f2b87}"/>
        </Anchor>
        <Assign userId="isabel@coryhometeam.com" userName="isabel@coryhometeam.com" userProvider="google-sheets"/>
      </Event>
    </History>
  </Task>
  <Task id="{20e9d3cb-06b0-4d6c-a0f0-05b42a1e744b}">
    <Anchor>
      <Comment id="{63d1046b-c449-42ca-81b5-cc62b13a8293}"/>
    </Anchor>
    <History>
      <Event time="2025-08-27T22:19:33.00" id="{f104a348-e609-4875-90c0-c4d34672dd40}">
        <Attribution userId="placeholder@email.com" userName="Jam Bernardo" userProvider="google-sheets"/>
        <Anchor>
          <Comment id="{63d1046b-c449-42ca-81b5-cc62b13a8293}"/>
        </Anchor>
        <Create/>
      </Event>
      <Event time="2025-08-27T22:19:33.00" id="{2cfdaa8a-420a-4c81-a051-8309eb662cf1}">
        <Attribution userId="placeholder@email.com" userName="Jam Bernardo" userProvider="google-sheets"/>
        <Anchor>
          <Comment id="{63d1046b-c449-42ca-81b5-cc62b13a8293}"/>
        </Anchor>
        <Assign userId="isabel@coryhometeam.com" userName="isabel@coryhometeam.com" userProvider="google-sheets"/>
      </Event>
    </History>
  </Task>
  <Task id="{c5d6d0c2-57f8-4e58-a57e-878209757fde}">
    <Anchor>
      <Comment id="{1fdc855d-bd20-4b3b-9ace-5ba49fd726d5}"/>
    </Anchor>
    <History>
      <Event time="2025-05-22T05:28:19.00" id="{3986e90a-0f5e-4ae6-8965-553a7708a740}">
        <Attribution userId="placeholder@email.com" userName="Rafael Bernardo" userProvider="google-sheets"/>
        <Anchor>
          <Comment id="{1fdc855d-bd20-4b3b-9ace-5ba49fd726d5}"/>
        </Anchor>
        <Create/>
      </Event>
      <Event time="2025-05-22T05:28:19.00" id="{3c54b2ac-c412-4aac-b303-c003e7e35f61}">
        <Attribution userId="placeholder@email.com" userName="Rafael Bernardo" userProvider="google-sheets"/>
        <Anchor>
          <Comment id="{1fdc855d-bd20-4b3b-9ace-5ba49fd726d5}"/>
        </Anchor>
        <Assign userId="isabel@coryhometeam.com" userName="isabel@coryhometeam.com" userProvider="google-sheets"/>
      </Event>
    </History>
  </Task>
  <Task id="{cd6f44cb-be2c-4968-9a07-1fdbaf72c28e}">
    <Anchor>
      <Comment id="{748a4d0e-d6ed-499c-b11f-674fe25db861}"/>
    </Anchor>
    <History>
      <Event time="2025-11-19T00:13:06.00" id="{4ed53d6d-9ed1-4df0-84f0-213429629a2f}">
        <Attribution userId="placeholder@email.com" userName="Jam Bernardo" userProvider="google-sheets"/>
        <Anchor>
          <Comment id="{748a4d0e-d6ed-499c-b11f-674fe25db861}"/>
        </Anchor>
        <Create/>
      </Event>
      <Event time="2025-11-19T00:13:06.00" id="{92aed94a-22cd-492f-813f-1e0a4497c73f}">
        <Attribution userId="placeholder@email.com" userName="Jam Bernardo" userProvider="google-sheets"/>
        <Anchor>
          <Comment id="{748a4d0e-d6ed-499c-b11f-674fe25db861}"/>
        </Anchor>
        <Assign userId="isabel@coryhometeam.com" userName="isabel@coryhometeam.com" userProvider="google-sheets"/>
      </Event>
    </History>
  </Task>
  <Task id="{26954e7e-c195-4eda-bd4c-5d469a5a58d0}">
    <Anchor>
      <Comment id="{77c51142-ac00-45b2-88d3-a9aa496e175c}"/>
    </Anchor>
    <History>
      <Event time="2025-07-10T17:15:38.00" id="{03433a69-8ac8-48a1-98e0-c769dcd83761}">
        <Attribution userId="placeholder@email.com" userName="Alexis Cassidy" userProvider="google-sheets"/>
        <Anchor>
          <Comment id="{77c51142-ac00-45b2-88d3-a9aa496e175c}"/>
        </Anchor>
        <Create/>
      </Event>
      <Event time="2025-07-10T17:15:38.00" id="{414ec062-a0a2-4be2-bd4c-93ea34668938}">
        <Attribution userId="placeholder@email.com" userName="Alexis Cassidy" userProvider="google-sheets"/>
        <Anchor>
          <Comment id="{77c51142-ac00-45b2-88d3-a9aa496e175c}"/>
        </Anchor>
        <Assign userId="kenia@coryhometeam.com" userName="kenia@coryhometeam.com" userProvider="google-sheets"/>
      </Event>
    </History>
  </Task>
  <Task id="{1d58624e-4f15-4fe0-8fa8-e0f51e1c8609}">
    <Anchor>
      <Comment id="{8d798f3b-69cd-4a1d-bf70-0b5ffee7ad01}"/>
    </Anchor>
    <History>
      <Event time="2025-01-21T17:29:04.00" id="{b1f3e6ba-4d09-4aa7-97ae-0dd7dc4367ba}">
        <Attribution userId="placeholder@email.com" userName="Rafael Bernardo" userProvider="google-sheets"/>
        <Anchor>
          <Comment id="{8d798f3b-69cd-4a1d-bf70-0b5ffee7ad01}"/>
        </Anchor>
        <Create/>
      </Event>
      <Event time="2025-01-21T17:29:04.00" id="{a57b40de-4f26-4b0c-93df-f77f49fe9fab}">
        <Attribution userId="placeholder@email.com" userName="Rafael Bernardo" userProvider="google-sheets"/>
        <Anchor>
          <Comment id="{8d798f3b-69cd-4a1d-bf70-0b5ffee7ad01}"/>
        </Anchor>
        <Assign userId="isabel@coryhometeam.com" userName="isabel@coryhometeam.com" userProvider="google-sheets"/>
      </Event>
    </History>
  </Task>
  <Task id="{80149c6b-ed3e-4665-af18-545151e3b332}">
    <Anchor>
      <Comment id="{c26302cb-55e8-487c-a76f-39f4b78e4d85}"/>
    </Anchor>
    <History>
      <Event time="2025-03-19T16:51:08.00" id="{d2c683a1-e9ae-4e39-869e-bed4c192c025}">
        <Attribution userId="placeholder@email.com" userName="Jam Bernardo" userProvider="google-sheets"/>
        <Anchor>
          <Comment id="{c26302cb-55e8-487c-a76f-39f4b78e4d85}"/>
        </Anchor>
        <Create/>
      </Event>
      <Event time="2025-03-19T16:51:08.00" id="{75c13c29-41f9-4b0f-89f2-7928ee947bda}">
        <Attribution userId="placeholder@email.com" userName="Jam Bernardo" userProvider="google-sheets"/>
        <Anchor>
          <Comment id="{c26302cb-55e8-487c-a76f-39f4b78e4d85}"/>
        </Anchor>
        <Assign userId="isabel@coryhometeam.com" userName="isabel@coryhometeam.com" userProvider="google-sheets"/>
      </Event>
    </History>
  </Task>
  <Task id="{54e4ce55-d03a-495c-a293-1e11c7220ff7}">
    <Anchor>
      <Comment id="{485763af-dbc5-4405-9a64-4f583a9a7d4a}"/>
    </Anchor>
    <History>
      <Event time="2025-03-03T23:31:10.00" id="{825ee995-160a-4498-b92c-9eb345e20d0c}">
        <Attribution userId="placeholder@email.com" userName="Jam Bernardo" userProvider="google-sheets"/>
        <Anchor>
          <Comment id="{485763af-dbc5-4405-9a64-4f583a9a7d4a}"/>
        </Anchor>
        <Create/>
      </Event>
      <Event time="2025-03-03T23:31:10.00" id="{8b40077b-942e-4dda-851b-72db6bee5f0e}">
        <Attribution userId="placeholder@email.com" userName="Jam Bernardo" userProvider="google-sheets"/>
        <Anchor>
          <Comment id="{485763af-dbc5-4405-9a64-4f583a9a7d4a}"/>
        </Anchor>
        <Assign userId="isabel@coryhometeam.com" userName="isabel@coryhometeam.com" userProvider="google-sheets"/>
      </Event>
    </History>
  </Task>
  <Task id="{69c9248b-b39a-4ca3-9f1d-cc11c058904b}">
    <Anchor>
      <Comment id="{41714db9-6930-44d0-b1da-22d42a90d7b4}"/>
    </Anchor>
    <History>
      <Event time="2025-03-03T22:53:17.00" id="{fcb48fde-180f-4f70-b8f5-f4e81b0f4c3f}">
        <Attribution userId="placeholder@email.com" userName="Jam Bernardo" userProvider="google-sheets"/>
        <Anchor>
          <Comment id="{41714db9-6930-44d0-b1da-22d42a90d7b4}"/>
        </Anchor>
        <Create/>
      </Event>
      <Event time="2025-03-03T22:53:17.00" id="{0222e46c-52cb-4ca0-b03f-813f689c6740}">
        <Attribution userId="placeholder@email.com" userName="Jam Bernardo" userProvider="google-sheets"/>
        <Anchor>
          <Comment id="{41714db9-6930-44d0-b1da-22d42a90d7b4}"/>
        </Anchor>
        <Assign userId="isabel@coryhometeam.com" userName="isabel@coryhometeam.com" userProvider="google-sheets"/>
      </Event>
    </History>
  </Task>
  <Task id="{6e212309-5b48-4de3-8cbe-306536722ccc}">
    <Anchor>
      <Comment id="{51a45d58-22cb-4f45-9ae2-4bc9579c67ed}"/>
    </Anchor>
    <History>
      <Event time="2025-03-19T11:16:17.00" id="{97abaa60-63a1-48a7-adf9-3209490ba2e7}">
        <Attribution userId="placeholder@email.com" userName="Rafael Bernardo" userProvider="google-sheets"/>
        <Anchor>
          <Comment id="{51a45d58-22cb-4f45-9ae2-4bc9579c67ed}"/>
        </Anchor>
        <Create/>
      </Event>
      <Event time="2025-03-19T11:16:17.00" id="{8f5a6e86-ddd2-4f92-a454-3592ecd108ac}">
        <Attribution userId="placeholder@email.com" userName="Rafael Bernardo" userProvider="google-sheets"/>
        <Anchor>
          <Comment id="{51a45d58-22cb-4f45-9ae2-4bc9579c67ed}"/>
        </Anchor>
        <Assign userId="isabel@coryhometeam.com" userName="isabel@coryhometeam.com" userProvider="google-sheets"/>
      </Event>
    </History>
  </Task>
  <Task id="{1d8b2141-a2cd-46ed-83a5-b261100a904b}">
    <Anchor>
      <Comment id="{97e62f1c-23ab-4470-a950-5cc4a1e1aa32}"/>
    </Anchor>
    <History>
      <Event time="2025-03-19T21:02:39.00" id="{50cdefa7-e11a-474e-9f85-2a888a655d2b}">
        <Attribution userId="placeholder@email.com" userName="Jam Bernardo" userProvider="google-sheets"/>
        <Anchor>
          <Comment id="{97e62f1c-23ab-4470-a950-5cc4a1e1aa32}"/>
        </Anchor>
        <Create/>
      </Event>
      <Event time="2025-03-19T21:02:39.00" id="{6e0009b7-7021-4d84-add3-d287b82c7b42}">
        <Attribution userId="placeholder@email.com" userName="Jam Bernardo" userProvider="google-sheets"/>
        <Anchor>
          <Comment id="{97e62f1c-23ab-4470-a950-5cc4a1e1aa32}"/>
        </Anchor>
        <Assign userId="isabel@coryhometeam.com" userName="isabel@coryhometeam.com" userProvider="google-sheets"/>
      </Event>
    </History>
  </Task>
  <Task id="{2bff23d7-c5a2-4d56-8668-7e0ed98ed339}">
    <Anchor>
      <Comment id="{fb0f37d7-9565-437c-8f90-a93ba2806aa0}"/>
    </Anchor>
    <History>
      <Event time="2026-04-02T23:29:44.00" id="{084b8954-91e0-410b-93c3-01c7cf95a456}">
        <Attribution userId="placeholder@email.com" userName="Jam Bernardo" userProvider="google-sheets"/>
        <Anchor>
          <Comment id="{fb0f37d7-9565-437c-8f90-a93ba2806aa0}"/>
        </Anchor>
        <Create/>
      </Event>
      <Event time="2026-04-02T23:29:44.00" id="{4140c45a-2796-4b7a-a12a-bfb0885c33c1}">
        <Attribution userId="placeholder@email.com" userName="Jam Bernardo" userProvider="google-sheets"/>
        <Anchor>
          <Comment id="{fb0f37d7-9565-437c-8f90-a93ba2806aa0}"/>
        </Anchor>
        <Assign userId="isabel@coryhometeam.com" userName="isabel@coryhometeam.com" userProvider="google-sheets"/>
      </Event>
    </History>
  </Task>
  <Task id="{31a464a1-cbe9-4e2e-aae6-349c63ae76e4}">
    <Anchor>
      <Comment id="{88a61d56-b9ef-4f80-9d17-96c749b02e9c}"/>
    </Anchor>
    <History>
      <Event time="2025-09-02T18:31:19.00" id="{adfebfe9-2626-4664-b844-39eb00761481}">
        <Attribution userId="placeholder@email.com" userName="Rafael Bernardo" userProvider="google-sheets"/>
        <Anchor>
          <Comment id="{88a61d56-b9ef-4f80-9d17-96c749b02e9c}"/>
        </Anchor>
        <Create/>
      </Event>
      <Event time="2025-09-02T18:31:19.00" id="{ab3b54be-2db1-4756-923f-c895d53d70ea}">
        <Attribution userId="placeholder@email.com" userName="Rafael Bernardo" userProvider="google-sheets"/>
        <Anchor>
          <Comment id="{88a61d56-b9ef-4f80-9d17-96c749b02e9c}"/>
        </Anchor>
        <Assign userId="isabel@coryhometeam.com" userName="isabel@coryhometeam.com" userProvider="google-sheets"/>
      </Event>
    </History>
  </Task>
  <Task id="{5d47052f-baec-4802-b9b5-5341408ae249}">
    <Anchor>
      <Comment id="{e3dacdc8-5261-4ab4-a21e-7e1381bcafae}"/>
    </Anchor>
    <History>
      <Event time="2025-01-02T04:51:46.00" id="{7ed7baa5-84b7-43cd-9dfe-a8bedea7cc7f}">
        <Attribution userId="placeholder@email.com" userName="Aileen Munoz" userProvider="google-sheets"/>
        <Anchor>
          <Comment id="{e3dacdc8-5261-4ab4-a21e-7e1381bcafae}"/>
        </Anchor>
        <Create/>
      </Event>
      <Event time="2025-01-02T04:51:46.00" id="{aa713bf1-3f12-4357-95fa-7ddedde7fd6e}">
        <Attribution userId="placeholder@email.com" userName="Aileen Munoz" userProvider="google-sheets"/>
        <Anchor>
          <Comment id="{e3dacdc8-5261-4ab4-a21e-7e1381bcafae}"/>
        </Anchor>
        <Assign userId="rafael@coryhometeam.com" userName="rafael@coryhometeam.com" userProvider="google-sheets"/>
      </Event>
    </History>
  </Task>
  <Task id="{648c2937-91a0-4b1e-a521-59c5ee2f2782}">
    <Anchor>
      <Comment id="{bfaa4ad9-94f7-4814-8fba-5905ed865f20}"/>
    </Anchor>
    <History>
      <Event time="2025-01-02T04:50:47.00" id="{17cd36a4-6975-4152-a25b-34496ddfbaba}">
        <Attribution userId="placeholder@email.com" userName="Aileen Munoz" userProvider="google-sheets"/>
        <Anchor>
          <Comment id="{bfaa4ad9-94f7-4814-8fba-5905ed865f20}"/>
        </Anchor>
        <Create/>
      </Event>
      <Event time="2025-01-02T04:50:47.00" id="{8c259ea7-b59a-40a5-92c8-64ea191e7132}">
        <Attribution userId="placeholder@email.com" userName="Aileen Munoz" userProvider="google-sheets"/>
        <Anchor>
          <Comment id="{bfaa4ad9-94f7-4814-8fba-5905ed865f20}"/>
        </Anchor>
        <Assign userId="rafael@coryhometeam.com" userName="rafael@coryhometeam.com" userProvider="google-sheets"/>
      </Event>
    </History>
  </Task>
  <Task id="{1e7bdb9d-b5c2-4341-b430-4225d4a7af7f}">
    <Anchor>
      <Comment id="{7fbf7b9d-c3a9-45be-aa9c-ce6ba29ad36f}"/>
    </Anchor>
    <History>
      <Event time="2025-01-02T04:43:05.00" id="{0f484cdf-5f22-4041-830d-f094f5d6c10b}">
        <Attribution userId="placeholder@email.com" userName="Aileen Munoz" userProvider="google-sheets"/>
        <Anchor>
          <Comment id="{7fbf7b9d-c3a9-45be-aa9c-ce6ba29ad36f}"/>
        </Anchor>
        <Create/>
      </Event>
      <Event time="2025-01-02T04:43:05.00" id="{0a31bde9-be37-4db5-8738-179c43c9fd7f}">
        <Attribution userId="placeholder@email.com" userName="Aileen Munoz" userProvider="google-sheets"/>
        <Anchor>
          <Comment id="{7fbf7b9d-c3a9-45be-aa9c-ce6ba29ad36f}"/>
        </Anchor>
        <Assign userId="isabel@coryhometeam.com" userName="isabel@coryhometeam.com" userProvider="google-sheets"/>
      </Event>
    </History>
  </Task>
  <Task id="{2cda1291-c393-4183-be81-0db54612ca06}">
    <Anchor>
      <Comment id="{b69817d6-2f8e-42b2-8eaa-4753d5f03696}"/>
    </Anchor>
    <History>
      <Event time="2025-09-09T23:55:32.00" id="{874577fc-bd4c-41e6-b1ce-fec7338d0cdd}">
        <Attribution userId="placeholder@email.com" userName="Jam Bernardo" userProvider="google-sheets"/>
        <Anchor>
          <Comment id="{b69817d6-2f8e-42b2-8eaa-4753d5f03696}"/>
        </Anchor>
        <Create/>
      </Event>
      <Event time="2025-09-09T23:55:32.00" id="{71957a3c-e944-4d58-8f54-c2c3f5145578}">
        <Attribution userId="placeholder@email.com" userName="Jam Bernardo" userProvider="google-sheets"/>
        <Anchor>
          <Comment id="{b69817d6-2f8e-42b2-8eaa-4753d5f03696}"/>
        </Anchor>
        <Assign userId="isabel@coryhometeam.com" userName="isabel@coryhometeam.com" userProvider="google-sheets"/>
      </Event>
    </History>
  </Task>
  <Task id="{3bab5655-5607-4623-9aa1-fd543f54a289}">
    <Anchor>
      <Comment id="{5f778d8c-56fc-4c98-a4ad-91624cae386a}"/>
    </Anchor>
    <History>
      <Event time="2025-01-02T05:27:49.00" id="{1983c9b7-0527-403a-b776-578bd20f3712}">
        <Attribution userId="placeholder@email.com" userName="Aileen Munoz" userProvider="google-sheets"/>
        <Anchor>
          <Comment id="{5f778d8c-56fc-4c98-a4ad-91624cae386a}"/>
        </Anchor>
        <Create/>
      </Event>
      <Event time="2025-01-02T05:27:49.00" id="{3ad29458-f459-4623-bd07-3267e8f14765}">
        <Attribution userId="placeholder@email.com" userName="Aileen Munoz" userProvider="google-sheets"/>
        <Anchor>
          <Comment id="{5f778d8c-56fc-4c98-a4ad-91624cae386a}"/>
        </Anchor>
        <Assign userId="alexis@coryhometeam.com" userName="alexis@coryhometeam.com" userProvider="google-sheets"/>
      </Event>
    </History>
  </Task>
  <Task id="{9585a291-92dd-463c-b4ce-bef9e1476d36}">
    <Anchor>
      <Comment id="{6a3059ba-8ef0-4cb8-9dff-f18e9eaba9ca}"/>
    </Anchor>
    <History>
      <Event time="2025-01-02T05:02:17.00" id="{fc74e4fb-84c3-4713-b898-2cae8a27bcfa}">
        <Attribution userId="placeholder@email.com" userName="Aileen Munoz" userProvider="google-sheets"/>
        <Anchor>
          <Comment id="{6a3059ba-8ef0-4cb8-9dff-f18e9eaba9ca}"/>
        </Anchor>
        <Create/>
      </Event>
      <Event time="2025-01-02T05:02:17.00" id="{60d1da3d-b817-4916-9069-2cd169845b9b}">
        <Attribution userId="placeholder@email.com" userName="Aileen Munoz" userProvider="google-sheets"/>
        <Anchor>
          <Comment id="{6a3059ba-8ef0-4cb8-9dff-f18e9eaba9ca}"/>
        </Anchor>
        <Assign userId="jamesa@coryhometeam.com" userName="jamesa@coryhometeam.com" userProvider="google-sheets"/>
      </Event>
    </History>
  </Task>
  <Task id="{4c363365-88f0-4e3a-952a-a492abe1ca7b}">
    <Anchor>
      <Comment id="{faca8c53-7ab3-4109-906e-4820eb77f495}"/>
    </Anchor>
    <History>
      <Event time="2025-01-02T05:01:33.00" id="{832e9958-bae1-4fbd-b4ec-23568544fbe0}">
        <Attribution userId="placeholder@email.com" userName="Aileen Munoz" userProvider="google-sheets"/>
        <Anchor>
          <Comment id="{faca8c53-7ab3-4109-906e-4820eb77f495}"/>
        </Anchor>
        <Create/>
      </Event>
      <Event time="2025-01-02T05:01:33.00" id="{cbab6675-ac70-497e-ad01-2c58923edabb}">
        <Attribution userId="placeholder@email.com" userName="Aileen Munoz" userProvider="google-sheets"/>
        <Anchor>
          <Comment id="{faca8c53-7ab3-4109-906e-4820eb77f495}"/>
        </Anchor>
        <Assign userId="jamesa@coryhometeam.com" userName="jamesa@coryhometeam.com" userProvider="google-sheets"/>
      </Event>
    </History>
  </Task>
  <Task id="{f0ab628c-29df-4450-9b7b-4edad0575e21}">
    <Anchor>
      <Comment id="{9c4d7970-51a0-4bdd-ac8f-ed1ada337df3}"/>
    </Anchor>
    <History>
      <Event time="2025-01-02T04:18:21.00" id="{45fad51f-5719-454b-bd7f-aea224c6f11a}">
        <Attribution userId="placeholder@email.com" userName="Aileen Munoz" userProvider="google-sheets"/>
        <Anchor>
          <Comment id="{9c4d7970-51a0-4bdd-ac8f-ed1ada337df3}"/>
        </Anchor>
        <Create/>
      </Event>
      <Event time="2025-01-02T04:18:21.00" id="{9217de6d-697d-4974-b4dd-09a05c441c26}">
        <Attribution userId="placeholder@email.com" userName="Aileen Munoz" userProvider="google-sheets"/>
        <Anchor>
          <Comment id="{9c4d7970-51a0-4bdd-ac8f-ed1ada337df3}"/>
        </Anchor>
        <Assign userId="rafael@coryhometeam.com" userName="rafael@coryhometeam.com" userProvider="google-sheets"/>
      </Event>
    </History>
  </Task>
  <Task id="{77870825-68fd-4391-8bbd-22ffcded43cc}">
    <Anchor>
      <Comment id="{e3851954-bef0-4697-b2b2-b020906eb833}"/>
    </Anchor>
    <History>
      <Event time="2025-01-02T03:03:26.00" id="{9bfa40a3-6c5f-4d5a-881b-61eabe9c60a9}">
        <Attribution userId="placeholder@email.com" userName="Aileen Munoz" userProvider="google-sheets"/>
        <Anchor>
          <Comment id="{e3851954-bef0-4697-b2b2-b020906eb833}"/>
        </Anchor>
        <Create/>
      </Event>
      <Event time="2025-01-02T03:03:26.00" id="{71dbe2c5-6931-42f8-a5c8-d21f891b39a3}">
        <Attribution userId="placeholder@email.com" userName="Aileen Munoz" userProvider="google-sheets"/>
        <Anchor>
          <Comment id="{e3851954-bef0-4697-b2b2-b020906eb833}"/>
        </Anchor>
        <Assign userId="rafael@coryhometeam.com" userName="rafael@coryhometeam.com" userProvider="google-sheets"/>
      </Event>
    </History>
  </Task>
  <Task id="{feff5951-b960-4b85-b277-630eb9793df4}">
    <Anchor>
      <Comment id="{8c12c825-79e4-4f01-8e83-d33450e727db}"/>
    </Anchor>
    <History>
      <Event time="2025-01-02T03:00:45.00" id="{f4b9530d-5a2f-4a33-95cf-7c9f6a55821a}">
        <Attribution userId="placeholder@email.com" userName="Aileen Munoz" userProvider="google-sheets"/>
        <Anchor>
          <Comment id="{8c12c825-79e4-4f01-8e83-d33450e727db}"/>
        </Anchor>
        <Create/>
      </Event>
      <Event time="2025-01-02T03:00:45.00" id="{d8e034b2-edc4-448e-b8ca-b418baabf41d}">
        <Attribution userId="placeholder@email.com" userName="Aileen Munoz" userProvider="google-sheets"/>
        <Anchor>
          <Comment id="{8c12c825-79e4-4f01-8e83-d33450e727db}"/>
        </Anchor>
        <Assign userId="rafael@coryhometeam.com" userName="rafael@coryhometeam.com" userProvider="google-sheets"/>
      </Event>
    </History>
  </Task>
  <Task id="{fa55378c-0819-448d-b15c-bf334df3bf8b}">
    <Anchor>
      <Comment id="{43f63ad2-ad7b-41c5-bb5c-eefe03e363e4}"/>
    </Anchor>
    <History>
      <Event time="2025-01-02T04:41:50.00" id="{7e67760d-ace2-4fdc-89ea-876e7681ec03}">
        <Attribution userId="placeholder@email.com" userName="Aileen Munoz" userProvider="google-sheets"/>
        <Anchor>
          <Comment id="{43f63ad2-ad7b-41c5-bb5c-eefe03e363e4}"/>
        </Anchor>
        <Create/>
      </Event>
      <Event time="2025-01-02T04:41:50.00" id="{eb859e93-61fd-46df-8ce5-70e6090e9231}">
        <Attribution userId="placeholder@email.com" userName="Aileen Munoz" userProvider="google-sheets"/>
        <Anchor>
          <Comment id="{43f63ad2-ad7b-41c5-bb5c-eefe03e363e4}"/>
        </Anchor>
        <Assign userId="kenia@coryhometeam.com" userName="kenia@coryhometeam.com" userProvider="google-sheets"/>
      </Event>
    </History>
  </Task>
  <Task id="{e864bcdf-06f7-44ad-8ad3-f03eafe140d4}">
    <Anchor>
      <Comment id="{48ff2c17-7b71-4164-bc48-c32d345d53f5}"/>
    </Anchor>
    <History>
      <Event time="2026-05-20T19:07:36.00" id="{e51f4652-ceb9-4e0a-8951-b42a923aff5e}">
        <Attribution userId="placeholder@email.com" userName="Rafael Bernardo" userProvider="google-sheets"/>
        <Anchor>
          <Comment id="{48ff2c17-7b71-4164-bc48-c32d345d53f5}"/>
        </Anchor>
        <Create/>
      </Event>
      <Event time="2026-05-20T19:07:36.00" id="{5ca87e65-768d-4d7e-8126-56aa32466d20}">
        <Attribution userId="placeholder@email.com" userName="Rafael Bernardo" userProvider="google-sheets"/>
        <Anchor>
          <Comment id="{48ff2c17-7b71-4164-bc48-c32d345d53f5}"/>
        </Anchor>
        <Assign userId="isabel@coryhometeam.com" userName="isabel@coryhometeam.com" userProvider="google-sheets"/>
      </Event>
    </History>
  </Task>
  <Task id="{1f213025-5c12-4640-bdc0-5c9efd9229d1}">
    <Anchor>
      <Comment id="{d030e89e-e74b-4979-9b82-5ccc1668a72b}"/>
    </Anchor>
    <History>
      <Event time="2025-01-02T04:19:46.00" id="{19e3d397-398c-402f-9fac-4b15e604bb17}">
        <Attribution userId="placeholder@email.com" userName="Aileen Munoz" userProvider="google-sheets"/>
        <Anchor>
          <Comment id="{d030e89e-e74b-4979-9b82-5ccc1668a72b}"/>
        </Anchor>
        <Create/>
      </Event>
      <Event time="2025-01-02T04:19:46.00" id="{8a2f3122-1e46-4e7a-ab62-56430a210c32}">
        <Attribution userId="placeholder@email.com" userName="Aileen Munoz" userProvider="google-sheets"/>
        <Anchor>
          <Comment id="{d030e89e-e74b-4979-9b82-5ccc1668a72b}"/>
        </Anchor>
        <Assign userId="alexis@coryhometeam.com" userName="alexis@coryhometeam.com" userProvider="google-sheets"/>
      </Event>
    </History>
  </Task>
  <Task id="{fe9254b5-ce01-487b-af99-cf3be5bdbc9d}">
    <Anchor>
      <Comment id="{2b383d78-eba0-4140-99e4-5b4610923d51}"/>
    </Anchor>
    <History>
      <Event time="2025-01-02T04:19:14.00" id="{895c8373-f4c6-4ddf-bb39-fa2e750c35bc}">
        <Attribution userId="placeholder@email.com" userName="Aileen Munoz" userProvider="google-sheets"/>
        <Anchor>
          <Comment id="{554e8c30-6642-446d-8bcb-33f67b4d9b1a}"/>
        </Anchor>
        <Create/>
      </Event>
      <Event time="2025-01-02T04:19:14.00" id="{37d0cfb3-5e96-4244-be66-67a54d2b04fc}">
        <Attribution userId="placeholder@email.com" userName="Aileen Munoz" userProvider="google-sheets"/>
        <Anchor>
          <Comment id="{554e8c30-6642-446d-8bcb-33f67b4d9b1a}"/>
        </Anchor>
        <Assign userId="kenia@coryhometeam.com" userName="kenia@coryhometeam.com" userProvider="google-sheets"/>
      </Event>
    </History>
  </Task>
  <Task id="{4bed0ba5-6047-465e-9781-a2212dc4e128}">
    <Anchor>
      <Comment id="{d5dac387-6b19-40ad-a976-9a207ad837ed}"/>
    </Anchor>
    <History>
      <Event time="2025-10-02T17:18:39.00" id="{295b9305-3b0d-49e1-a406-067592e8bf17}">
        <Attribution userId="placeholder@email.com" userName="Jam Bernardo" userProvider="google-sheets"/>
        <Anchor>
          <Comment id="{d5dac387-6b19-40ad-a976-9a207ad837ed}"/>
        </Anchor>
        <Create/>
      </Event>
      <Event time="2025-10-02T17:18:39.00" id="{a124f450-4d8f-4388-8d0b-36833756290f}">
        <Attribution userId="placeholder@email.com" userName="Jam Bernardo" userProvider="google-sheets"/>
        <Anchor>
          <Comment id="{d5dac387-6b19-40ad-a976-9a207ad837ed}"/>
        </Anchor>
        <Assign userId="isabel@coryhometeam.com" userName="isabel@coryhometeam.com" userProvider="google-sheets"/>
      </Event>
    </History>
  </Task>
  <Task id="{57239a72-4ab1-44da-8ec6-155a50fd5289}">
    <Anchor>
      <Comment id="{2b66cb43-d025-43f4-b471-7327b89f3125}"/>
    </Anchor>
    <History>
      <Event time="2025-08-12T16:07:14.00" id="{75239dc9-2581-454d-9c67-dc0a9efc2cd1}">
        <Attribution userId="placeholder@email.com" userName="Kenia Bautista" userProvider="google-sheets"/>
        <Anchor>
          <Comment id="{2b66cb43-d025-43f4-b471-7327b89f3125}"/>
        </Anchor>
        <Create/>
      </Event>
      <Event time="2025-08-12T16:07:14.00" id="{65db6abf-13b7-4d13-8855-20b9e7005a8e}">
        <Attribution userId="placeholder@email.com" userName="Kenia Bautista" userProvider="google-sheets"/>
        <Anchor>
          <Comment id="{2b66cb43-d025-43f4-b471-7327b89f3125}"/>
        </Anchor>
        <Assign userId="aileen@coryhometeam.com" userName="aileen@coryhometeam.com" userProvider="google-sheets"/>
      </Event>
    </History>
  </Task>
  <Task id="{8782cb8c-a444-43e4-b951-82c95ff943dd}">
    <Anchor>
      <Comment id="{2e2c9e46-579c-4285-a911-ce9bd9374a2e}"/>
    </Anchor>
    <History>
      <Event time="2025-10-02T17:18:34.00" id="{f461f3a9-5545-4731-b9f8-92ac03f1967c}">
        <Attribution userId="placeholder@email.com" userName="Jam Bernardo" userProvider="google-sheets"/>
        <Anchor>
          <Comment id="{2e2c9e46-579c-4285-a911-ce9bd9374a2e}"/>
        </Anchor>
        <Create/>
      </Event>
      <Event time="2025-10-02T17:18:34.00" id="{e409605c-06e5-4717-bc89-0c9c8c3aa3e0}">
        <Attribution userId="placeholder@email.com" userName="Jam Bernardo" userProvider="google-sheets"/>
        <Anchor>
          <Comment id="{2e2c9e46-579c-4285-a911-ce9bd9374a2e}"/>
        </Anchor>
        <Assign userId="isabel@coryhometeam.com" userName="isabel@coryhometeam.com" userProvider="google-sheets"/>
      </Event>
    </History>
  </Task>
  <Task id="{9ea3eae2-829e-4c11-bc9c-1023558bd253}">
    <Anchor>
      <Comment id="{26bf6efd-66c3-44f7-9a0d-555919675540}"/>
    </Anchor>
    <History>
      <Event time="2025-07-29T23:57:28.00" id="{2df2af3d-84c9-4f69-b045-0484d3f2ff63}">
        <Attribution userId="placeholder@email.com" userName="Alexis Cassidy" userProvider="google-sheets"/>
        <Anchor>
          <Comment id="{26bf6efd-66c3-44f7-9a0d-555919675540}"/>
        </Anchor>
        <Create/>
      </Event>
      <Event time="2025-07-29T23:57:28.00" id="{c57e2e4a-50c4-4913-a84f-98f698c98c95}">
        <Attribution userId="placeholder@email.com" userName="Alexis Cassidy" userProvider="google-sheets"/>
        <Anchor>
          <Comment id="{26bf6efd-66c3-44f7-9a0d-555919675540}"/>
        </Anchor>
        <Assign userId="dana@coryhometeam.com" userName="dana@coryhometeam.com" userProvider="google-sheets"/>
      </Event>
    </History>
  </Task>
  <Task id="{22a593c9-515d-4737-89c7-b75c4779b48f}">
    <Anchor>
      <Comment id="{6a1f0086-691c-4ed7-a8e3-662fde5c6533}"/>
    </Anchor>
    <History>
      <Event time="2025-03-14T23:23:05.00" id="{acb54003-9c4f-4062-a45a-85eab379ced7}">
        <Attribution userId="placeholder@email.com" userName="Rafael Bernardo" userProvider="google-sheets"/>
        <Anchor>
          <Comment id="{6a1f0086-691c-4ed7-a8e3-662fde5c6533}"/>
        </Anchor>
        <Create/>
      </Event>
      <Event time="2025-03-14T23:23:05.00" id="{5e723a89-a0e9-455f-8b81-78690841010a}">
        <Attribution userId="placeholder@email.com" userName="Rafael Bernardo" userProvider="google-sheets"/>
        <Anchor>
          <Comment id="{6a1f0086-691c-4ed7-a8e3-662fde5c6533}"/>
        </Anchor>
        <Assign userId="isabel@coryhometeam.com" userName="isabel@coryhometeam.com" userProvider="google-sheets"/>
      </Event>
    </History>
  </Task>
  <Task id="{a4aa53da-3e83-4694-a414-eac78b7bc44a}">
    <Anchor>
      <Comment id="{b1c2d6a1-8037-4b1d-90f0-c74dc0113431}"/>
    </Anchor>
    <History>
      <Event time="2025-01-21T16:26:08.00" id="{feccbf9b-f70c-47aa-9efe-ece70db677fe}">
        <Attribution userId="placeholder@email.com" userName="Rafael Bernardo" userProvider="google-sheets"/>
        <Anchor>
          <Comment id="{b1c2d6a1-8037-4b1d-90f0-c74dc0113431}"/>
        </Anchor>
        <Create/>
      </Event>
      <Event time="2025-01-21T16:26:08.00" id="{f72c893a-4f1b-40ae-95c0-926e6c95af95}">
        <Attribution userId="placeholder@email.com" userName="Rafael Bernardo" userProvider="google-sheets"/>
        <Anchor>
          <Comment id="{b1c2d6a1-8037-4b1d-90f0-c74dc0113431}"/>
        </Anchor>
        <Assign userId="isabel@coryhometeam.com" userName="isabel@coryhometeam.com" userProvider="google-sheets"/>
      </Event>
    </History>
  </Task>
  <Task id="{1175c7cc-b1ce-42d6-b402-c57536d723fa}">
    <Anchor>
      <Comment id="{ef54a70e-adb7-4abc-b0e6-ca8ac1cf36f8}"/>
    </Anchor>
    <History>
      <Event time="2025-08-12T16:09:13.00" id="{37e0ea0b-fd34-43e7-aa71-7a9650694089}">
        <Attribution userId="placeholder@email.com" userName="Kenia Bautista" userProvider="google-sheets"/>
        <Anchor>
          <Comment id="{ef54a70e-adb7-4abc-b0e6-ca8ac1cf36f8}"/>
        </Anchor>
        <Create/>
      </Event>
      <Event time="2025-08-12T16:09:13.00" id="{fd624ee0-bdf3-4b9a-a6cc-48f16e39c5c3}">
        <Attribution userId="placeholder@email.com" userName="Kenia Bautista" userProvider="google-sheets"/>
        <Anchor>
          <Comment id="{ef54a70e-adb7-4abc-b0e6-ca8ac1cf36f8}"/>
        </Anchor>
        <Assign userId="aileen@coryhometeam.com" userName="aileen@coryhometeam.com" userProvider="google-sheets"/>
      </Event>
    </History>
  </Task>
  <Task id="{b4058341-8864-44d5-a5bd-02ba0ff61de2}">
    <Anchor>
      <Comment id="{a31d040e-053b-4e17-a54a-b7e9eb26bf3d}"/>
    </Anchor>
    <History>
      <Event time="2025-03-14T18:54:19.00" id="{5a964729-f9de-470f-95ae-7acc22a6cdbf}">
        <Attribution userId="placeholder@email.com" userName="Jam Bernardo" userProvider="google-sheets"/>
        <Anchor>
          <Comment id="{a31d040e-053b-4e17-a54a-b7e9eb26bf3d}"/>
        </Anchor>
        <Create/>
      </Event>
      <Event time="2025-03-14T18:54:19.00" id="{36030fe3-16f3-448c-b857-80c6f140ddd4}">
        <Attribution userId="placeholder@email.com" userName="Jam Bernardo" userProvider="google-sheets"/>
        <Anchor>
          <Comment id="{a31d040e-053b-4e17-a54a-b7e9eb26bf3d}"/>
        </Anchor>
        <Assign userId="isabel@coryhometeam.com" userName="isabel@coryhometeam.com" userProvider="google-sheets"/>
      </Event>
    </History>
  </Task>
  <Task id="{a4d7fe2f-314b-45ab-b672-f3065dbd4cb1}">
    <Anchor>
      <Comment id="{fa239c5b-35f7-4aee-9484-3d51ed451cc0}"/>
    </Anchor>
    <History>
      <Event time="2025-09-02T04:50:01.00" id="{69614500-0fc8-4220-bd2c-ffd921946539}">
        <Attribution userId="placeholder@email.com" userName="Remy Victoria" userProvider="google-sheets"/>
        <Anchor>
          <Comment id="{fa239c5b-35f7-4aee-9484-3d51ed451cc0}"/>
        </Anchor>
        <Create/>
      </Event>
      <Event time="2025-09-02T04:50:01.00" id="{d6589a35-1bd3-4c1f-9832-383bff778d5a}">
        <Attribution userId="placeholder@email.com" userName="Remy Victoria" userProvider="google-sheets"/>
        <Anchor>
          <Comment id="{fa239c5b-35f7-4aee-9484-3d51ed451cc0}"/>
        </Anchor>
        <Assign userId="kenia@coryhometeam.com" userName="kenia@coryhometeam.com" userProvider="google-sheets"/>
      </Event>
    </History>
  </Task>
  <Task id="{3efe3d24-8e64-444f-a1e2-713c4ebaf591}">
    <Anchor>
      <Comment id="{8842eb90-8862-41f8-9024-6c2017d266e7}"/>
    </Anchor>
    <History>
      <Event time="2025-08-12T15:48:30.00" id="{6662da1b-a7f2-49f5-8158-c5e2915d1ef5}">
        <Attribution userId="placeholder@email.com" userName="Rafael Bernardo" userProvider="google-sheets"/>
        <Anchor>
          <Comment id="{8842eb90-8862-41f8-9024-6c2017d266e7}"/>
        </Anchor>
        <Create/>
      </Event>
      <Event time="2025-08-12T15:48:30.00" id="{6c0cacf0-408c-44f8-8d5a-738507bbf9a0}">
        <Attribution userId="placeholder@email.com" userName="Rafael Bernardo" userProvider="google-sheets"/>
        <Anchor>
          <Comment id="{8842eb90-8862-41f8-9024-6c2017d266e7}"/>
        </Anchor>
        <Assign userId="isabel@coryhometeam.com" userName="isabel@coryhometeam.com" userProvider="google-sheets"/>
      </Event>
    </History>
  </Task>
  <Task id="{69484da2-50dc-4c23-9cbe-7af8ae8c6ca8}">
    <Anchor>
      <Comment id="{5ff35fab-9e5f-40ed-8505-0e49396a4b1b}"/>
    </Anchor>
    <History>
      <Event time="2025-10-02T17:24:31.00" id="{951e2fe6-c9b1-489c-bd1f-c2d73886816b}">
        <Attribution userId="placeholder@email.com" userName="Rafael Bernardo" userProvider="google-sheets"/>
        <Anchor>
          <Comment id="{5ff35fab-9e5f-40ed-8505-0e49396a4b1b}"/>
        </Anchor>
        <Create/>
      </Event>
      <Event time="2025-10-02T17:24:31.00" id="{fbde9e69-ed98-48cd-8b38-2f70c5efce20}">
        <Attribution userId="placeholder@email.com" userName="Rafael Bernardo" userProvider="google-sheets"/>
        <Anchor>
          <Comment id="{5ff35fab-9e5f-40ed-8505-0e49396a4b1b}"/>
        </Anchor>
        <Assign userId="isabel@coryhometeam.com" userName="isabel@coryhometeam.com" userProvider="google-sheets"/>
      </Event>
    </History>
  </Task>
  <Task id="{a98443ea-b7c5-4f56-9a20-66293b211c98}">
    <Anchor>
      <Comment id="{dc70d6c5-a1bd-4066-a3bd-8a47f8b80072}"/>
    </Anchor>
    <History>
      <Event time="2025-08-12T16:04:11.00" id="{bb758c67-01ad-4094-a303-ec188eda42e7}">
        <Attribution userId="placeholder@email.com" userName="Kenia Bautista" userProvider="google-sheets"/>
        <Anchor>
          <Comment id="{dc70d6c5-a1bd-4066-a3bd-8a47f8b80072}"/>
        </Anchor>
        <Create/>
      </Event>
      <Event time="2025-08-12T16:04:11.00" id="{4afca793-fcee-46f6-8390-ce785b86901c}">
        <Attribution userId="placeholder@email.com" userName="Kenia Bautista" userProvider="google-sheets"/>
        <Anchor>
          <Comment id="{dc70d6c5-a1bd-4066-a3bd-8a47f8b80072}"/>
        </Anchor>
        <Assign userId="aileen@coryhometeam.com" userName="aileen@coryhometeam.com" userProvider="google-sheets"/>
      </Event>
    </History>
  </Task>
  <Task id="{dcb7ef5d-ee6d-46a7-8e26-b51ca372008d}">
    <Anchor>
      <Comment id="{247a0403-fb84-461b-a9ad-e24e3c323f6c}"/>
    </Anchor>
    <History>
      <Event time="2025-04-14T18:03:13.00" id="{ccc0a6d0-dc06-4e74-8ff6-355c58049b1d}">
        <Attribution userId="placeholder@email.com" userName="Rafael Bernardo" userProvider="google-sheets"/>
        <Anchor>
          <Comment id="{247a0403-fb84-461b-a9ad-e24e3c323f6c}"/>
        </Anchor>
        <Create/>
      </Event>
      <Event time="2025-04-14T18:03:13.00" id="{93a0448e-7ab7-4d5c-a8a6-11cf90018e6f}">
        <Attribution userId="placeholder@email.com" userName="Rafael Bernardo" userProvider="google-sheets"/>
        <Anchor>
          <Comment id="{247a0403-fb84-461b-a9ad-e24e3c323f6c}"/>
        </Anchor>
        <Assign userId="isabel@coryhometeam.com" userName="isabel@coryhometeam.com" userProvider="google-sheets"/>
      </Event>
    </History>
  </Task>
  <Task id="{ba93f7ad-e1ba-4a77-a1a2-57806426582c}">
    <Anchor>
      <Comment id="{29a2b3fd-b819-48d3-9b10-8087f66cbe5a}"/>
    </Anchor>
    <History>
      <Event time="2025-04-28T19:02:32.00" id="{c4d64c38-f318-47c8-bfc2-8a9ae84dec8f}">
        <Attribution userId="placeholder@email.com" userName="Jam Bernardo" userProvider="google-sheets"/>
        <Anchor>
          <Comment id="{29a2b3fd-b819-48d3-9b10-8087f66cbe5a}"/>
        </Anchor>
        <Create/>
      </Event>
      <Event time="2025-04-28T19:02:32.00" id="{dd7a40f0-04fd-44c8-bb98-e8c64903dc0a}">
        <Attribution userId="placeholder@email.com" userName="Jam Bernardo" userProvider="google-sheets"/>
        <Anchor>
          <Comment id="{29a2b3fd-b819-48d3-9b10-8087f66cbe5a}"/>
        </Anchor>
        <Assign userId="isabel@coryhometeam.com" userName="isabel@coryhometeam.com" userProvider="google-sheets"/>
      </Event>
    </History>
  </Task>
  <Task id="{fbae30ed-cdb1-4fc6-bd9d-84802680fdcf}">
    <Anchor>
      <Comment id="{431c41a0-e38d-4323-8a38-81764a41356c}"/>
    </Anchor>
    <History>
      <Event time="2025-08-20T16:25:27.00" id="{5607bf34-5054-4551-95ca-b162402ccf14}">
        <Attribution userId="placeholder@email.com" userName="Jam Bernardo" userProvider="google-sheets"/>
        <Anchor>
          <Comment id="{431c41a0-e38d-4323-8a38-81764a41356c}"/>
        </Anchor>
        <Create/>
      </Event>
      <Event time="2025-08-20T16:25:27.00" id="{ec940c28-6007-4142-bcea-02731cf6204f}">
        <Attribution userId="placeholder@email.com" userName="Jam Bernardo" userProvider="google-sheets"/>
        <Anchor>
          <Comment id="{431c41a0-e38d-4323-8a38-81764a41356c}"/>
        </Anchor>
        <Assign userId="isabel@coryhometeam.com" userName="isabel@coryhometeam.com" userProvider="google-sheets"/>
      </Event>
    </History>
  </Task>
  <Task id="{79ba31a2-b196-4ef3-81a2-0be78374d0e1}">
    <Anchor>
      <Comment id="{56e597ff-08d2-413e-84af-f4e1b4a7af79}"/>
    </Anchor>
    <History>
      <Event time="2025-08-20T14:47:18.00" id="{76d812a4-f903-4b78-a1d9-ba58576eae8d}">
        <Attribution userId="placeholder@email.com" userName="Rafael Bernardo" userProvider="google-sheets"/>
        <Anchor>
          <Comment id="{56e597ff-08d2-413e-84af-f4e1b4a7af79}"/>
        </Anchor>
        <Create/>
      </Event>
      <Event time="2025-08-20T14:47:18.00" id="{a38436ee-ad50-42b0-b78e-1706a70d4968}">
        <Attribution userId="placeholder@email.com" userName="Rafael Bernardo" userProvider="google-sheets"/>
        <Anchor>
          <Comment id="{56e597ff-08d2-413e-84af-f4e1b4a7af79}"/>
        </Anchor>
        <Assign userId="isabel@coryhometeam.com" userName="isabel@coryhometeam.com" userProvider="google-sheets"/>
      </Event>
    </History>
  </Task>
  <Task id="{61a7ec80-0ed2-42d6-a959-eba811e492f1}">
    <Anchor>
      <Comment id="{394e9f28-6c40-4d13-a119-3c20b39ae5b4}"/>
    </Anchor>
    <History>
      <Event time="2025-08-20T14:49:59.00" id="{d1dad453-548f-402d-8347-80202a26eadb}">
        <Attribution userId="placeholder@email.com" userName="Rafael Bernardo" userProvider="google-sheets"/>
        <Anchor>
          <Comment id="{394e9f28-6c40-4d13-a119-3c20b39ae5b4}"/>
        </Anchor>
        <Create/>
      </Event>
      <Event time="2025-08-20T14:49:59.00" id="{77346c0d-ea2f-4e48-a5eb-d1cfacd692c2}">
        <Attribution userId="placeholder@email.com" userName="Rafael Bernardo" userProvider="google-sheets"/>
        <Anchor>
          <Comment id="{394e9f28-6c40-4d13-a119-3c20b39ae5b4}"/>
        </Anchor>
        <Assign userId="isabel@coryhometeam.com" userName="isabel@coryhometeam.com" userProvider="google-sheets"/>
      </Event>
    </History>
  </Task>
  <Task id="{592e515d-7f46-44cc-a49a-82e657aaa89a}">
    <Anchor>
      <Comment id="{ae462318-b430-4aa1-b6ed-92e9b71955c7}"/>
    </Anchor>
    <History>
      <Event time="2025-04-14T18:13:20.00" id="{139be725-87fe-4fb4-a3b8-54e64f372e3a}">
        <Attribution userId="placeholder@email.com" userName="Jam Bernardo" userProvider="google-sheets"/>
        <Anchor>
          <Comment id="{ae462318-b430-4aa1-b6ed-92e9b71955c7}"/>
        </Anchor>
        <Create/>
      </Event>
      <Event time="2025-04-14T18:13:20.00" id="{db7f316e-7ec4-4ef8-9e8f-2eb5f0c1c3d0}">
        <Attribution userId="placeholder@email.com" userName="Jam Bernardo" userProvider="google-sheets"/>
        <Anchor>
          <Comment id="{ae462318-b430-4aa1-b6ed-92e9b71955c7}"/>
        </Anchor>
        <Assign userId="isabel@coryhometeam.com" userName="isabel@coryhometeam.com" userProvider="google-sheets"/>
      </Event>
    </History>
  </Task>
  <Task id="{67ed846b-68b2-446b-9285-53e484ca7354}">
    <Anchor>
      <Comment id="{f1b8f9b0-110f-4afe-9326-88ff65fdd5b5}"/>
    </Anchor>
    <History>
      <Event time="2025-10-24T18:09:32.00" id="{c9f621e0-58fd-4292-bda1-0ff6dc78c1a7}">
        <Attribution userId="placeholder@email.com" userName="Dana Martinez" userProvider="google-sheets"/>
        <Anchor>
          <Comment id="{f1b8f9b0-110f-4afe-9326-88ff65fdd5b5}"/>
        </Anchor>
        <Create/>
      </Event>
      <Event time="2025-10-24T18:09:32.00" id="{f2cb5181-a5d8-4fe7-95a2-9d716460885d}">
        <Attribution userId="placeholder@email.com" userName="Dana Martinez" userProvider="google-sheets"/>
        <Anchor>
          <Comment id="{f1b8f9b0-110f-4afe-9326-88ff65fdd5b5}"/>
        </Anchor>
        <Assign userId="isabel@coryhometeam.com" userName="isabel@coryhometeam.com" userProvider="google-sheets"/>
      </Event>
    </History>
  </Task>
  <Task id="{f6da3b4c-7de2-48e4-9b78-b5dc2db7dbc7}">
    <Anchor>
      <Comment id="{ea9cee1e-1080-4df1-9eb7-db4f2b968129}"/>
    </Anchor>
    <History>
      <Event time="2025-03-13T18:17:45.00" id="{15a079dc-3d13-4e38-923b-44f96cc25524}">
        <Attribution userId="placeholder@email.com" userName="Rafael Bernardo" userProvider="google-sheets"/>
        <Anchor>
          <Comment id="{ea9cee1e-1080-4df1-9eb7-db4f2b968129}"/>
        </Anchor>
        <Create/>
      </Event>
      <Event time="2025-03-13T18:17:45.00" id="{dcd43874-71de-49ea-88dd-8f3c08442006}">
        <Attribution userId="placeholder@email.com" userName="Rafael Bernardo" userProvider="google-sheets"/>
        <Anchor>
          <Comment id="{ea9cee1e-1080-4df1-9eb7-db4f2b968129}"/>
        </Anchor>
        <Assign userId="isabel@coryhometeam.com" userName="isabel@coryhometeam.com" userProvider="google-sheets"/>
      </Event>
    </History>
  </Task>
  <Task id="{a383597f-21f6-4ea2-ae0f-681b7dd78beb}">
    <Anchor>
      <Comment id="{ceb80ee5-37da-4935-bbb1-cdcec76fa65b}"/>
    </Anchor>
    <History>
      <Event time="2025-07-21T17:49:44.00" id="{cd86399d-abb9-464d-9658-662b845dbb66}">
        <Attribution userId="placeholder@email.com" userName="Rafael Bernardo" userProvider="google-sheets"/>
        <Anchor>
          <Comment id="{ceb80ee5-37da-4935-bbb1-cdcec76fa65b}"/>
        </Anchor>
        <Create/>
      </Event>
      <Event time="2025-07-21T17:49:44.00" id="{01e138f4-6b09-4cce-9da2-4b85e0eafc99}">
        <Attribution userId="placeholder@email.com" userName="Rafael Bernardo" userProvider="google-sheets"/>
        <Anchor>
          <Comment id="{ceb80ee5-37da-4935-bbb1-cdcec76fa65b}"/>
        </Anchor>
        <Assign userId="isabel@coryhometeam.com" userName="isabel@coryhometeam.com" userProvider="google-sheets"/>
      </Event>
    </History>
  </Task>
  <Task id="{48db4b16-d184-4e36-bb5a-e1a1302e1c8b}">
    <Anchor>
      <Comment id="{89da9ed4-9b80-4a2e-962f-889848aa0fa6}"/>
    </Anchor>
    <History>
      <Event time="2025-04-25T08:41:16.00" id="{9c77407b-a5cf-4939-b73f-1fde9c8a1317}">
        <Attribution userId="placeholder@email.com" userName="Rafael Bernardo" userProvider="google-sheets"/>
        <Anchor>
          <Comment id="{89da9ed4-9b80-4a2e-962f-889848aa0fa6}"/>
        </Anchor>
        <Create/>
      </Event>
      <Event time="2025-04-25T08:41:16.00" id="{a32d7fad-fd7d-4196-8614-1359ed3da788}">
        <Attribution userId="placeholder@email.com" userName="Rafael Bernardo" userProvider="google-sheets"/>
        <Anchor>
          <Comment id="{89da9ed4-9b80-4a2e-962f-889848aa0fa6}"/>
        </Anchor>
        <Assign userId="isabel@coryhometeam.com" userName="isabel@coryhometeam.com" userProvider="google-sheets"/>
      </Event>
    </History>
  </Task>
  <Task id="{ae128b83-08c5-410a-a96e-8dc9a33fc757}">
    <Anchor>
      <Comment id="{4d7add7b-3030-4972-b2b3-db92fae7c047}"/>
    </Anchor>
    <History>
      <Event time="2025-02-05T16:14:19.00" id="{025b1870-06d8-413f-b238-44493cc9f95a}">
        <Attribution userId="placeholder@email.com" userName="Rafael Bernardo" userProvider="google-sheets"/>
        <Anchor>
          <Comment id="{4d7add7b-3030-4972-b2b3-db92fae7c047}"/>
        </Anchor>
        <Create/>
      </Event>
      <Event time="2025-02-05T16:14:19.00" id="{8f7bf62a-c118-46d3-872d-1aa347492ff5}">
        <Attribution userId="placeholder@email.com" userName="Rafael Bernardo" userProvider="google-sheets"/>
        <Anchor>
          <Comment id="{4d7add7b-3030-4972-b2b3-db92fae7c047}"/>
        </Anchor>
        <Assign userId="isabel@coryhometeam.com" userName="isabel@coryhometeam.com" userProvider="google-sheets"/>
      </Event>
    </History>
  </Task>
  <Task id="{a315fc7b-9e9d-46da-a72e-0adaa45c608e}">
    <Anchor>
      <Comment id="{cc9a1982-89ca-4b46-a160-16d62d0db563}"/>
    </Anchor>
    <History>
      <Event time="2025-06-16T17:56:57.00" id="{0d84d8e4-a0b2-4589-bfb3-46da31700fc8}">
        <Attribution userId="placeholder@email.com" userName="Jam Bernardo" userProvider="google-sheets"/>
        <Anchor>
          <Comment id="{cc9a1982-89ca-4b46-a160-16d62d0db563}"/>
        </Anchor>
        <Create/>
      </Event>
      <Event time="2025-06-16T17:56:57.00" id="{28655313-df9f-4a98-8d34-a12ebae3b84a}">
        <Attribution userId="placeholder@email.com" userName="Jam Bernardo" userProvider="google-sheets"/>
        <Anchor>
          <Comment id="{cc9a1982-89ca-4b46-a160-16d62d0db563}"/>
        </Anchor>
        <Assign userId="isabel@coryhometeam.com" userName="isabel@coryhometeam.com" userProvider="google-sheets"/>
      </Event>
    </History>
  </Task>
  <Task id="{18fff502-5219-440a-be9e-f43de2a48b12}">
    <Anchor>
      <Comment id="{a095c97d-d458-48db-95e5-b19c905051fe}"/>
    </Anchor>
    <History>
      <Event time="2025-04-25T07:36:32.00" id="{1cb74f69-68f2-439c-98ab-65e6f8baa935}">
        <Attribution userId="placeholder@email.com" userName="Rafael Bernardo" userProvider="google-sheets"/>
        <Anchor>
          <Comment id="{a095c97d-d458-48db-95e5-b19c905051fe}"/>
        </Anchor>
        <Create/>
      </Event>
      <Event time="2025-04-25T07:36:32.00" id="{c4cfcccf-12b2-4ce3-864a-8e9e80ba853f}">
        <Attribution userId="placeholder@email.com" userName="Rafael Bernardo" userProvider="google-sheets"/>
        <Anchor>
          <Comment id="{a095c97d-d458-48db-95e5-b19c905051fe}"/>
        </Anchor>
        <Assign userId="isabel@coryhometeam.com" userName="isabel@coryhometeam.com" userProvider="google-sheets"/>
      </Event>
    </History>
  </Task>
  <Task id="{dd9a8ada-f97f-4f11-b6da-47813e01bc07}">
    <Anchor>
      <Comment id="{00de8bae-67f0-4fa1-a302-442b5c908ac4}"/>
    </Anchor>
    <History>
      <Event time="2025-02-05T15:59:14.00" id="{1573ac8e-d668-407d-bfcf-2cf57a004e90}">
        <Attribution userId="placeholder@email.com" userName="Rafael Bernardo" userProvider="google-sheets"/>
        <Anchor>
          <Comment id="{00de8bae-67f0-4fa1-a302-442b5c908ac4}"/>
        </Anchor>
        <Create/>
      </Event>
      <Event time="2025-02-05T15:59:14.00" id="{01da5005-ce0d-4485-8e81-3a81bcf91db3}">
        <Attribution userId="placeholder@email.com" userName="Rafael Bernardo" userProvider="google-sheets"/>
        <Anchor>
          <Comment id="{00de8bae-67f0-4fa1-a302-442b5c908ac4}"/>
        </Anchor>
        <Assign userId="isabel@coryhometeam.com" userName="isabel@coryhometeam.com" userProvider="google-sheets"/>
      </Event>
    </History>
  </Task>
  <Task id="{91d101b9-2231-4834-ab2c-47b7e88fdd92}">
    <Anchor>
      <Comment id="{281098b5-cd69-48ae-b123-1029dc0bb073}"/>
    </Anchor>
    <History>
      <Event time="2025-06-16T18:01:47.00" id="{1c9c0e97-0571-45ee-9ca6-fe9a75e0006d}">
        <Attribution userId="placeholder@email.com" userName="Jam Bernardo" userProvider="google-sheets"/>
        <Anchor>
          <Comment id="{281098b5-cd69-48ae-b123-1029dc0bb073}"/>
        </Anchor>
        <Create/>
      </Event>
      <Event time="2025-06-16T18:01:47.00" id="{21893cd0-48c7-4ad8-aa6b-85441517af7b}">
        <Attribution userId="placeholder@email.com" userName="Jam Bernardo" userProvider="google-sheets"/>
        <Anchor>
          <Comment id="{281098b5-cd69-48ae-b123-1029dc0bb073}"/>
        </Anchor>
        <Assign userId="isabel@coryhometeam.com" userName="isabel@coryhometeam.com" userProvider="google-sheets"/>
      </Event>
    </History>
  </Task>
  <Task id="{6ca7c64e-9bd9-4483-ad2d-e4145999c4ed}">
    <Anchor>
      <Comment id="{2a36c715-1b14-4c90-bdef-1a1d8be7516d}"/>
    </Anchor>
    <History>
      <Event time="2025-06-16T18:05:29.00" id="{67e871d5-5f9c-459f-b7e7-71cb9a897cda}">
        <Attribution userId="placeholder@email.com" userName="Jam Bernardo" userProvider="google-sheets"/>
        <Anchor>
          <Comment id="{2a36c715-1b14-4c90-bdef-1a1d8be7516d}"/>
        </Anchor>
        <Create/>
      </Event>
      <Event time="2025-06-16T18:05:29.00" id="{8c39167b-6fee-4b16-8e91-c19c3edbe1f1}">
        <Attribution userId="placeholder@email.com" userName="Jam Bernardo" userProvider="google-sheets"/>
        <Anchor>
          <Comment id="{2a36c715-1b14-4c90-bdef-1a1d8be7516d}"/>
        </Anchor>
        <Assign userId="isabel@coryhometeam.com" userName="isabel@coryhometeam.com" userProvider="google-sheets"/>
      </Event>
    </History>
  </Task>
  <Task id="{81dcafc9-8ac4-4f50-9786-2eaa7c2a6512}">
    <Anchor>
      <Comment id="{a304a7a2-8c86-4e0b-8f64-6c710379e4b0}"/>
    </Anchor>
    <History>
      <Event time="2025-04-01T11:25:03.00" id="{8938f04d-bce4-4b0c-aeaa-0f43dd201a26}">
        <Attribution userId="placeholder@email.com" userName="Rafael Bernardo" userProvider="google-sheets"/>
        <Anchor>
          <Comment id="{a304a7a2-8c86-4e0b-8f64-6c710379e4b0}"/>
        </Anchor>
        <Create/>
      </Event>
      <Event time="2025-04-01T11:25:03.00" id="{93505275-cc03-43df-932f-b7648b1789a0}">
        <Attribution userId="placeholder@email.com" userName="Rafael Bernardo" userProvider="google-sheets"/>
        <Anchor>
          <Comment id="{a304a7a2-8c86-4e0b-8f64-6c710379e4b0}"/>
        </Anchor>
        <Assign userId="isabel@coryhometeam.com" userName="isabel@coryhometeam.com" userProvider="google-sheets"/>
      </Event>
    </History>
  </Task>
  <Task id="{ec8a3c58-76bb-4bb0-9faa-2dda743fc5d9}">
    <Anchor>
      <Comment id="{546f4967-bf0b-4516-aa6a-a7e3407269e4}"/>
    </Anchor>
    <History>
      <Event time="2025-03-31T17:34:08.00" id="{a91660b6-4135-4440-85f1-ce525b353a92}">
        <Attribution userId="placeholder@email.com" userName="Rafael Bernardo" userProvider="google-sheets"/>
        <Anchor>
          <Comment id="{546f4967-bf0b-4516-aa6a-a7e3407269e4}"/>
        </Anchor>
        <Create/>
      </Event>
      <Event time="2025-03-31T17:34:08.00" id="{13eb72dd-37d0-4af6-a719-f57e0c3911a9}">
        <Attribution userId="placeholder@email.com" userName="Rafael Bernardo" userProvider="google-sheets"/>
        <Anchor>
          <Comment id="{546f4967-bf0b-4516-aa6a-a7e3407269e4}"/>
        </Anchor>
        <Assign userId="isabel@coryhometeam.com" userName="isabel@coryhometeam.com" userProvider="google-sheets"/>
      </Event>
    </History>
  </Task>
  <Task id="{9d66f720-c19e-4292-8dc8-968e419a4665}">
    <Anchor>
      <Comment id="{8f85705f-b813-4a01-a81f-fff790634c9d}"/>
    </Anchor>
    <History>
      <Event time="2025-01-14T16:52:58.00" id="{e10f0261-791e-4436-b9d7-84a9db4baea4}">
        <Attribution userId="placeholder@email.com" userName="Rafael Bernardo" userProvider="google-sheets"/>
        <Anchor>
          <Comment id="{8f85705f-b813-4a01-a81f-fff790634c9d}"/>
        </Anchor>
        <Create/>
      </Event>
      <Event time="2025-01-14T16:52:58.00" id="{3e7c76df-d53d-44b4-8dda-19190666355e}">
        <Attribution userId="placeholder@email.com" userName="Rafael Bernardo" userProvider="google-sheets"/>
        <Anchor>
          <Comment id="{8f85705f-b813-4a01-a81f-fff790634c9d}"/>
        </Anchor>
        <Assign userId="isabel@coryhometeam.com" userName="isabel@coryhometeam.com" userProvider="google-sheets"/>
      </Event>
    </History>
  </Task>
  <Task id="{f65ed399-51fe-44c1-a294-952ba149140b}">
    <Anchor>
      <Comment id="{5f4b8044-5d9d-4221-9e44-89fcef17ad41}"/>
    </Anchor>
    <History>
      <Event time="2025-01-06T17:33:21.00" id="{5caa23fb-46a9-407b-8ab9-122b8ffebddf}">
        <Attribution userId="placeholder@email.com" userName="Jam Bernardo" userProvider="google-sheets"/>
        <Anchor>
          <Comment id="{5f4b8044-5d9d-4221-9e44-89fcef17ad41}"/>
        </Anchor>
        <Create/>
      </Event>
      <Event time="2025-01-06T17:33:21.00" id="{20d0a04c-19c9-464a-b4c1-3f30c15eee53}">
        <Attribution userId="placeholder@email.com" userName="Jam Bernardo" userProvider="google-sheets"/>
        <Anchor>
          <Comment id="{5f4b8044-5d9d-4221-9e44-89fcef17ad41}"/>
        </Anchor>
        <Assign userId="isabel@coryhometeam.com" userName="isabel@coryhometeam.com" userProvider="google-sheets"/>
      </Event>
    </History>
  </Task>
  <Task id="{9ad2c385-9106-455f-a59f-c6d1095c733c}">
    <Anchor>
      <Comment id="{87e52c5c-ad2c-48d4-a674-61a771fdd4bd}"/>
    </Anchor>
    <History>
      <Event time="2025-04-25T07:19:48.00" id="{710d438b-b42b-41a6-9f7d-3d73fa497e47}">
        <Attribution userId="placeholder@email.com" userName="Rafael Bernardo" userProvider="google-sheets"/>
        <Anchor>
          <Comment id="{87e52c5c-ad2c-48d4-a674-61a771fdd4bd}"/>
        </Anchor>
        <Create/>
      </Event>
      <Event time="2025-04-25T07:19:48.00" id="{899d253f-518a-4c1b-b113-0513698ab119}">
        <Attribution userId="placeholder@email.com" userName="Rafael Bernardo" userProvider="google-sheets"/>
        <Anchor>
          <Comment id="{87e52c5c-ad2c-48d4-a674-61a771fdd4bd}"/>
        </Anchor>
        <Assign userId="isabel@coryhometeam.com" userName="isabel@coryhometeam.com" userProvider="google-sheets"/>
      </Event>
    </History>
  </Task>
  <Task id="{2737a4d1-e17b-47b0-9ef4-2a2600c26f96}">
    <Anchor>
      <Comment id="{c02b782c-c988-4333-b899-3629f2ec85a4}"/>
    </Anchor>
    <History>
      <Event time="2025-01-20T16:37:50.00" id="{e5c50b76-92ef-4f48-9989-534ba819f440}">
        <Attribution userId="placeholder@email.com" userName="Rafael Bernardo" userProvider="google-sheets"/>
        <Anchor>
          <Comment id="{c02b782c-c988-4333-b899-3629f2ec85a4}"/>
        </Anchor>
        <Create/>
      </Event>
      <Event time="2025-01-20T16:37:50.00" id="{7c4663a0-d4dc-498d-812f-0d8bab249dbf}">
        <Attribution userId="placeholder@email.com" userName="Rafael Bernardo" userProvider="google-sheets"/>
        <Anchor>
          <Comment id="{c02b782c-c988-4333-b899-3629f2ec85a4}"/>
        </Anchor>
        <Assign userId="isabel@coryhometeam.com" userName="isabel@coryhometeam.com" userProvider="google-sheets"/>
      </Event>
    </History>
  </Task>
  <Task id="{98d35868-a9ac-4f70-bb0a-eae311c4a618}">
    <Anchor>
      <Comment id="{c974aad7-9995-4051-8e1f-df838b6b2559}"/>
    </Anchor>
    <History>
      <Event time="2025-12-03T20:14:01.00" id="{2dc48c90-1aec-47bd-948c-6210b8599d5f}">
        <Attribution userId="placeholder@email.com" userName="Rafael Bernardo" userProvider="google-sheets"/>
        <Anchor>
          <Comment id="{c974aad7-9995-4051-8e1f-df838b6b2559}"/>
        </Anchor>
        <Create/>
      </Event>
      <Event time="2025-12-03T20:14:01.00" id="{f0b043c6-0000-4bc6-b3f1-53404d17a9ec}">
        <Attribution userId="placeholder@email.com" userName="Rafael Bernardo" userProvider="google-sheets"/>
        <Anchor>
          <Comment id="{c974aad7-9995-4051-8e1f-df838b6b2559}"/>
        </Anchor>
        <Assign userId="isabel@coryhometeam.com" userName="isabel@coryhometeam.com" userProvider="google-sheets"/>
      </Event>
    </History>
  </Task>
  <Task id="{4ab3d5d0-7e9d-4aa7-9604-2c8e43db1ef9}">
    <Anchor>
      <Comment id="{bd68f8eb-3e28-448f-b24f-292ffbe8e587}"/>
    </Anchor>
    <History>
      <Event time="2025-01-06T16:19:33.00" id="{aecaa89d-7fbf-4973-adb0-ea8be7d3216a}">
        <Attribution userId="placeholder@email.com" userName="Rafael Bernardo" userProvider="google-sheets"/>
        <Anchor>
          <Comment id="{bd68f8eb-3e28-448f-b24f-292ffbe8e587}"/>
        </Anchor>
        <Create/>
      </Event>
      <Event time="2025-01-06T16:19:33.00" id="{f5cba3ce-820c-4930-a8b3-0497cee3043c}">
        <Attribution userId="placeholder@email.com" userName="Rafael Bernardo" userProvider="google-sheets"/>
        <Anchor>
          <Comment id="{bd68f8eb-3e28-448f-b24f-292ffbe8e587}"/>
        </Anchor>
        <Assign userId="isabel@coryhometeam.com" userName="isabel@coryhometeam.com" userProvider="google-sheets"/>
      </Event>
    </History>
  </Task>
  <Task id="{2102d818-bb85-44f0-8b16-3ef6a8eef1a4}">
    <Anchor>
      <Comment id="{d6ae509d-b88f-4d8b-8690-040af4038d8e}"/>
    </Anchor>
    <History>
      <Event time="2025-10-06T23:36:26.00" id="{527602e7-07a5-41cd-af24-2553be229802}">
        <Attribution userId="placeholder@email.com" userName="Jam Bernardo" userProvider="google-sheets"/>
        <Anchor>
          <Comment id="{d6ae509d-b88f-4d8b-8690-040af4038d8e}"/>
        </Anchor>
        <Create/>
      </Event>
      <Event time="2025-10-06T23:36:26.00" id="{5bb47882-414d-46ab-a0da-3ae11442a038}">
        <Attribution userId="placeholder@email.com" userName="Jam Bernardo" userProvider="google-sheets"/>
        <Anchor>
          <Comment id="{d6ae509d-b88f-4d8b-8690-040af4038d8e}"/>
        </Anchor>
        <Assign userId="isabel@coryhometeam.com" userName="isabel@coryhometeam.com" userProvider="google-sheets"/>
      </Event>
    </History>
  </Task>
  <Task id="{380d2bd6-f6bd-41ea-8821-c957eba2b6cf}">
    <Anchor>
      <Comment id="{f2674401-d052-43da-adfc-0a39234a27b9}"/>
    </Anchor>
    <History>
      <Event time="2025-04-29T10:38:46.00" id="{e3780569-baf1-4bba-b76c-2d13f9408ffa}">
        <Attribution userId="placeholder@email.com" userName="Rafael Bernardo" userProvider="google-sheets"/>
        <Anchor>
          <Comment id="{f2674401-d052-43da-adfc-0a39234a27b9}"/>
        </Anchor>
        <Create/>
      </Event>
      <Event time="2025-04-29T10:38:46.00" id="{54b57c10-94f5-47d5-84d4-1b2a8a7c6b22}">
        <Attribution userId="placeholder@email.com" userName="Rafael Bernardo" userProvider="google-sheets"/>
        <Anchor>
          <Comment id="{f2674401-d052-43da-adfc-0a39234a27b9}"/>
        </Anchor>
        <Assign userId="kenia@coryhometeam.com" userName="kenia@coryhometeam.com" userProvider="google-sheets"/>
      </Event>
    </History>
  </Task>
  <Task id="{69b954de-2e7e-4209-b848-e513f877127f}">
    <Anchor>
      <Comment id="{5208a200-ddf5-402f-814f-b0ce0c9dc009}"/>
    </Anchor>
    <History>
      <Event time="2025-10-06T23:33:09.00" id="{7ee84f4e-9d9e-46d0-acf4-68412e799839}">
        <Attribution userId="placeholder@email.com" userName="Jam Bernardo" userProvider="google-sheets"/>
        <Anchor>
          <Comment id="{5208a200-ddf5-402f-814f-b0ce0c9dc009}"/>
        </Anchor>
        <Create/>
      </Event>
      <Event time="2025-10-06T23:33:09.00" id="{e0779780-6277-4a24-8365-f8e0d2acc882}">
        <Attribution userId="placeholder@email.com" userName="Jam Bernardo" userProvider="google-sheets"/>
        <Anchor>
          <Comment id="{5208a200-ddf5-402f-814f-b0ce0c9dc009}"/>
        </Anchor>
        <Assign userId="isabel@coryhometeam.com" userName="isabel@coryhometeam.com" userProvider="google-sheets"/>
      </Event>
    </History>
  </Task>
  <Task id="{6159b850-050a-4f5c-afa0-5a8cdfba701a}">
    <Anchor>
      <Comment id="{41a7a8a3-867a-414f-93c1-1bac06efe37c}"/>
    </Anchor>
    <History>
      <Event time="2025-04-10T17:16:39.00" id="{a4a9e769-512c-4c85-90e9-654a74b4b530}">
        <Attribution userId="placeholder@email.com" userName="Jam Bernardo" userProvider="google-sheets"/>
        <Anchor>
          <Comment id="{41a7a8a3-867a-414f-93c1-1bac06efe37c}"/>
        </Anchor>
        <Create/>
      </Event>
      <Event time="2025-04-10T17:16:39.00" id="{196ff08d-f907-46cb-8923-7b00f21cc141}">
        <Attribution userId="placeholder@email.com" userName="Jam Bernardo" userProvider="google-sheets"/>
        <Anchor>
          <Comment id="{41a7a8a3-867a-414f-93c1-1bac06efe37c}"/>
        </Anchor>
        <Assign userId="isabel@coryhometeam.com" userName="isabel@coryhometeam.com" userProvider="google-sheets"/>
      </Event>
    </History>
  </Task>
  <Task id="{b2d001c7-90bd-4a7b-8447-2db8088c0b80}">
    <Anchor>
      <Comment id="{82bcb60c-467e-4859-909c-b978f15b54d0}"/>
    </Anchor>
    <History>
      <Event time="2025-12-04T00:48:50.00" id="{255a60e9-b7d3-408e-b5fd-f50c541e0fcf}">
        <Attribution userId="placeholder@email.com" userName="Alexis Cassidy" userProvider="google-sheets"/>
        <Anchor>
          <Comment id="{82bcb60c-467e-4859-909c-b978f15b54d0}"/>
        </Anchor>
        <Create/>
      </Event>
      <Event time="2025-12-04T00:48:50.00" id="{566b452b-0b4a-497c-90e3-3073accd0e22}">
        <Attribution userId="placeholder@email.com" userName="Alexis Cassidy" userProvider="google-sheets"/>
        <Anchor>
          <Comment id="{82bcb60c-467e-4859-909c-b978f15b54d0}"/>
        </Anchor>
        <Assign userId="dana@coryhometeam.com" userName="dana@coryhometeam.com" userProvider="google-sheets"/>
      </Event>
    </History>
  </Task>
  <Task id="{656144f3-281a-47e5-9382-42b38035ecdf}">
    <Anchor>
      <Comment id="{e0ecd005-03d8-4aa4-a108-f15d783b7eab}"/>
    </Anchor>
    <History>
      <Event time="2025-10-14T14:52:01.00" id="{613f177b-f313-4011-a3ac-c830457b050a}">
        <Attribution userId="placeholder@email.com" userName="Rafael Bernardo" userProvider="google-sheets"/>
        <Anchor>
          <Comment id="{e0ecd005-03d8-4aa4-a108-f15d783b7eab}"/>
        </Anchor>
        <Create/>
      </Event>
      <Event time="2025-10-14T14:52:01.00" id="{3e1a3129-a2d3-43f0-a3f6-5e97dda2eb39}">
        <Attribution userId="placeholder@email.com" userName="Rafael Bernardo" userProvider="google-sheets"/>
        <Anchor>
          <Comment id="{e0ecd005-03d8-4aa4-a108-f15d783b7eab}"/>
        </Anchor>
        <Assign userId="isabel@coryhometeam.com" userName="isabel@coryhometeam.com" userProvider="google-sheets"/>
      </Event>
    </History>
  </Task>
  <Task id="{92f82bab-95cc-4094-85e9-f1de58633833}">
    <Anchor>
      <Comment id="{9463f9d9-b204-4315-9ecb-c45418777baf}"/>
    </Anchor>
    <History>
      <Event time="2025-10-14T14:43:18.00" id="{08f3fbc3-b3c8-422f-8e52-2c6c22663926}">
        <Attribution userId="placeholder@email.com" userName="Rafael Bernardo" userProvider="google-sheets"/>
        <Anchor>
          <Comment id="{9463f9d9-b204-4315-9ecb-c45418777baf}"/>
        </Anchor>
        <Create/>
      </Event>
      <Event time="2025-10-14T14:43:18.00" id="{8bfa5ac8-7953-431e-b158-f632144cb1c3}">
        <Attribution userId="placeholder@email.com" userName="Rafael Bernardo" userProvider="google-sheets"/>
        <Anchor>
          <Comment id="{9463f9d9-b204-4315-9ecb-c45418777baf}"/>
        </Anchor>
        <Assign userId="isabel@coryhometeam.com" userName="isabel@coryhometeam.com" userProvider="google-sheets"/>
      </Event>
    </History>
  </Task>
  <Task id="{a4eedd10-e224-4e8e-b8cd-ba2730f8adf9}">
    <Anchor>
      <Comment id="{23abcfa1-7c45-447f-909d-c13a2830ea6b}"/>
    </Anchor>
    <History>
      <Event time="2025-08-19T22:36:57.00" id="{e451d519-8809-4f3c-9e5e-3503eac31343}">
        <Attribution userId="placeholder@email.com" userName="Rafael Bernardo" userProvider="google-sheets"/>
        <Anchor>
          <Comment id="{23abcfa1-7c45-447f-909d-c13a2830ea6b}"/>
        </Anchor>
        <Create/>
      </Event>
      <Event time="2025-08-19T22:36:57.00" id="{7262e6b8-3963-45f0-b60c-5b168cd7791b}">
        <Attribution userId="placeholder@email.com" userName="Rafael Bernardo" userProvider="google-sheets"/>
        <Anchor>
          <Comment id="{23abcfa1-7c45-447f-909d-c13a2830ea6b}"/>
        </Anchor>
        <Assign userId="isabel@coryhometeam.com" userName="isabel@coryhometeam.com" userProvider="google-sheets"/>
      </Event>
    </History>
  </Task>
  <Task id="{110256c7-d9b0-4d6f-bf7c-40a4855ffa25}">
    <Anchor>
      <Comment id="{e5d60f2a-62a8-4312-a243-e2d6569709e3}"/>
    </Anchor>
    <History>
      <Event time="2025-04-10T16:13:43.00" id="{41638500-851b-4c55-98a6-fc002898c957}">
        <Attribution userId="placeholder@email.com" userName="Rafael Bernardo" userProvider="google-sheets"/>
        <Anchor>
          <Comment id="{e5d60f2a-62a8-4312-a243-e2d6569709e3}"/>
        </Anchor>
        <Create/>
      </Event>
      <Event time="2025-04-10T16:13:43.00" id="{1215de1f-4cbc-43bf-8aae-0d5899d9a43e}">
        <Attribution userId="placeholder@email.com" userName="Rafael Bernardo" userProvider="google-sheets"/>
        <Anchor>
          <Comment id="{e5d60f2a-62a8-4312-a243-e2d6569709e3}"/>
        </Anchor>
        <Assign userId="isabel@coryhometeam.com" userName="isabel@coryhometeam.com" userProvider="google-sheets"/>
      </Event>
    </History>
  </Task>
  <Task id="{884a223b-3d25-4686-8a47-28df364f5659}">
    <Anchor>
      <Comment id="{1248849b-0a15-4162-9c14-e83abe605324}"/>
    </Anchor>
    <History>
      <Event time="2025-01-06T18:26:57.00" id="{1a404d2d-992a-4aac-9c95-3a5ff160d631}">
        <Attribution userId="placeholder@email.com" userName="Rafael Bernardo" userProvider="google-sheets"/>
        <Anchor>
          <Comment id="{1248849b-0a15-4162-9c14-e83abe605324}"/>
        </Anchor>
        <Create/>
      </Event>
      <Event time="2025-01-06T18:26:57.00" id="{cca4c68c-4469-45f6-9057-3c6bfe73ef98}">
        <Attribution userId="placeholder@email.com" userName="Rafael Bernardo" userProvider="google-sheets"/>
        <Anchor>
          <Comment id="{1248849b-0a15-4162-9c14-e83abe605324}"/>
        </Anchor>
        <Assign userId="isabel@coryhometeam.com" userName="isabel@coryhometeam.com" userProvider="google-sheets"/>
      </Event>
    </History>
  </Task>
  <Task id="{b6721c3b-34e3-4012-8a9b-81353836739a}">
    <Anchor>
      <Comment id="{5e0e10a3-18c0-4dc5-a5cb-9f66c96c3b83}"/>
    </Anchor>
    <History>
      <Event time="2025-01-06T18:56:23.00" id="{be0dff10-5f39-45aa-822f-59d9a6070936}">
        <Attribution userId="placeholder@email.com" userName="Rafael Bernardo" userProvider="google-sheets"/>
        <Anchor>
          <Comment id="{5e0e10a3-18c0-4dc5-a5cb-9f66c96c3b83}"/>
        </Anchor>
        <Create/>
      </Event>
      <Event time="2025-01-06T18:56:23.00" id="{d02d2e34-eb4a-4fa0-8101-729e93999aba}">
        <Attribution userId="placeholder@email.com" userName="Rafael Bernardo" userProvider="google-sheets"/>
        <Anchor>
          <Comment id="{5e0e10a3-18c0-4dc5-a5cb-9f66c96c3b83}"/>
        </Anchor>
        <Assign userId="isabel@coryhometeam.com" userName="isabel@coryhometeam.com" userProvider="google-sheets"/>
      </Event>
    </History>
  </Task>
  <Task id="{fb36139e-55cb-4905-ae80-e6bd1b396f9a}">
    <Anchor>
      <Comment id="{b7d12af6-fa53-47a0-b4da-e941e45866d6}"/>
    </Anchor>
    <History>
      <Event time="2025-02-12T18:19:15.00" id="{93546884-ed1e-4cea-83ae-bbd4001be705}">
        <Attribution userId="placeholder@email.com" userName="Jam Bernardo" userProvider="google-sheets"/>
        <Anchor>
          <Comment id="{b7d12af6-fa53-47a0-b4da-e941e45866d6}"/>
        </Anchor>
        <Create/>
      </Event>
      <Event time="2025-02-12T18:19:15.00" id="{0f1beee8-6b96-430f-92f5-26e6bea45f60}">
        <Attribution userId="placeholder@email.com" userName="Jam Bernardo" userProvider="google-sheets"/>
        <Anchor>
          <Comment id="{b7d12af6-fa53-47a0-b4da-e941e45866d6}"/>
        </Anchor>
        <Assign userId="isabel@coryhometeam.com" userName="isabel@coryhometeam.com" userProvider="google-sheets"/>
      </Event>
    </History>
  </Task>
  <Task id="{d5e4a58a-b7a6-41e8-a2de-6dfd5b5a673b}">
    <Anchor>
      <Comment id="{b52e9a44-a992-4ce1-90ed-afad3caab2a7}"/>
    </Anchor>
    <History>
      <Event time="2025-10-20T13:54:37.00" id="{c53b7020-eb81-49d4-a755-3e3812dc4de4}">
        <Attribution userId="placeholder@email.com" userName="Rafael Bernardo" userProvider="google-sheets"/>
        <Anchor>
          <Comment id="{b52e9a44-a992-4ce1-90ed-afad3caab2a7}"/>
        </Anchor>
        <Create/>
      </Event>
      <Event time="2025-10-20T13:54:37.00" id="{a3acbdc6-9442-452e-bf56-b0b2ee21cdd9}">
        <Attribution userId="placeholder@email.com" userName="Rafael Bernardo" userProvider="google-sheets"/>
        <Anchor>
          <Comment id="{b52e9a44-a992-4ce1-90ed-afad3caab2a7}"/>
        </Anchor>
        <Assign userId="isabel@coryhometeam.com" userName="isabel@coryhometeam.com" userProvider="google-sheets"/>
      </Event>
    </History>
  </Task>
  <Task id="{2a63a633-5e6f-4048-8f16-55911b2075b5}">
    <Anchor>
      <Comment id="{74a2d38d-d298-4b87-8ab3-b032820593ed}"/>
    </Anchor>
    <History>
      <Event time="2025-02-25T17:35:18.00" id="{79b09100-5d78-4243-9998-edfc1654f119}">
        <Attribution userId="placeholder@email.com" userName="Jam Bernardo" userProvider="google-sheets"/>
        <Anchor>
          <Comment id="{74a2d38d-d298-4b87-8ab3-b032820593ed}"/>
        </Anchor>
        <Create/>
      </Event>
      <Event time="2025-02-25T17:35:18.00" id="{59c05fd7-ebb9-46dc-84dd-7ee190aa3134}">
        <Attribution userId="placeholder@email.com" userName="Jam Bernardo" userProvider="google-sheets"/>
        <Anchor>
          <Comment id="{74a2d38d-d298-4b87-8ab3-b032820593ed}"/>
        </Anchor>
        <Assign userId="isabel@coryhometeam.com" userName="isabel@coryhometeam.com" userProvider="google-sheets"/>
      </Event>
    </History>
  </Task>
  <Task id="{6b6541eb-d23b-4b82-951f-dffd68276f2d}">
    <Anchor>
      <Comment id="{26c45990-dc91-44f8-b8bc-b944ac5f0e40}"/>
    </Anchor>
    <History>
      <Event time="2025-02-05T22:14:22.00" id="{792c6cc3-28a7-4139-9fb8-100c545065ee}">
        <Attribution userId="placeholder@email.com" userName="Jam Bernardo" userProvider="google-sheets"/>
        <Anchor>
          <Comment id="{26c45990-dc91-44f8-b8bc-b944ac5f0e40}"/>
        </Anchor>
        <Create/>
      </Event>
      <Event time="2025-02-05T22:14:22.00" id="{61da0bc8-af2e-458f-b6b0-8075f32e874a}">
        <Attribution userId="placeholder@email.com" userName="Jam Bernardo" userProvider="google-sheets"/>
        <Anchor>
          <Comment id="{26c45990-dc91-44f8-b8bc-b944ac5f0e40}"/>
        </Anchor>
        <Assign userId="isabel@coryhometeam.com" userName="isabel@coryhometeam.com" userProvider="google-sheets"/>
      </Event>
    </History>
  </Task>
  <Task id="{19611c7d-7554-4b0a-b66b-2f72e96a8283}">
    <Anchor>
      <Comment id="{c17d746e-3140-4448-87d9-163a4f016fc7}"/>
    </Anchor>
    <History>
      <Event time="2025-02-05T23:03:06.00" id="{35f25630-7b4f-4983-a6c6-3231bf1a2373}">
        <Attribution userId="placeholder@email.com" userName="Jam Bernardo" userProvider="google-sheets"/>
        <Anchor>
          <Comment id="{c17d746e-3140-4448-87d9-163a4f016fc7}"/>
        </Anchor>
        <Create/>
      </Event>
      <Event time="2025-02-05T23:03:06.00" id="{2d430627-3f4d-4dde-be39-7d5e26f75bdc}">
        <Attribution userId="placeholder@email.com" userName="Jam Bernardo" userProvider="google-sheets"/>
        <Anchor>
          <Comment id="{c17d746e-3140-4448-87d9-163a4f016fc7}"/>
        </Anchor>
        <Assign userId="isabel@coryhometeam.com" userName="isabel@coryhometeam.com" userProvider="google-sheets"/>
      </Event>
    </History>
  </Task>
  <Task id="{321e4935-4b7f-4a8b-af25-edee5b631ed8}">
    <Anchor>
      <Comment id="{6cac074e-a33b-4494-bca8-4e4390ab394f}"/>
    </Anchor>
    <History>
      <Event time="2025-02-05T22:05:59.00" id="{1f28e0e9-42e6-499d-b112-7f9cb7cf97bc}">
        <Attribution userId="placeholder@email.com" userName="Jam Bernardo" userProvider="google-sheets"/>
        <Anchor>
          <Comment id="{6cac074e-a33b-4494-bca8-4e4390ab394f}"/>
        </Anchor>
        <Create/>
      </Event>
      <Event time="2025-02-05T22:05:59.00" id="{65845326-028f-4b27-aeb1-df84ebba3bd5}">
        <Attribution userId="placeholder@email.com" userName="Jam Bernardo" userProvider="google-sheets"/>
        <Anchor>
          <Comment id="{6cac074e-a33b-4494-bca8-4e4390ab394f}"/>
        </Anchor>
        <Assign userId="isabel@coryhometeam.com" userName="isabel@coryhometeam.com" userProvider="google-sheets"/>
      </Event>
    </History>
  </Task>
</Tasks>
</file>

<file path=xl/documenttasks/documenttask2.xml><?xml version="1.0" encoding="utf-8"?>
<Tasks xmlns="http://schemas.microsoft.com/office/tasks/2019/documenttasks">
  <Task id="{4454f4a2-9d3c-4b27-9670-600a0621ca6c}">
    <Anchor>
      <Comment id="{f44d4ef9-1f61-4639-a0ec-6ae738b7f7cb}"/>
    </Anchor>
    <History>
      <Event time="2026-04-30T16:14:28.00" id="{fb5a9fd1-c7d8-4c66-8498-889aa1adbbd3}">
        <Attribution userId="placeholder@email.com" userName="Rafael Bernardo" userProvider="google-sheets"/>
        <Anchor>
          <Comment id="{f44d4ef9-1f61-4639-a0ec-6ae738b7f7cb}"/>
        </Anchor>
        <Create/>
      </Event>
      <Event time="2026-04-30T16:14:28.00" id="{dc19638a-3bbe-46c0-b4f5-bbfb8a543243}">
        <Attribution userId="placeholder@email.com" userName="Rafael Bernardo" userProvider="google-sheets"/>
        <Anchor>
          <Comment id="{f44d4ef9-1f61-4639-a0ec-6ae738b7f7cb}"/>
        </Anchor>
        <Assign userId="isabel@coryhometeam.com" userName="isabel@coryhometeam.com" userProvider="google-sheets"/>
      </Event>
    </History>
  </Task>
  <Task id="{c0cfc5ed-f36e-4c8c-8057-c2a33be6d6da}">
    <Anchor>
      <Comment id="{9fc236fc-b837-41c0-9b47-0c18cf6a7fce}"/>
    </Anchor>
    <History>
      <Event time="2026-03-20T23:40:24.00" id="{8d76a28a-c481-444e-a07e-e3ca8d3e0ab5}">
        <Attribution userId="placeholder@email.com" userName="Jam Bernardo" userProvider="google-sheets"/>
        <Anchor>
          <Comment id="{9fc236fc-b837-41c0-9b47-0c18cf6a7fce}"/>
        </Anchor>
        <Create/>
      </Event>
      <Event time="2026-03-20T23:40:24.00" id="{e4b23bc8-4774-44da-aa29-99f0d82c8776}">
        <Attribution userId="placeholder@email.com" userName="Jam Bernardo" userProvider="google-sheets"/>
        <Anchor>
          <Comment id="{9fc236fc-b837-41c0-9b47-0c18cf6a7fce}"/>
        </Anchor>
        <Assign userId="isabel@coryhometeam.com" userName="isabel@coryhometeam.com" userProvider="google-sheets"/>
      </Event>
    </History>
  </Task>
  <Task id="{21fccd09-b15a-46dc-b8ce-de53998b89e4}">
    <Anchor>
      <Comment id="{942fe896-12c9-441a-8b70-7d20acb95b31}"/>
    </Anchor>
    <History>
      <Event time="2026-03-21T01:04:46.00" id="{8cd413a7-325a-4cdf-bd1d-1c4061057888}">
        <Attribution userId="placeholder@email.com" userName="Jam Bernardo" userProvider="google-sheets"/>
        <Anchor>
          <Comment id="{942fe896-12c9-441a-8b70-7d20acb95b31}"/>
        </Anchor>
        <Create/>
      </Event>
      <Event time="2026-03-21T01:04:46.00" id="{d58247bd-96c1-44a8-9fff-3919ff18a4ee}">
        <Attribution userId="placeholder@email.com" userName="Jam Bernardo" userProvider="google-sheets"/>
        <Anchor>
          <Comment id="{942fe896-12c9-441a-8b70-7d20acb95b31}"/>
        </Anchor>
        <Assign userId="isabel@coryhometeam.com" userName="isabel@coryhometeam.com" userProvider="google-sheets"/>
      </Event>
    </History>
  </Task>
  <Task id="{110b4ea3-e85f-4392-b572-040a42a29071}">
    <Anchor>
      <Comment id="{12affcce-cb6a-4c1b-b06f-4ac8872e42ff}"/>
    </Anchor>
    <History>
      <Event time="2026-05-12T19:47:58.00" id="{bb0bd409-754b-4689-a31d-0068355aa435}">
        <Attribution userId="placeholder@email.com" userName="Rafael Bernardo" userProvider="google-sheets"/>
        <Anchor>
          <Comment id="{12affcce-cb6a-4c1b-b06f-4ac8872e42ff}"/>
        </Anchor>
        <Create/>
      </Event>
      <Event time="2026-05-12T19:47:58.00" id="{e3385511-dd03-4635-9ce4-14577405b011}">
        <Attribution userId="placeholder@email.com" userName="Rafael Bernardo" userProvider="google-sheets"/>
        <Anchor>
          <Comment id="{12affcce-cb6a-4c1b-b06f-4ac8872e42ff}"/>
        </Anchor>
        <Assign userId="isabel@coryhometeam.com" userName="isabel@coryhometeam.com" userProvider="google-sheets"/>
      </Event>
    </History>
  </Task>
  <Task id="{bc293a2d-d57a-4f1c-a6e8-6f90e2464c00}">
    <Anchor>
      <Comment id="{514eb1a2-404c-480c-9214-feb7b5b09a82}"/>
    </Anchor>
    <History>
      <Event time="2026-01-14T18:55:11.00" id="{293564a1-9cf4-4b02-ac73-ea50fc66d51b}">
        <Attribution userId="placeholder@email.com" userName="Jam Bernardo" userProvider="google-sheets"/>
        <Anchor>
          <Comment id="{514eb1a2-404c-480c-9214-feb7b5b09a82}"/>
        </Anchor>
        <Create/>
      </Event>
      <Event time="2026-01-14T18:55:11.00" id="{0e77c719-65a1-4f8a-8283-b905e1d1e33e}">
        <Attribution userId="placeholder@email.com" userName="Jam Bernardo" userProvider="google-sheets"/>
        <Anchor>
          <Comment id="{514eb1a2-404c-480c-9214-feb7b5b09a82}"/>
        </Anchor>
        <Assign userId="isabel@coryhometeam.com" userName="isabel@coryhometeam.com" userProvider="google-sheets"/>
      </Event>
    </History>
  </Task>
  <Task id="{e9d58c8a-74b5-4803-a4b1-965aece00f9f}">
    <Anchor>
      <Comment id="{b68f809f-3b45-4973-a133-6bc5bcdbcbd8}"/>
    </Anchor>
    <History>
      <Event time="2026-03-17T23:48:50.00" id="{7738701e-de63-4f3a-bd7e-d12e2f8e711b}">
        <Attribution userId="placeholder@email.com" userName="Jam Bernardo" userProvider="google-sheets"/>
        <Anchor>
          <Comment id="{b68f809f-3b45-4973-a133-6bc5bcdbcbd8}"/>
        </Anchor>
        <Create/>
      </Event>
      <Event time="2026-03-17T23:48:50.00" id="{ddcfb6fd-ddc2-444d-ba92-0a428b960e85}">
        <Attribution userId="placeholder@email.com" userName="Jam Bernardo" userProvider="google-sheets"/>
        <Anchor>
          <Comment id="{b68f809f-3b45-4973-a133-6bc5bcdbcbd8}"/>
        </Anchor>
        <Assign userId="isabel@coryhometeam.com" userName="isabel@coryhometeam.com" userProvider="google-sheets"/>
      </Event>
    </History>
  </Task>
  <Task id="{88945dd2-48cd-446d-ad32-8d49c99deb7c}">
    <Anchor>
      <Comment id="{3e88c951-89e0-4c50-8b81-ece567081153}"/>
    </Anchor>
    <History>
      <Event time="2026-05-05T14:49:16.00" id="{415d7787-6df9-4254-9937-6f87e5b8878b}">
        <Attribution userId="placeholder@email.com" userName="Rafael Bernardo" userProvider="google-sheets"/>
        <Anchor>
          <Comment id="{3e88c951-89e0-4c50-8b81-ece567081153}"/>
        </Anchor>
        <Create/>
      </Event>
      <Event time="2026-05-05T14:49:16.00" id="{d2bc4c85-507e-46c2-9701-4ac2e1cffc87}">
        <Attribution userId="placeholder@email.com" userName="Rafael Bernardo" userProvider="google-sheets"/>
        <Anchor>
          <Comment id="{3e88c951-89e0-4c50-8b81-ece567081153}"/>
        </Anchor>
        <Assign userId="isabel@coryhometeam.com" userName="isabel@coryhometeam.com" userProvider="google-sheets"/>
      </Event>
    </History>
  </Task>
  <Task id="{67b51a36-b2be-4fb8-b900-8864e0e496bf}">
    <Anchor>
      <Comment id="{0279b0c8-87fb-4b34-b106-f71085a19edf}"/>
    </Anchor>
    <History>
      <Event time="2026-01-14T18:48:57.00" id="{abbed8fd-1dd4-4755-a510-9e09ee9ce4d0}">
        <Attribution userId="placeholder@email.com" userName="Jam Bernardo" userProvider="google-sheets"/>
        <Anchor>
          <Comment id="{0279b0c8-87fb-4b34-b106-f71085a19edf}"/>
        </Anchor>
        <Create/>
      </Event>
      <Event time="2026-01-14T18:48:57.00" id="{c858a4da-f46c-4265-b13f-4f32080c4985}">
        <Attribution userId="placeholder@email.com" userName="Jam Bernardo" userProvider="google-sheets"/>
        <Anchor>
          <Comment id="{0279b0c8-87fb-4b34-b106-f71085a19edf}"/>
        </Anchor>
        <Assign userId="isabel@coryhometeam.com" userName="isabel@coryhometeam.com" userProvider="google-sheets"/>
      </Event>
    </History>
  </Task>
  <Task id="{51709529-7eef-4636-bac6-e99cd22cf6c0}">
    <Anchor>
      <Comment id="{13bd1c89-88a2-4f52-8a3a-bdf4d9dfbb3a}"/>
    </Anchor>
    <History>
      <Event time="2026-01-14T18:49:03.00" id="{92b2f391-3679-483d-bf16-b450cdc30327}">
        <Attribution userId="placeholder@email.com" userName="Jam Bernardo" userProvider="google-sheets"/>
        <Anchor>
          <Comment id="{13bd1c89-88a2-4f52-8a3a-bdf4d9dfbb3a}"/>
        </Anchor>
        <Create/>
      </Event>
      <Event time="2026-01-14T18:49:03.00" id="{51e12779-c13f-42d7-94a1-f2c9419d0b6c}">
        <Attribution userId="placeholder@email.com" userName="Jam Bernardo" userProvider="google-sheets"/>
        <Anchor>
          <Comment id="{13bd1c89-88a2-4f52-8a3a-bdf4d9dfbb3a}"/>
        </Anchor>
        <Assign userId="isabel@coryhometeam.com" userName="isabel@coryhometeam.com" userProvider="google-sheets"/>
      </Event>
    </History>
  </Task>
  <Task id="{dfddcce8-1137-40df-aa51-819869b60cd6}">
    <Anchor>
      <Comment id="{f0d1efc1-57ed-42cf-8546-98492a96437b}"/>
    </Anchor>
    <History>
      <Event time="2026-04-20T08:15:20.00" id="{04fb3f74-0ea2-4859-b4a1-592abff3623c}">
        <Attribution userId="placeholder@email.com" userName="Rafael Bernardo" userProvider="google-sheets"/>
        <Anchor>
          <Comment id="{f0d1efc1-57ed-42cf-8546-98492a96437b}"/>
        </Anchor>
        <Create/>
      </Event>
      <Event time="2026-04-20T08:15:20.00" id="{c1bed778-e900-4338-ba91-8e76fae40c25}">
        <Attribution userId="placeholder@email.com" userName="Rafael Bernardo" userProvider="google-sheets"/>
        <Anchor>
          <Comment id="{f0d1efc1-57ed-42cf-8546-98492a96437b}"/>
        </Anchor>
        <Assign userId="isabel@coryhometeam.com" userName="isabel@coryhometeam.com" userProvider="google-sheets"/>
      </Event>
    </History>
  </Task>
  <Task id="{0e2246e0-4fe1-46f9-8402-2dfc5047a104}">
    <Anchor>
      <Comment id="{cc3fb8cb-47d9-409c-9403-1ed9eb7b3ffa}"/>
    </Anchor>
    <History>
      <Event time="2026-03-26T17:58:27.00" id="{bbab5f3c-b3bd-421b-b606-cc1f0cac6416}">
        <Attribution userId="placeholder@email.com" userName="Alexis Cassidy" userProvider="google-sheets"/>
        <Anchor>
          <Comment id="{b645cb4e-c217-4ad6-8401-98391ae65e34}"/>
        </Anchor>
        <Create/>
      </Event>
      <Event time="2026-03-26T17:58:27.00" id="{f334676f-e636-44b1-bf15-6cd2409e3a5c}">
        <Attribution userId="placeholder@email.com" userName="Alexis Cassidy" userProvider="google-sheets"/>
        <Anchor>
          <Comment id="{b645cb4e-c217-4ad6-8401-98391ae65e34}"/>
        </Anchor>
        <Assign userId="remy@coryhometeam.com" userName="remy@coryhometeam.com" userProvider="google-sheets"/>
      </Event>
    </History>
  </Task>
  <Task id="{b13e8724-7981-4a7a-b366-b67eb7bd9c9e}">
    <Anchor>
      <Comment id="{0ce4679e-be01-486a-ac07-1a0236bbac77}"/>
    </Anchor>
    <History>
      <Event time="2026-02-12T20:26:10.00" id="{1695dbde-1751-4c09-af5f-aa20900d5947}">
        <Attribution userId="placeholder@email.com" userName="Rafael Bernardo" userProvider="google-sheets"/>
        <Anchor>
          <Comment id="{0ce4679e-be01-486a-ac07-1a0236bbac77}"/>
        </Anchor>
        <Create/>
      </Event>
      <Event time="2026-02-12T20:26:10.00" id="{49d5a465-0339-475f-a329-d21945e76e0d}">
        <Attribution userId="placeholder@email.com" userName="Rafael Bernardo" userProvider="google-sheets"/>
        <Anchor>
          <Comment id="{0ce4679e-be01-486a-ac07-1a0236bbac77}"/>
        </Anchor>
        <Assign userId="isabel@coryhometeam.com" userName="isabel@coryhometeam.com" userProvider="google-sheets"/>
      </Event>
    </History>
  </Task>
  <Task id="{ada22e5e-4b39-48d3-91ad-13a40e4a0e97}">
    <Anchor>
      <Comment id="{05844334-3e7d-4660-9432-ffd2954b8c21}"/>
    </Anchor>
    <History>
      <Event time="2026-05-05T23:01:14.00" id="{b8390e6f-f4ee-42ca-86cc-540b6842a9e1}">
        <Attribution userId="placeholder@email.com" userName="Jam Bernardo" userProvider="google-sheets"/>
        <Anchor>
          <Comment id="{05844334-3e7d-4660-9432-ffd2954b8c21}"/>
        </Anchor>
        <Create/>
      </Event>
      <Event time="2026-05-05T23:01:14.00" id="{e3ae615f-afc5-48a3-8ff9-575845d438c5}">
        <Attribution userId="placeholder@email.com" userName="Jam Bernardo" userProvider="google-sheets"/>
        <Anchor>
          <Comment id="{05844334-3e7d-4660-9432-ffd2954b8c21}"/>
        </Anchor>
        <Assign userId="isabel@coryhometeam.com" userName="isabel@coryhometeam.com" userProvider="google-sheets"/>
      </Event>
    </History>
  </Task>
  <Task id="{d22fb56e-88b8-49a5-a456-ea299820029f}">
    <Anchor>
      <Comment id="{868e6f30-5051-4921-b6f3-25a6843c36eb}"/>
    </Anchor>
    <History>
      <Event time="2026-05-05T23:03:46.00" id="{a531c895-76df-480f-ad09-f36a975f8cb6}">
        <Attribution userId="placeholder@email.com" userName="Jam Bernardo" userProvider="google-sheets"/>
        <Anchor>
          <Comment id="{868e6f30-5051-4921-b6f3-25a6843c36eb}"/>
        </Anchor>
        <Create/>
      </Event>
      <Event time="2026-05-05T23:03:46.00" id="{f4ade8a0-e5b6-4f2e-8fcd-5794c333977b}">
        <Attribution userId="placeholder@email.com" userName="Jam Bernardo" userProvider="google-sheets"/>
        <Anchor>
          <Comment id="{868e6f30-5051-4921-b6f3-25a6843c36eb}"/>
        </Anchor>
        <Assign userId="isabel@coryhometeam.com" userName="isabel@coryhometeam.com" userProvider="google-sheets"/>
      </Event>
    </History>
  </Task>
  <Task id="{46748f40-0966-4d07-9390-bd3282aec17c}">
    <Anchor>
      <Comment id="{38189385-c46b-480f-aeb1-8467065a9abb}"/>
    </Anchor>
    <History>
      <Event time="2026-02-25T05:05:33.00" id="{6e541fec-a43d-4be2-8f11-48fb6b92032d}">
        <Attribution userId="placeholder@email.com" userName="Alexis Cassidy" userProvider="google-sheets"/>
        <Anchor>
          <Comment id="{38189385-c46b-480f-aeb1-8467065a9abb}"/>
        </Anchor>
        <Create/>
      </Event>
      <Event time="2026-02-25T05:05:33.00" id="{5aa8d28d-09f5-4483-8832-7de11c987062}">
        <Attribution userId="placeholder@email.com" userName="Alexis Cassidy" userProvider="google-sheets"/>
        <Anchor>
          <Comment id="{38189385-c46b-480f-aeb1-8467065a9abb}"/>
        </Anchor>
        <Assign userId="dana@coryhometeam.com" userName="dana@coryhometeam.com" userProvider="google-sheets"/>
      </Event>
    </History>
  </Task>
  <Task id="{84ce7ec6-4616-4096-9ea2-1c4fe34fbc67}">
    <Anchor>
      <Comment id="{ec8130e5-6324-4773-8817-d73428a02f49}"/>
    </Anchor>
    <History>
      <Event time="2026-02-26T11:34:58.00" id="{208ca5d3-e067-42cf-bd78-262c064b5440}">
        <Attribution userId="placeholder@email.com" userName="Rafael Bernardo" userProvider="google-sheets"/>
        <Anchor>
          <Comment id="{ec8130e5-6324-4773-8817-d73428a02f49}"/>
        </Anchor>
        <Create/>
      </Event>
      <Event time="2026-02-26T11:34:58.00" id="{dfb653e1-f2b6-4011-985c-4108cd01c589}">
        <Attribution userId="placeholder@email.com" userName="Rafael Bernardo" userProvider="google-sheets"/>
        <Anchor>
          <Comment id="{ec8130e5-6324-4773-8817-d73428a02f49}"/>
        </Anchor>
        <Assign userId="isabel@coryhometeam.com" userName="isabel@coryhometeam.com" userProvider="google-sheets"/>
      </Event>
    </History>
  </Task>
  <Task id="{48e646c6-84df-474a-95fd-3e5a44ab2a1d}">
    <Anchor>
      <Comment id="{9998a71d-9f92-4245-9724-2a591dd273db}"/>
    </Anchor>
    <History>
      <Event time="2026-04-30T16:10:32.00" id="{9eea3324-bedd-462f-9748-c6d711f3ae26}">
        <Attribution userId="placeholder@email.com" userName="Rafael Bernardo" userProvider="google-sheets"/>
        <Anchor>
          <Comment id="{9998a71d-9f92-4245-9724-2a591dd273db}"/>
        </Anchor>
        <Create/>
      </Event>
      <Event time="2026-04-30T16:10:32.00" id="{1a7deb59-2e16-4e21-ac2d-80af1cab49a6}">
        <Attribution userId="placeholder@email.com" userName="Rafael Bernardo" userProvider="google-sheets"/>
        <Anchor>
          <Comment id="{9998a71d-9f92-4245-9724-2a591dd273db}"/>
        </Anchor>
        <Assign userId="isabel@coryhometeam.com" userName="isabel@coryhometeam.com" userProvider="google-sheets"/>
      </Event>
    </History>
  </Task>
  <Task id="{1996712d-c4eb-445e-a5f6-71f2fe7415f2}">
    <Anchor>
      <Comment id="{8b0f3fae-5356-4a75-af5e-0f0ec9a2830d}"/>
    </Anchor>
    <History>
      <Event time="2026-03-03T18:28:41.00" id="{31c40941-3bf0-486c-800e-431ed03bfb78}">
        <Attribution userId="placeholder@email.com" userName="Dana Martinez" userProvider="google-sheets"/>
        <Anchor>
          <Comment id="{8b0f3fae-5356-4a75-af5e-0f0ec9a2830d}"/>
        </Anchor>
        <Create/>
      </Event>
      <Event time="2026-03-03T18:28:41.00" id="{58943593-8027-4bd1-82a7-035d15c1fb89}">
        <Attribution userId="placeholder@email.com" userName="Dana Martinez" userProvider="google-sheets"/>
        <Anchor>
          <Comment id="{8b0f3fae-5356-4a75-af5e-0f0ec9a2830d}"/>
        </Anchor>
        <Assign userId="dana@coryhometeam.com" userName="dana@coryhometeam.com" userProvider="google-sheets"/>
      </Event>
    </History>
  </Task>
  <Task id="{efcff45c-3a26-4fec-9497-b78be193c1d9}">
    <Anchor>
      <Comment id="{ca73ce38-e46e-493c-965c-344bf86d7b87}"/>
    </Anchor>
    <History>
      <Event time="2026-02-05T22:45:53.00" id="{da533b09-a314-4ffc-b2d1-9c1dd27fdf8f}">
        <Attribution userId="placeholder@email.com" userName="Jam Bernardo" userProvider="google-sheets"/>
        <Anchor>
          <Comment id="{ca73ce38-e46e-493c-965c-344bf86d7b87}"/>
        </Anchor>
        <Create/>
      </Event>
      <Event time="2026-02-05T22:45:53.00" id="{86e3953b-d5f2-499a-ac2e-327a8c3e5327}">
        <Attribution userId="placeholder@email.com" userName="Jam Bernardo" userProvider="google-sheets"/>
        <Anchor>
          <Comment id="{ca73ce38-e46e-493c-965c-344bf86d7b87}"/>
        </Anchor>
        <Assign userId="isabel@coryhometeam.com" userName="isabel@coryhometeam.com" userProvider="google-sheets"/>
      </Event>
    </History>
  </Task>
  <Task id="{f80f1314-876a-42f7-8d49-977f58613280}">
    <Anchor>
      <Comment id="{7bea020d-8896-4846-bcea-da7d2ad7e662}"/>
    </Anchor>
    <History>
      <Event time="2026-04-03T23:56:34.00" id="{c9a7745c-f358-4852-bf08-8f977534f7fc}">
        <Attribution userId="placeholder@email.com" userName="Jam Bernardo" userProvider="google-sheets"/>
        <Anchor>
          <Comment id="{7bea020d-8896-4846-bcea-da7d2ad7e662}"/>
        </Anchor>
        <Create/>
      </Event>
      <Event time="2026-04-03T23:56:34.00" id="{c9a2274a-3688-458d-88b9-74e85d02cbad}">
        <Attribution userId="placeholder@email.com" userName="Jam Bernardo" userProvider="google-sheets"/>
        <Anchor>
          <Comment id="{7bea020d-8896-4846-bcea-da7d2ad7e662}"/>
        </Anchor>
        <Assign userId="isabel@coryhometeam.com" userName="isabel@coryhometeam.com" userProvider="google-sheets"/>
      </Event>
    </History>
  </Task>
  <Task id="{48055130-e8f9-42f9-b956-798f8339bc81}">
    <Anchor>
      <Comment id="{b4ccbf0a-e028-44ef-8a23-6a2543978c3e}"/>
    </Anchor>
    <History>
      <Event time="2026-03-05T22:01:54.00" id="{302ec1c8-bfc7-4122-a7bc-b035f5f2417c}">
        <Attribution userId="placeholder@email.com" userName="Alexis Cassidy" userProvider="google-sheets"/>
        <Anchor>
          <Comment id="{c261c378-a66d-490c-8922-daf737ecf0bd}"/>
        </Anchor>
        <Create/>
      </Event>
      <Event time="2026-03-05T22:01:54.00" id="{ea81a657-ab00-43e5-9b20-c515f829cc6e}">
        <Attribution userId="placeholder@email.com" userName="Alexis Cassidy" userProvider="google-sheets"/>
        <Anchor>
          <Comment id="{c261c378-a66d-490c-8922-daf737ecf0bd}"/>
        </Anchor>
        <Assign userId="isabel@coryhometeam.com" userName="isabel@coryhometeam.com" userProvider="google-sheets"/>
      </Event>
    </History>
  </Task>
  <Task id="{05c76248-0c9d-4e74-a3a7-c0ebef65219b}">
    <Anchor>
      <Comment id="{e3eff6cd-7a70-4d92-8013-57c13452ddf3}"/>
    </Anchor>
    <History>
      <Event time="2026-04-04T00:00:33.00" id="{7c0fb6d3-cfd7-4c1e-a956-7e7534db6afc}">
        <Attribution userId="placeholder@email.com" userName="Jam Bernardo" userProvider="google-sheets"/>
        <Anchor>
          <Comment id="{e3eff6cd-7a70-4d92-8013-57c13452ddf3}"/>
        </Anchor>
        <Create/>
      </Event>
      <Event time="2026-04-04T00:00:33.00" id="{1923a7f5-b7cb-4561-80c2-5db6e81723ea}">
        <Attribution userId="placeholder@email.com" userName="Jam Bernardo" userProvider="google-sheets"/>
        <Anchor>
          <Comment id="{e3eff6cd-7a70-4d92-8013-57c13452ddf3}"/>
        </Anchor>
        <Assign userId="isabel@coryhometeam.com" userName="isabel@coryhometeam.com" userProvider="google-sheets"/>
      </Event>
    </History>
  </Task>
  <Task id="{1944af54-c8d0-4aa1-8741-c4145ca70df3}">
    <Anchor>
      <Comment id="{04352627-3308-45f9-a484-04853397d252}"/>
    </Anchor>
    <History>
      <Event time="2026-02-03T15:16:41.00" id="{3d4f4a57-f6a7-4bc2-b623-5c6a53f8abd2}">
        <Attribution userId="placeholder@email.com" userName="Jam Bernardo" userProvider="google-sheets"/>
        <Anchor>
          <Comment id="{04352627-3308-45f9-a484-04853397d252}"/>
        </Anchor>
        <Create/>
      </Event>
      <Event time="2026-02-03T15:16:41.00" id="{9593a3a8-8c2b-49b6-8d9b-7b8d1aad7a47}">
        <Attribution userId="placeholder@email.com" userName="Jam Bernardo" userProvider="google-sheets"/>
        <Anchor>
          <Comment id="{04352627-3308-45f9-a484-04853397d252}"/>
        </Anchor>
        <Assign userId="isabel@coryhometeam.com" userName="isabel@coryhometeam.com" userProvider="google-sheets"/>
      </Event>
    </History>
  </Task>
  <Task id="{bcf5304f-d510-41f5-8859-b0f37503151f}">
    <Anchor>
      <Comment id="{c1dcedd9-37db-4624-af7a-27098565d30e}"/>
    </Anchor>
    <History>
      <Event time="2026-02-05T23:24:44.00" id="{fe682d18-168e-41b4-a346-15e507e1c05f}">
        <Attribution userId="placeholder@email.com" userName="Jam Bernardo" userProvider="google-sheets"/>
        <Anchor>
          <Comment id="{c1dcedd9-37db-4624-af7a-27098565d30e}"/>
        </Anchor>
        <Create/>
      </Event>
      <Event time="2026-02-05T23:24:44.00" id="{6285370d-cccc-435c-a347-dcc64daf6b4e}">
        <Attribution userId="placeholder@email.com" userName="Jam Bernardo" userProvider="google-sheets"/>
        <Anchor>
          <Comment id="{c1dcedd9-37db-4624-af7a-27098565d30e}"/>
        </Anchor>
        <Assign userId="isabel@coryhometeam.com" userName="isabel@coryhometeam.com" userProvider="google-sheets"/>
      </Event>
    </History>
  </Task>
  <Task id="{da00578d-7af2-45a0-ba35-b2633323e2b4}">
    <Anchor>
      <Comment id="{b2605209-484a-40c6-b266-4e8248e6532e}"/>
    </Anchor>
    <History>
      <Event time="2026-02-05T23:49:42.00" id="{4c6c8dda-6d53-4601-aeef-8bd823713bfc}">
        <Attribution userId="placeholder@email.com" userName="Jam Bernardo" userProvider="google-sheets"/>
        <Anchor>
          <Comment id="{b2605209-484a-40c6-b266-4e8248e6532e}"/>
        </Anchor>
        <Create/>
      </Event>
      <Event time="2026-02-05T23:49:42.00" id="{efd51b2c-2cdf-4275-89d8-5a61dbee72b7}">
        <Attribution userId="placeholder@email.com" userName="Jam Bernardo" userProvider="google-sheets"/>
        <Anchor>
          <Comment id="{b2605209-484a-40c6-b266-4e8248e6532e}"/>
        </Anchor>
        <Assign userId="isabel@coryhometeam.com" userName="isabel@coryhometeam.com" userProvider="google-sheets"/>
      </Event>
    </History>
  </Task>
  <Task id="{c1044a06-6506-4b54-af85-0ef2a8d7b2f7}">
    <Anchor>
      <Comment id="{be26a452-39ff-4293-b28d-caab1137cff1}"/>
    </Anchor>
    <History>
      <Event time="2026-02-05T23:39:20.00" id="{d97fb790-c511-4924-b49a-c9c0c5557eac}">
        <Attribution userId="placeholder@email.com" userName="Jam Bernardo" userProvider="google-sheets"/>
        <Anchor>
          <Comment id="{be26a452-39ff-4293-b28d-caab1137cff1}"/>
        </Anchor>
        <Create/>
      </Event>
      <Event time="2026-02-05T23:39:20.00" id="{be35b71e-0ead-4d94-8b73-e214081d7ebf}">
        <Attribution userId="placeholder@email.com" userName="Jam Bernardo" userProvider="google-sheets"/>
        <Anchor>
          <Comment id="{be26a452-39ff-4293-b28d-caab1137cff1}"/>
        </Anchor>
        <Assign userId="isabel@coryhometeam.com" userName="isabel@coryhometeam.com" userProvider="google-sheets"/>
      </Event>
    </History>
  </Task>
  <Task id="{cc9b0329-0527-4cec-9590-3f2fd7633a16}">
    <Anchor>
      <Comment id="{6e360fd3-0572-447f-ab43-ac40716c2e21}"/>
    </Anchor>
    <History>
      <Event time="2026-02-24T12:27:55.00" id="{b173da63-97b3-47ea-acd7-6ae92856e834}">
        <Attribution userId="placeholder@email.com" userName="Jam Bernardo" userProvider="google-sheets"/>
        <Anchor>
          <Comment id="{6e360fd3-0572-447f-ab43-ac40716c2e21}"/>
        </Anchor>
        <Create/>
      </Event>
      <Event time="2026-02-24T12:27:55.00" id="{05ba0f15-90f4-4e73-8e68-a4a905d13fbb}">
        <Attribution userId="placeholder@email.com" userName="Jam Bernardo" userProvider="google-sheets"/>
        <Anchor>
          <Comment id="{6e360fd3-0572-447f-ab43-ac40716c2e21}"/>
        </Anchor>
        <Assign userId="isabel@coryhometeam.com" userName="isabel@coryhometeam.com" userProvider="google-sheets"/>
      </Event>
    </History>
  </Task>
  <Task id="{474dce84-2cda-484b-a6a0-0e98f58a8f16}">
    <Anchor>
      <Comment id="{24ae2799-eece-4960-b5f4-e94ec3eb3f79}"/>
    </Anchor>
    <History>
      <Event time="2026-02-24T13:07:43.00" id="{59a1c356-2d8c-4459-9177-10adb6acba99}">
        <Attribution userId="placeholder@email.com" userName="Jam Bernardo" userProvider="google-sheets"/>
        <Anchor>
          <Comment id="{24ae2799-eece-4960-b5f4-e94ec3eb3f79}"/>
        </Anchor>
        <Create/>
      </Event>
      <Event time="2026-02-24T13:07:43.00" id="{9946731c-86f5-4c43-b53e-6200a1902908}">
        <Attribution userId="placeholder@email.com" userName="Jam Bernardo" userProvider="google-sheets"/>
        <Anchor>
          <Comment id="{24ae2799-eece-4960-b5f4-e94ec3eb3f79}"/>
        </Anchor>
        <Assign userId="isabel@coryhometeam.com" userName="isabel@coryhometeam.com" userProvider="google-sheets"/>
      </Event>
    </History>
  </Task>
  <Task id="{f543e767-2b8b-478f-b7cf-22f16db22911}">
    <Anchor>
      <Comment id="{965fff37-f17f-47a7-96ed-8544d2c8f901}"/>
    </Anchor>
    <History>
      <Event time="2026-05-18T13:14:04.00" id="{0e08a59b-2574-401b-94af-e8d9bebb1783}">
        <Attribution userId="placeholder@email.com" userName="Rafael Bernardo" userProvider="google-sheets"/>
        <Anchor>
          <Comment id="{965fff37-f17f-47a7-96ed-8544d2c8f901}"/>
        </Anchor>
        <Create/>
      </Event>
      <Event time="2026-05-18T13:14:04.00" id="{3c0824c2-b668-4954-b326-7493dccf3bec}">
        <Attribution userId="placeholder@email.com" userName="Rafael Bernardo" userProvider="google-sheets"/>
        <Anchor>
          <Comment id="{965fff37-f17f-47a7-96ed-8544d2c8f901}"/>
        </Anchor>
        <Assign userId="isabel@coryhometeam.com" userName="isabel@coryhometeam.com" userProvider="google-sheets"/>
      </Event>
    </History>
  </Task>
  <Task id="{c76af3a8-9cbf-473a-9b60-5ee19ed8cb4f}">
    <Anchor>
      <Comment id="{e22c8c37-9857-4304-9f5d-7b4968fe7754}"/>
    </Anchor>
    <History>
      <Event time="2026-02-24T23:01:22.00" id="{b034c061-efd7-4dbf-b63c-37601a563e22}">
        <Attribution userId="placeholder@email.com" userName="Rafael Bernardo" userProvider="google-sheets"/>
        <Anchor>
          <Comment id="{e22c8c37-9857-4304-9f5d-7b4968fe7754}"/>
        </Anchor>
        <Create/>
      </Event>
      <Event time="2026-02-24T23:01:22.00" id="{60955488-024b-4e0c-ac0b-1a1c5b3d4425}">
        <Attribution userId="placeholder@email.com" userName="Rafael Bernardo" userProvider="google-sheets"/>
        <Anchor>
          <Comment id="{e22c8c37-9857-4304-9f5d-7b4968fe7754}"/>
        </Anchor>
        <Assign userId="isabel@coryhometeam.com" userName="isabel@coryhometeam.com" userProvider="google-sheets"/>
      </Event>
    </History>
  </Task>
  <Task id="{d15d93d0-eb09-4c07-85de-b538706cc3d1}">
    <Anchor>
      <Comment id="{28a11398-6eeb-42b0-b147-17506b00ddd2}"/>
    </Anchor>
    <History>
      <Event time="2026-03-05T00:24:57.00" id="{068a5307-238e-44c2-95da-01058eb62ca7}">
        <Attribution userId="placeholder@email.com" userName="Jam Bernardo" userProvider="google-sheets"/>
        <Anchor>
          <Comment id="{28a11398-6eeb-42b0-b147-17506b00ddd2}"/>
        </Anchor>
        <Create/>
      </Event>
      <Event time="2026-03-05T00:24:57.00" id="{0cdf6bad-166f-4b00-a50f-c3e98c5de590}">
        <Attribution userId="placeholder@email.com" userName="Jam Bernardo" userProvider="google-sheets"/>
        <Anchor>
          <Comment id="{28a11398-6eeb-42b0-b147-17506b00ddd2}"/>
        </Anchor>
        <Assign userId="isabel@coryhometeam.com" userName="isabel@coryhometeam.com" userProvider="google-sheets"/>
      </Event>
    </History>
  </Task>
  <Task id="{24b0b6c5-0aeb-4468-a3ae-04a7cfe6f045}">
    <Anchor>
      <Comment id="{71e3b0c7-091e-4462-8cfc-57c833ac3b5e}"/>
    </Anchor>
    <History>
      <Event time="2026-05-05T13:27:22.00" id="{a79b3f13-83a3-44c7-b427-2012bde405fe}">
        <Attribution userId="placeholder@email.com" userName="Rafael Bernardo" userProvider="google-sheets"/>
        <Anchor>
          <Comment id="{71e3b0c7-091e-4462-8cfc-57c833ac3b5e}"/>
        </Anchor>
        <Create/>
      </Event>
      <Event time="2026-05-05T13:27:22.00" id="{400b321c-168f-477c-8ed7-5b67ac8409e6}">
        <Attribution userId="placeholder@email.com" userName="Rafael Bernardo" userProvider="google-sheets"/>
        <Anchor>
          <Comment id="{71e3b0c7-091e-4462-8cfc-57c833ac3b5e}"/>
        </Anchor>
        <Assign userId="isabel@coryhometeam.com" userName="isabel@coryhometeam.com" userProvider="google-sheets"/>
      </Event>
    </History>
  </Task>
  <Task id="{1113f5be-4c47-452d-8b91-b0ecc0c205e5}">
    <Anchor>
      <Comment id="{730d9edd-7ac7-469d-8d77-ebe58a7114cc}"/>
    </Anchor>
    <History>
      <Event time="2026-04-02T05:53:26.00" id="{fb9b9636-88b4-42ae-ad64-952e2201c295}">
        <Attribution userId="placeholder@email.com" userName="Rafael Bernardo" userProvider="google-sheets"/>
        <Anchor>
          <Comment id="{730d9edd-7ac7-469d-8d77-ebe58a7114cc}"/>
        </Anchor>
        <Create/>
      </Event>
      <Event time="2026-04-02T05:53:26.00" id="{e4d35b30-a174-4d0a-a464-614ce6e96095}">
        <Attribution userId="placeholder@email.com" userName="Rafael Bernardo" userProvider="google-sheets"/>
        <Anchor>
          <Comment id="{730d9edd-7ac7-469d-8d77-ebe58a7114cc}"/>
        </Anchor>
        <Assign userId="isabel@coryhometeam.com" userName="isabel@coryhometeam.com" userProvider="google-sheets"/>
      </Event>
    </History>
  </Task>
  <Task id="{e5b7e6ac-71e1-45f8-982e-c31c810b70ae}">
    <Anchor>
      <Comment id="{69bf8095-15ff-4879-811a-e3cf9ab3912e}"/>
    </Anchor>
    <History>
      <Event time="2026-01-22T23:29:12.00" id="{b4a3ff8c-e959-4de4-9913-ed025f01ad36}">
        <Attribution userId="placeholder@email.com" userName="Jam Bernardo" userProvider="google-sheets"/>
        <Anchor>
          <Comment id="{69bf8095-15ff-4879-811a-e3cf9ab3912e}"/>
        </Anchor>
        <Create/>
      </Event>
      <Event time="2026-01-22T23:29:12.00" id="{fc63da30-ed56-4205-b17b-369a9d478254}">
        <Attribution userId="placeholder@email.com" userName="Jam Bernardo" userProvider="google-sheets"/>
        <Anchor>
          <Comment id="{69bf8095-15ff-4879-811a-e3cf9ab3912e}"/>
        </Anchor>
        <Assign userId="isabel@coryhometeam.com" userName="isabel@coryhometeam.com" userProvider="google-sheets"/>
      </Event>
    </History>
  </Task>
  <Task id="{31b3b400-7638-41a5-8259-eee97d848a7a}">
    <Anchor>
      <Comment id="{28be63fd-dfbd-4083-93b9-0b997d82e7c7}"/>
    </Anchor>
    <History>
      <Event time="2026-02-03T23:24:06.00" id="{7d12b09c-ceb7-4e85-a440-4da35d700932}">
        <Attribution userId="placeholder@email.com" userName="Dana Martinez" userProvider="google-sheets"/>
        <Anchor>
          <Comment id="{28be63fd-dfbd-4083-93b9-0b997d82e7c7}"/>
        </Anchor>
        <Create/>
      </Event>
      <Event time="2026-02-03T23:24:06.00" id="{a3307ff6-49f2-44a5-88de-4c253d6a9186}">
        <Attribution userId="placeholder@email.com" userName="Dana Martinez" userProvider="google-sheets"/>
        <Anchor>
          <Comment id="{28be63fd-dfbd-4083-93b9-0b997d82e7c7}"/>
        </Anchor>
        <Assign userId="isabel@coryhometeam.com" userName="isabel@coryhometeam.com" userProvider="google-sheets"/>
      </Event>
    </History>
  </Task>
  <Task id="{9301852c-60e6-4966-af8a-1637a50bc686}">
    <Anchor>
      <Comment id="{fd8c374f-1074-470a-b113-d1f81a3bcb29}"/>
    </Anchor>
    <History>
      <Event time="2026-02-27T15:44:36.00" id="{d05ad599-23f7-4a44-95fc-4fee571fb684}">
        <Attribution userId="placeholder@email.com" userName="Rafael Bernardo" userProvider="google-sheets"/>
        <Anchor>
          <Comment id="{fd8c374f-1074-470a-b113-d1f81a3bcb29}"/>
        </Anchor>
        <Create/>
      </Event>
      <Event time="2026-02-27T15:44:36.00" id="{7a24454c-ecd9-4859-a4e0-c9c238b7949b}">
        <Attribution userId="placeholder@email.com" userName="Rafael Bernardo" userProvider="google-sheets"/>
        <Anchor>
          <Comment id="{fd8c374f-1074-470a-b113-d1f81a3bcb29}"/>
        </Anchor>
        <Assign userId="isabel@coryhometeam.com" userName="isabel@coryhometeam.com" userProvider="google-sheets"/>
      </Event>
    </History>
  </Task>
  <Task id="{3704cbec-c848-492e-8986-95970052f0b4}">
    <Anchor>
      <Comment id="{ff7c1962-8470-40dc-a338-d59ec520ef06}"/>
    </Anchor>
    <History>
      <Event time="2026-04-23T12:06:53.00" id="{96c272f1-01f8-4687-904b-4ca6940f71cd}">
        <Attribution userId="placeholder@email.com" userName="Rafael Bernardo" userProvider="google-sheets"/>
        <Anchor>
          <Comment id="{ff7c1962-8470-40dc-a338-d59ec520ef06}"/>
        </Anchor>
        <Create/>
      </Event>
      <Event time="2026-04-23T12:06:53.00" id="{a99671d4-cf32-4197-bcb6-0f6eb25956a4}">
        <Attribution userId="placeholder@email.com" userName="Rafael Bernardo" userProvider="google-sheets"/>
        <Anchor>
          <Comment id="{ff7c1962-8470-40dc-a338-d59ec520ef06}"/>
        </Anchor>
        <Assign userId="isabel@coryhometeam.com" userName="isabel@coryhometeam.com" userProvider="google-sheets"/>
      </Event>
    </History>
  </Task>
  <Task id="{c7ed33ee-de56-47a8-a032-162c3ec9f8c3}">
    <Anchor>
      <Comment id="{8b5c66b2-8f6b-4197-8683-6149bcb75c27}"/>
    </Anchor>
    <History>
      <Event time="2026-04-14T12:04:28.00" id="{7a121e32-c53e-4d33-9473-5401b302690c}">
        <Attribution userId="placeholder@email.com" userName="Rafael Bernardo" userProvider="google-sheets"/>
        <Anchor>
          <Comment id="{8b5c66b2-8f6b-4197-8683-6149bcb75c27}"/>
        </Anchor>
        <Create/>
      </Event>
      <Event time="2026-04-14T12:04:28.00" id="{95de6e44-5790-413f-92db-d7fefeb6c839}">
        <Attribution userId="placeholder@email.com" userName="Rafael Bernardo" userProvider="google-sheets"/>
        <Anchor>
          <Comment id="{8b5c66b2-8f6b-4197-8683-6149bcb75c27}"/>
        </Anchor>
        <Assign userId="isabel@coryhometeam.com" userName="isabel@coryhometeam.com" userProvider="google-sheets"/>
      </Event>
    </History>
  </Task>
  <Task id="{3ffda34f-ebb6-40ba-85ee-f46e63f11139}">
    <Anchor>
      <Comment id="{9105c30a-d080-4be5-a918-daa8f9da4348}"/>
    </Anchor>
    <History>
      <Event time="2026-05-19T16:12:18.00" id="{777c791a-38ba-4d84-b8ac-be3dc53928fe}">
        <Attribution userId="placeholder@email.com" userName="Rafael Bernardo" userProvider="google-sheets"/>
        <Anchor>
          <Comment id="{9105c30a-d080-4be5-a918-daa8f9da4348}"/>
        </Anchor>
        <Create/>
      </Event>
      <Event time="2026-05-19T16:12:18.00" id="{1464086e-f739-44fa-ae26-f5568f8e50a3}">
        <Attribution userId="placeholder@email.com" userName="Rafael Bernardo" userProvider="google-sheets"/>
        <Anchor>
          <Comment id="{9105c30a-d080-4be5-a918-daa8f9da4348}"/>
        </Anchor>
        <Assign userId="isabel@coryhometeam.com" userName="isabel@coryhometeam.com" userProvider="google-sheets"/>
      </Event>
    </History>
  </Task>
  <Task id="{24871c1e-a1a8-412f-9f1b-90f7e8984be5}">
    <Anchor>
      <Comment id="{f1cb8ad5-b62f-454b-b3f7-fb77b3684532}"/>
    </Anchor>
    <History>
      <Event time="2026-02-12T22:48:07.00" id="{d06424f5-ccaf-4f92-9d40-b024a09d1240}">
        <Attribution userId="placeholder@email.com" userName="Jam Bernardo" userProvider="google-sheets"/>
        <Anchor>
          <Comment id="{f1cb8ad5-b62f-454b-b3f7-fb77b3684532}"/>
        </Anchor>
        <Create/>
      </Event>
      <Event time="2026-02-12T22:48:07.00" id="{ea20e775-4015-4c3f-bb0b-6b620279fb21}">
        <Attribution userId="placeholder@email.com" userName="Jam Bernardo" userProvider="google-sheets"/>
        <Anchor>
          <Comment id="{f1cb8ad5-b62f-454b-b3f7-fb77b3684532}"/>
        </Anchor>
        <Assign userId="isabel@coryhometeam.com" userName="isabel@coryhometeam.com" userProvider="google-sheets"/>
      </Event>
    </History>
  </Task>
  <Task id="{f1b97632-b33a-4999-b581-76c26ad8a4a8}">
    <Anchor>
      <Comment id="{7f4fb3e2-14ca-4a60-8e5e-f846292d9013}"/>
    </Anchor>
    <History>
      <Event time="2026-02-03T23:26:46.00" id="{4adf24cd-c9e8-4f30-95a2-210273f721dd}">
        <Attribution userId="placeholder@email.com" userName="Dana Martinez" userProvider="google-sheets"/>
        <Anchor>
          <Comment id="{7f4fb3e2-14ca-4a60-8e5e-f846292d9013}"/>
        </Anchor>
        <Create/>
      </Event>
      <Event time="2026-02-03T23:26:46.00" id="{6f4839f9-4500-4b1b-a831-a9a7d6621b5c}">
        <Attribution userId="placeholder@email.com" userName="Dana Martinez" userProvider="google-sheets"/>
        <Anchor>
          <Comment id="{7f4fb3e2-14ca-4a60-8e5e-f846292d9013}"/>
        </Anchor>
        <Assign userId="isabel@coryhometeam.com" userName="isabel@coryhometeam.com" userProvider="google-sheets"/>
      </Event>
    </History>
  </Task>
  <Task id="{87fbc3ae-e65d-4670-8bd2-ad8528b35be7}">
    <Anchor>
      <Comment id="{91e125c1-5773-496e-a7de-08939834e085}"/>
    </Anchor>
    <History>
      <Event time="2026-02-04T00:13:52.00" id="{5cc3b70d-a7b5-4288-8236-d478f5c3539f}">
        <Attribution userId="placeholder@email.com" userName="Jam Bernardo" userProvider="google-sheets"/>
        <Anchor>
          <Comment id="{91e125c1-5773-496e-a7de-08939834e085}"/>
        </Anchor>
        <Create/>
      </Event>
      <Event time="2026-02-04T00:13:52.00" id="{6408738f-230d-45c7-b253-346fe18f0cb5}">
        <Attribution userId="placeholder@email.com" userName="Jam Bernardo" userProvider="google-sheets"/>
        <Anchor>
          <Comment id="{91e125c1-5773-496e-a7de-08939834e085}"/>
        </Anchor>
        <Assign userId="isabel@coryhometeam.com" userName="isabel@coryhometeam.com" userProvider="google-sheets"/>
      </Event>
    </History>
  </Task>
  <Task id="{1584cee6-13c2-49c1-9e05-afa712edb3e0}">
    <Anchor>
      <Comment id="{c77d2a14-bf40-44c7-b4b8-8e897ce7901c}"/>
    </Anchor>
    <History>
      <Event time="2026-02-04T00:10:53.00" id="{da49b4fb-e2ce-471c-bb75-fae4dc11527f}">
        <Attribution userId="placeholder@email.com" userName="Jam Bernardo" userProvider="google-sheets"/>
        <Anchor>
          <Comment id="{c77d2a14-bf40-44c7-b4b8-8e897ce7901c}"/>
        </Anchor>
        <Create/>
      </Event>
      <Event time="2026-02-04T00:10:53.00" id="{d9cb4322-9913-4018-afb6-d42441d0ee9b}">
        <Attribution userId="placeholder@email.com" userName="Jam Bernardo" userProvider="google-sheets"/>
        <Anchor>
          <Comment id="{c77d2a14-bf40-44c7-b4b8-8e897ce7901c}"/>
        </Anchor>
        <Assign userId="isabel@coryhometeam.com" userName="isabel@coryhometeam.com" userProvider="google-sheets"/>
      </Event>
    </History>
  </Task>
  <Task id="{a4f3a3f8-3aa7-4fc5-ab78-b31bf404b6bd}">
    <Anchor>
      <Comment id="{38b8e0e1-0250-41c8-950d-02dadb47a438}"/>
    </Anchor>
    <History>
      <Event time="2026-02-03T23:26:07.00" id="{53c06850-98ae-4fc1-9252-5b63a4346240}">
        <Attribution userId="placeholder@email.com" userName="Dana Martinez" userProvider="google-sheets"/>
        <Anchor>
          <Comment id="{38b8e0e1-0250-41c8-950d-02dadb47a438}"/>
        </Anchor>
        <Create/>
      </Event>
      <Event time="2026-02-03T23:26:07.00" id="{03db2af0-f6aa-4fe0-8deb-805486f263fc}">
        <Attribution userId="placeholder@email.com" userName="Dana Martinez" userProvider="google-sheets"/>
        <Anchor>
          <Comment id="{38b8e0e1-0250-41c8-950d-02dadb47a438}"/>
        </Anchor>
        <Assign userId="isabel@coryhometeam.com" userName="isabel@coryhometeam.com" userProvider="google-sheets"/>
      </Event>
    </History>
  </Task>
  <Task id="{eb9f8f23-9342-4d37-9ed6-fa231191c21e}">
    <Anchor>
      <Comment id="{8fe87287-1a13-4eee-8e3c-7d6060eae0dc}"/>
    </Anchor>
    <History>
      <Event time="2026-02-13T00:43:34.00" id="{d2e7c89a-36cc-45b3-b6b2-71bb92f8ba3f}">
        <Attribution userId="placeholder@email.com" userName="Jam Bernardo" userProvider="google-sheets"/>
        <Anchor>
          <Comment id="{8fe87287-1a13-4eee-8e3c-7d6060eae0dc}"/>
        </Anchor>
        <Create/>
      </Event>
      <Event time="2026-02-13T00:43:34.00" id="{37a6e41b-a704-4139-97f7-b060574d2fbc}">
        <Attribution userId="placeholder@email.com" userName="Jam Bernardo" userProvider="google-sheets"/>
        <Anchor>
          <Comment id="{8fe87287-1a13-4eee-8e3c-7d6060eae0dc}"/>
        </Anchor>
        <Assign userId="isabel@coryhometeam.com" userName="isabel@coryhometeam.com" userProvider="google-sheets"/>
      </Event>
    </History>
  </Task>
  <Task id="{81626c34-01f0-43a2-90ba-adb21e7f1d7b}">
    <Anchor>
      <Comment id="{90f2b34b-2890-4d6c-b387-4ed1739779da}"/>
    </Anchor>
    <History>
      <Event time="2026-02-03T15:20:26.00" id="{7a85f0b9-7c31-4b45-966e-a1715d7d9270}">
        <Attribution userId="placeholder@email.com" userName="Jam Bernardo" userProvider="google-sheets"/>
        <Anchor>
          <Comment id="{90f2b34b-2890-4d6c-b387-4ed1739779da}"/>
        </Anchor>
        <Create/>
      </Event>
      <Event time="2026-02-03T15:20:26.00" id="{dc01f533-bcba-4b74-bbbe-a37d6b0eec95}">
        <Attribution userId="placeholder@email.com" userName="Jam Bernardo" userProvider="google-sheets"/>
        <Anchor>
          <Comment id="{90f2b34b-2890-4d6c-b387-4ed1739779da}"/>
        </Anchor>
        <Assign userId="isabel@coryhometeam.com" userName="isabel@coryhometeam.com" userProvider="google-sheets"/>
      </Event>
    </History>
  </Task>
  <Task id="{35e71335-00b0-4cc5-aeb6-ea0d89e4f747}">
    <Anchor>
      <Comment id="{25537d7b-93d4-4850-98ec-dcd841c27fb3}"/>
    </Anchor>
    <History>
      <Event time="2026-05-15T14:30:16.00" id="{7a2313f0-8f3c-4ac5-a8b9-72f4977b30ef}">
        <Attribution userId="placeholder@email.com" userName="Jam Bernardo" userProvider="google-sheets"/>
        <Anchor>
          <Comment id="{25537d7b-93d4-4850-98ec-dcd841c27fb3}"/>
        </Anchor>
        <Create/>
      </Event>
      <Event time="2026-05-15T14:30:16.00" id="{e0df43c5-fb4d-46fa-9929-0c83e6058570}">
        <Attribution userId="placeholder@email.com" userName="Jam Bernardo" userProvider="google-sheets"/>
        <Anchor>
          <Comment id="{25537d7b-93d4-4850-98ec-dcd841c27fb3}"/>
        </Anchor>
        <Assign userId="isabel@coryhometeam.com" userName="isabel@coryhometeam.com" userProvider="google-sheets"/>
      </Event>
    </History>
  </Task>
  <Task id="{ab02dc0a-f583-4bce-9139-aef5c24d8ff2}">
    <Anchor>
      <Comment id="{2f1fc3de-2463-4c25-866b-4df9b8aeef48}"/>
    </Anchor>
    <History>
      <Event time="2026-02-27T16:47:17.00" id="{e1d261ff-98a1-47d2-8e81-6ce7cdb7460a}">
        <Attribution userId="placeholder@email.com" userName="Rafael Bernardo" userProvider="google-sheets"/>
        <Anchor>
          <Comment id="{2f1fc3de-2463-4c25-866b-4df9b8aeef48}"/>
        </Anchor>
        <Create/>
      </Event>
      <Event time="2026-02-27T16:47:17.00" id="{31a10e57-82a4-4124-9a47-06b0aed8d25f}">
        <Attribution userId="placeholder@email.com" userName="Rafael Bernardo" userProvider="google-sheets"/>
        <Anchor>
          <Comment id="{2f1fc3de-2463-4c25-866b-4df9b8aeef48}"/>
        </Anchor>
        <Assign userId="isabel@coryhometeam.com" userName="isabel@coryhometeam.com" userProvider="google-sheets"/>
      </Event>
    </History>
  </Task>
  <Task id="{02144a19-745d-4af2-b351-855ea3baab32}">
    <Anchor>
      <Comment id="{ae1a1a54-09fb-43d5-ad0c-44ea4180e4bd}"/>
    </Anchor>
    <History>
      <Event time="2026-02-03T14:20:53.00" id="{30354ca1-8922-4beb-b9fb-07a0c183257b}">
        <Attribution userId="placeholder@email.com" userName="Jam Bernardo" userProvider="google-sheets"/>
        <Anchor>
          <Comment id="{ae1a1a54-09fb-43d5-ad0c-44ea4180e4bd}"/>
        </Anchor>
        <Create/>
      </Event>
      <Event time="2026-02-03T14:20:53.00" id="{a2d1213d-575b-4940-a183-0cd946d1d7c8}">
        <Attribution userId="placeholder@email.com" userName="Jam Bernardo" userProvider="google-sheets"/>
        <Anchor>
          <Comment id="{ae1a1a54-09fb-43d5-ad0c-44ea4180e4bd}"/>
        </Anchor>
        <Assign userId="isabel@coryhometeam.com" userName="isabel@coryhometeam.com" userProvider="google-sheets"/>
      </Event>
    </History>
  </Task>
  <Task id="{bfed48b7-0b92-4c2a-9422-6338446e07fb}">
    <Anchor>
      <Comment id="{33efeaa3-d3f7-4e9b-bd3d-e02fbaf2754a}"/>
    </Anchor>
    <History>
      <Event time="2026-03-27T22:37:29.00" id="{1d6e7244-3042-466c-bf87-458e6e478306}">
        <Attribution userId="placeholder@email.com" userName="Rafael Bernardo" userProvider="google-sheets"/>
        <Anchor>
          <Comment id="{33efeaa3-d3f7-4e9b-bd3d-e02fbaf2754a}"/>
        </Anchor>
        <Create/>
      </Event>
      <Event time="2026-03-27T22:37:29.00" id="{4a2b08ef-009a-4910-98ae-7439362b85da}">
        <Attribution userId="placeholder@email.com" userName="Rafael Bernardo" userProvider="google-sheets"/>
        <Anchor>
          <Comment id="{33efeaa3-d3f7-4e9b-bd3d-e02fbaf2754a}"/>
        </Anchor>
        <Assign userId="isabel@coryhometeam.com" userName="isabel@coryhometeam.com" userProvider="google-sheets"/>
      </Event>
    </History>
  </Task>
  <Task id="{5731a9c1-578c-4724-88b6-c917120715e5}">
    <Anchor>
      <Comment id="{904a0417-15d6-48ec-ba27-4607e7c18e4b}"/>
    </Anchor>
    <History>
      <Event time="2026-01-14T22:36:25.00" id="{780741db-c670-4d93-8148-1558f703b190}">
        <Attribution userId="placeholder@email.com" userName="Rafael Bernardo" userProvider="google-sheets"/>
        <Anchor>
          <Comment id="{904a0417-15d6-48ec-ba27-4607e7c18e4b}"/>
        </Anchor>
        <Create/>
      </Event>
      <Event time="2026-01-14T22:36:25.00" id="{2c40a461-96e9-45bd-9e80-663da085526c}">
        <Attribution userId="placeholder@email.com" userName="Rafael Bernardo" userProvider="google-sheets"/>
        <Anchor>
          <Comment id="{904a0417-15d6-48ec-ba27-4607e7c18e4b}"/>
        </Anchor>
        <Assign userId="isabel@coryhometeam.com" userName="isabel@coryhometeam.com" userProvider="google-sheets"/>
      </Event>
    </History>
  </Task>
  <Task id="{a86dc0bf-abd3-45a6-a19e-7ecb4068ced3}">
    <Anchor>
      <Comment id="{95645de3-0002-4626-80fa-932489732038}"/>
    </Anchor>
    <History>
      <Event time="2026-03-17T18:33:46.00" id="{26272617-11ec-4626-95d3-a1c8099e3be2}">
        <Attribution userId="placeholder@email.com" userName="Rafael Bernardo" userProvider="google-sheets"/>
        <Anchor>
          <Comment id="{95645de3-0002-4626-80fa-932489732038}"/>
        </Anchor>
        <Create/>
      </Event>
      <Event time="2026-03-17T18:33:46.00" id="{dfb16586-52c1-4a90-9d54-12749c629102}">
        <Attribution userId="placeholder@email.com" userName="Rafael Bernardo" userProvider="google-sheets"/>
        <Anchor>
          <Comment id="{95645de3-0002-4626-80fa-932489732038}"/>
        </Anchor>
        <Assign userId="isabel@coryhometeam.com" userName="isabel@coryhometeam.com" userProvider="google-sheets"/>
      </Event>
    </History>
  </Task>
  <Task id="{bf18699f-a081-413b-903c-ffa7edeb34e3}">
    <Anchor>
      <Comment id="{40cb564f-9ea5-4497-8fd1-bee19cd95457}"/>
    </Anchor>
    <History>
      <Event time="2026-04-17T07:59:37.00" id="{2dfa3a9d-3fb6-4360-b809-d8a8975708cc}">
        <Attribution userId="placeholder@email.com" userName="Rafael Bernardo" userProvider="google-sheets"/>
        <Anchor>
          <Comment id="{40cb564f-9ea5-4497-8fd1-bee19cd95457}"/>
        </Anchor>
        <Create/>
      </Event>
      <Event time="2026-04-17T07:59:37.00" id="{d80bccd5-635e-4fcb-8ffe-81fc0c665f8b}">
        <Attribution userId="placeholder@email.com" userName="Rafael Bernardo" userProvider="google-sheets"/>
        <Anchor>
          <Comment id="{40cb564f-9ea5-4497-8fd1-bee19cd95457}"/>
        </Anchor>
        <Assign userId="isabel@coryhometeam.com" userName="isabel@coryhometeam.com" userProvider="google-sheets"/>
      </Event>
    </History>
  </Task>
  <Task id="{6fc88c40-52bb-4848-891b-c08b701fc615}">
    <Anchor>
      <Comment id="{d65b412e-bad6-4d47-aae6-559405076b55}"/>
    </Anchor>
    <History>
      <Event time="2026-04-17T08:12:26.00" id="{3f1f98fe-6428-49f1-a5aa-1a085c82c478}">
        <Attribution userId="placeholder@email.com" userName="Rafael Bernardo" userProvider="google-sheets"/>
        <Anchor>
          <Comment id="{d65b412e-bad6-4d47-aae6-559405076b55}"/>
        </Anchor>
        <Create/>
      </Event>
      <Event time="2026-04-17T08:12:26.00" id="{1747d073-cc07-4dee-bcfe-baa0f0c38f7b}">
        <Attribution userId="placeholder@email.com" userName="Rafael Bernardo" userProvider="google-sheets"/>
        <Anchor>
          <Comment id="{d65b412e-bad6-4d47-aae6-559405076b55}"/>
        </Anchor>
        <Assign userId="isabel@coryhometeam.com" userName="isabel@coryhometeam.com" userProvider="google-sheets"/>
      </Event>
    </History>
  </Task>
  <Task id="{f8684afe-c00e-4717-b361-c2c943bd6858}">
    <Anchor>
      <Comment id="{da04759f-da8a-4f0a-927c-abfc3cdcb58b}"/>
    </Anchor>
    <History>
      <Event time="2026-06-01T23:36:20.00" id="{3a8de1b7-262c-49f4-b65c-e19e330dcda2}">
        <Attribution userId="placeholder@email.com" userName="Rafael Bernardo" userProvider="google-sheets"/>
        <Anchor>
          <Comment id="{da04759f-da8a-4f0a-927c-abfc3cdcb58b}"/>
        </Anchor>
        <Create/>
      </Event>
      <Event time="2026-06-01T23:36:20.00" id="{8fdeb0e9-e81b-4677-8546-f77802c9c167}">
        <Attribution userId="placeholder@email.com" userName="Rafael Bernardo" userProvider="google-sheets"/>
        <Anchor>
          <Comment id="{da04759f-da8a-4f0a-927c-abfc3cdcb58b}"/>
        </Anchor>
        <Assign userId="isabel@coryhometeam.com" userName="isabel@coryhometeam.com" userProvider="google-sheets"/>
      </Event>
    </History>
  </Task>
  <Task id="{8cbb017e-86b9-4acb-8e15-3832534b476b}">
    <Anchor>
      <Comment id="{619d5cd8-e64e-48f7-892b-1f620d8b200e}"/>
    </Anchor>
    <History>
      <Event time="2026-03-20T12:46:14.00" id="{f3995e65-71c0-4620-a105-4c3a1063e49c}">
        <Attribution userId="placeholder@email.com" userName="Rafael Bernardo" userProvider="google-sheets"/>
        <Anchor>
          <Comment id="{619d5cd8-e64e-48f7-892b-1f620d8b200e}"/>
        </Anchor>
        <Create/>
      </Event>
      <Event time="2026-03-20T12:46:14.00" id="{353388a1-f49a-47fe-a1de-31356c1c5a6b}">
        <Attribution userId="placeholder@email.com" userName="Rafael Bernardo" userProvider="google-sheets"/>
        <Anchor>
          <Comment id="{619d5cd8-e64e-48f7-892b-1f620d8b200e}"/>
        </Anchor>
        <Assign userId="isabel@coryhometeam.com" userName="isabel@coryhometeam.com" userProvider="google-sheets"/>
      </Event>
    </History>
  </Task>
  <Task id="{e434ddb6-1843-48e1-8f13-b32a9f76c640}">
    <Anchor>
      <Comment id="{149c1c73-c047-4890-98eb-ac4719750639}"/>
    </Anchor>
    <History>
      <Event time="2026-01-27T15:45:31.00" id="{3a94f6bd-7331-4dd5-9445-b3bd5924e1c3}">
        <Attribution userId="placeholder@email.com" userName="Alexis Cassidy" userProvider="google-sheets"/>
        <Anchor>
          <Comment id="{149c1c73-c047-4890-98eb-ac4719750639}"/>
        </Anchor>
        <Create/>
      </Event>
      <Event time="2026-01-27T15:45:31.00" id="{38defcbb-7b76-4748-b195-c2c3b5a56339}">
        <Attribution userId="placeholder@email.com" userName="Alexis Cassidy" userProvider="google-sheets"/>
        <Anchor>
          <Comment id="{149c1c73-c047-4890-98eb-ac4719750639}"/>
        </Anchor>
        <Assign userId="dana@coryhometeam.com" userName="dana@coryhometeam.com" userProvider="google-sheets"/>
      </Event>
    </History>
  </Task>
  <Task id="{75efeebf-92a7-4be8-bafe-749509b2a76d}">
    <Anchor>
      <Comment id="{43bd6c6a-b518-4c7c-8b1a-31a8a70aebea}"/>
    </Anchor>
    <History>
      <Event time="2026-03-05T10:47:36.00" id="{65e3a594-5f65-426d-b6c7-7fe244b00cff}">
        <Attribution userId="placeholder@email.com" userName="Rafael Bernardo" userProvider="google-sheets"/>
        <Anchor>
          <Comment id="{43bd6c6a-b518-4c7c-8b1a-31a8a70aebea}"/>
        </Anchor>
        <Create/>
      </Event>
      <Event time="2026-03-05T10:47:36.00" id="{0d2b2b42-a775-4d5b-92e7-76649b8e9ab4}">
        <Attribution userId="placeholder@email.com" userName="Rafael Bernardo" userProvider="google-sheets"/>
        <Anchor>
          <Comment id="{43bd6c6a-b518-4c7c-8b1a-31a8a70aebea}"/>
        </Anchor>
        <Assign userId="isabel@coryhometeam.com" userName="isabel@coryhometeam.com" userProvider="google-sheets"/>
      </Event>
    </History>
  </Task>
  <Task id="{35bb4eba-0fc2-47d4-8d9f-c521065a52d9}">
    <Anchor>
      <Comment id="{939f3c48-fe16-47ac-8d80-6c7e556f59d6}"/>
    </Anchor>
    <History>
      <Event time="2026-04-22T21:03:22.00" id="{fbdb47ed-4605-42ed-b152-8d506723f45c}">
        <Attribution userId="placeholder@email.com" userName="Kenia Bautista" userProvider="google-sheets"/>
        <Anchor>
          <Comment id="{939f3c48-fe16-47ac-8d80-6c7e556f59d6}"/>
        </Anchor>
        <Create/>
      </Event>
      <Event time="2026-04-22T21:03:22.00" id="{225eb5ee-1de0-4496-9ecc-6b3ff3cfa583}">
        <Attribution userId="placeholder@email.com" userName="Kenia Bautista" userProvider="google-sheets"/>
        <Anchor>
          <Comment id="{939f3c48-fe16-47ac-8d80-6c7e556f59d6}"/>
        </Anchor>
        <Assign userId="dana@coryhometeam.com" userName="dana@coryhometeam.com" userProvider="google-sheets"/>
      </Event>
    </History>
  </Task>
  <Task id="{cdeeee3a-c331-4f5c-addc-9fe48c01b028}">
    <Anchor>
      <Comment id="{18ce581d-9b97-41e0-a670-a26ca14e7ec7}"/>
    </Anchor>
    <History>
      <Event time="2026-02-24T23:37:41.00" id="{69694853-3ff9-4d2c-abcd-3661ea0dc506}">
        <Attribution userId="placeholder@email.com" userName="Jam Bernardo" userProvider="google-sheets"/>
        <Anchor>
          <Comment id="{18ce581d-9b97-41e0-a670-a26ca14e7ec7}"/>
        </Anchor>
        <Create/>
      </Event>
      <Event time="2026-02-24T23:37:41.00" id="{22190ede-4c0b-4e21-97c0-4f7ca462f314}">
        <Attribution userId="placeholder@email.com" userName="Jam Bernardo" userProvider="google-sheets"/>
        <Anchor>
          <Comment id="{18ce581d-9b97-41e0-a670-a26ca14e7ec7}"/>
        </Anchor>
        <Assign userId="isabel@coryhometeam.com" userName="isabel@coryhometeam.com" userProvider="google-sheets"/>
      </Event>
    </History>
  </Task>
  <Task id="{943ab8ac-1bfb-40a9-8267-2d99ba97e930}">
    <Anchor>
      <Comment id="{c8e0b4f5-30b6-47cc-ac7b-44922f7198cf}"/>
    </Anchor>
    <History>
      <Event time="2026-03-20T10:19:46.00" id="{7d4b0450-3bc2-437e-afd2-bf745af1c235}">
        <Attribution userId="placeholder@email.com" userName="Rafael Bernardo" userProvider="google-sheets"/>
        <Anchor>
          <Comment id="{c8e0b4f5-30b6-47cc-ac7b-44922f7198cf}"/>
        </Anchor>
        <Create/>
      </Event>
      <Event time="2026-03-20T10:19:46.00" id="{62c65623-1650-4910-a610-2252018e0275}">
        <Attribution userId="placeholder@email.com" userName="Rafael Bernardo" userProvider="google-sheets"/>
        <Anchor>
          <Comment id="{c8e0b4f5-30b6-47cc-ac7b-44922f7198cf}"/>
        </Anchor>
        <Assign userId="isabel@coryhometeam.com" userName="isabel@coryhometeam.com" userProvider="google-sheets"/>
      </Event>
    </History>
  </Task>
  <Task id="{d54d3a7d-8829-4f12-b417-5848739b0f61}">
    <Anchor>
      <Comment id="{52e9cdb0-2ab9-4214-9da9-5a416bfb5064}"/>
    </Anchor>
    <History>
      <Event time="2026-01-15T00:13:53.00" id="{be070c37-d8db-4635-bf24-d5a5267e0b4d}">
        <Attribution userId="placeholder@email.com" userName="Jam Bernardo" userProvider="google-sheets"/>
        <Anchor>
          <Comment id="{52e9cdb0-2ab9-4214-9da9-5a416bfb5064}"/>
        </Anchor>
        <Create/>
      </Event>
      <Event time="2026-01-15T00:13:53.00" id="{d2fe0766-3689-47a7-8619-e9edcaf16693}">
        <Attribution userId="placeholder@email.com" userName="Jam Bernardo" userProvider="google-sheets"/>
        <Anchor>
          <Comment id="{52e9cdb0-2ab9-4214-9da9-5a416bfb5064}"/>
        </Anchor>
        <Assign userId="isabel@coryhometeam.com" userName="isabel@coryhometeam.com" userProvider="google-sheets"/>
      </Event>
    </History>
  </Task>
  <Task id="{3a87228e-d92a-41a3-8424-630dd90ca76e}">
    <Anchor>
      <Comment id="{af45f779-e434-41ea-bd2e-88bd2b6b9bbc}"/>
    </Anchor>
    <History>
      <Event time="2026-03-20T10:24:54.00" id="{f34772c6-8b8e-47fb-b345-e862645e0837}">
        <Attribution userId="placeholder@email.com" userName="Rafael Bernardo" userProvider="google-sheets"/>
        <Anchor>
          <Comment id="{af45f779-e434-41ea-bd2e-88bd2b6b9bbc}"/>
        </Anchor>
        <Create/>
      </Event>
      <Event time="2026-03-20T10:24:54.00" id="{9ccabbfb-a045-4bf4-905f-a59beabf28c0}">
        <Attribution userId="placeholder@email.com" userName="Rafael Bernardo" userProvider="google-sheets"/>
        <Anchor>
          <Comment id="{af45f779-e434-41ea-bd2e-88bd2b6b9bbc}"/>
        </Anchor>
        <Assign userId="isabel@coryhometeam.com" userName="isabel@coryhometeam.com" userProvider="google-sheets"/>
      </Event>
    </History>
  </Task>
  <Task id="{20d895a6-81dd-4991-8e33-82972d3e0e17}">
    <Anchor>
      <Comment id="{3a056a73-89ee-4b61-9c48-67b43b8eb9af}"/>
    </Anchor>
    <History>
      <Event time="2026-03-27T23:38:24.00" id="{dcf03557-1314-4181-9212-27f009c6fc92}">
        <Attribution userId="placeholder@email.com" userName="Jam Bernardo" userProvider="google-sheets"/>
        <Anchor>
          <Comment id="{3a056a73-89ee-4b61-9c48-67b43b8eb9af}"/>
        </Anchor>
        <Create/>
      </Event>
      <Event time="2026-03-27T23:38:24.00" id="{87441393-9f79-4694-9cb9-631b225fcfc3}">
        <Attribution userId="placeholder@email.com" userName="Jam Bernardo" userProvider="google-sheets"/>
        <Anchor>
          <Comment id="{3a056a73-89ee-4b61-9c48-67b43b8eb9af}"/>
        </Anchor>
        <Assign userId="isabel@coryhometeam.com" userName="isabel@coryhometeam.com" userProvider="google-sheets"/>
      </Event>
    </History>
  </Task>
  <Task id="{9668258f-3087-41da-a3ce-982c5cffbea5}">
    <Anchor>
      <Comment id="{e405c7eb-e62d-443e-a863-5422e21131ac}"/>
    </Anchor>
    <History>
      <Event time="2026-03-05T17:16:05.00" id="{60a6d6d7-eb4c-4c88-9d3e-2c1ac1963738}">
        <Attribution userId="placeholder@email.com" userName="Rafael Bernardo" userProvider="google-sheets"/>
        <Anchor>
          <Comment id="{e405c7eb-e62d-443e-a863-5422e21131ac}"/>
        </Anchor>
        <Create/>
      </Event>
      <Event time="2026-03-05T17:16:05.00" id="{c8c1a67c-0b17-424a-9fc3-3f5f487074c3}">
        <Attribution userId="placeholder@email.com" userName="Rafael Bernardo" userProvider="google-sheets"/>
        <Anchor>
          <Comment id="{e405c7eb-e62d-443e-a863-5422e21131ac}"/>
        </Anchor>
        <Assign userId="isabel@coryhometeam.com" userName="isabel@coryhometeam.com" userProvider="google-sheets"/>
      </Event>
    </History>
  </Task>
  <Task id="{2c903f5e-fcc1-4794-9561-7cba05223240}">
    <Anchor>
      <Comment id="{94648257-4d5c-4563-bcec-1355911343ba}"/>
    </Anchor>
    <History>
      <Event time="2026-03-27T23:33:10.00" id="{ca44d899-2a9c-46a8-88f8-d4ca9619b067}">
        <Attribution userId="placeholder@email.com" userName="Jam Bernardo" userProvider="google-sheets"/>
        <Anchor>
          <Comment id="{94648257-4d5c-4563-bcec-1355911343ba}"/>
        </Anchor>
        <Create/>
      </Event>
      <Event time="2026-03-27T23:33:10.00" id="{54689ed5-40a6-43a7-ba0b-368736985d40}">
        <Attribution userId="placeholder@email.com" userName="Jam Bernardo" userProvider="google-sheets"/>
        <Anchor>
          <Comment id="{94648257-4d5c-4563-bcec-1355911343ba}"/>
        </Anchor>
        <Assign userId="isabel@coryhometeam.com" userName="isabel@coryhometeam.com" userProvider="google-sheets"/>
      </Event>
    </History>
  </Task>
  <Task id="{0550ffc0-025c-4264-8d88-3e6f78fc41b1}">
    <Anchor>
      <Comment id="{dac0381f-eab6-45cf-a797-6d8b5c83d760}"/>
    </Anchor>
    <History>
      <Event time="2026-03-05T17:31:22.00" id="{44251000-9d63-40eb-b218-3aa598ccb506}">
        <Attribution userId="placeholder@email.com" userName="Rafael Bernardo" userProvider="google-sheets"/>
        <Anchor>
          <Comment id="{dac0381f-eab6-45cf-a797-6d8b5c83d760}"/>
        </Anchor>
        <Create/>
      </Event>
      <Event time="2026-03-05T17:31:22.00" id="{861e00ed-fa14-421a-a2be-be6822fe5b12}">
        <Attribution userId="placeholder@email.com" userName="Rafael Bernardo" userProvider="google-sheets"/>
        <Anchor>
          <Comment id="{dac0381f-eab6-45cf-a797-6d8b5c83d760}"/>
        </Anchor>
        <Assign userId="isabel@coryhometeam.com" userName="isabel@coryhometeam.com" userProvider="google-sheets"/>
      </Event>
    </History>
  </Task>
  <Task id="{7ec882bd-2840-4a9e-ada1-e13d5ebf8428}">
    <Anchor>
      <Comment id="{2b1b5db3-84cb-4011-ba88-1fbb9b69b987}"/>
    </Anchor>
    <History>
      <Event time="2026-01-16T00:19:10.00" id="{9d2dc793-c891-4fb2-ad6f-f2606374a95e}">
        <Attribution userId="placeholder@email.com" userName="Jam Bernardo" userProvider="google-sheets"/>
        <Anchor>
          <Comment id="{2b1b5db3-84cb-4011-ba88-1fbb9b69b987}"/>
        </Anchor>
        <Create/>
      </Event>
      <Event time="2026-01-16T00:19:10.00" id="{1f5478e1-b4c8-4f85-9e07-5291104360e0}">
        <Attribution userId="placeholder@email.com" userName="Jam Bernardo" userProvider="google-sheets"/>
        <Anchor>
          <Comment id="{2b1b5db3-84cb-4011-ba88-1fbb9b69b987}"/>
        </Anchor>
        <Assign userId="isabel@coryhometeam.com" userName="isabel@coryhometeam.com" userProvider="google-sheets"/>
      </Event>
    </History>
  </Task>
  <Task id="{5b930c9e-2353-4066-9877-e1c79a1c438c}">
    <Anchor>
      <Comment id="{b8c10659-41d2-4fb6-b551-3e34c5a55a8d}"/>
    </Anchor>
    <History>
      <Event time="2026-04-20T13:29:03.00" id="{6594b336-9d3f-49b8-ab51-dd46101551ca}">
        <Attribution userId="placeholder@email.com" userName="Rafael Bernardo" userProvider="google-sheets"/>
        <Anchor>
          <Comment id="{b8c10659-41d2-4fb6-b551-3e34c5a55a8d}"/>
        </Anchor>
        <Create/>
      </Event>
      <Event time="2026-04-20T13:29:03.00" id="{4a1fa915-8b61-4102-b1f8-5e209e082b9f}">
        <Attribution userId="placeholder@email.com" userName="Rafael Bernardo" userProvider="google-sheets"/>
        <Anchor>
          <Comment id="{b8c10659-41d2-4fb6-b551-3e34c5a55a8d}"/>
        </Anchor>
        <Assign userId="isabel@coryhometeam.com" userName="isabel@coryhometeam.com" userProvider="google-sheets"/>
      </Event>
    </History>
  </Task>
  <Task id="{3402df05-728b-4c6e-8ec3-fcd9a5946226}">
    <Anchor>
      <Comment id="{6bcd1399-bc13-4de5-afca-5b62ef23f6ef}"/>
    </Anchor>
    <History>
      <Event time="2026-05-07T15:26:20.00" id="{dea3c309-3256-49b8-a80c-cec39e532f75}">
        <Attribution userId="placeholder@email.com" userName="Rafael Bernardo" userProvider="google-sheets"/>
        <Anchor>
          <Comment id="{6bcd1399-bc13-4de5-afca-5b62ef23f6ef}"/>
        </Anchor>
        <Create/>
      </Event>
      <Event time="2026-05-07T15:26:20.00" id="{faf92ec0-7932-4208-b3b6-f2d48e3f9d40}">
        <Attribution userId="placeholder@email.com" userName="Rafael Bernardo" userProvider="google-sheets"/>
        <Anchor>
          <Comment id="{6bcd1399-bc13-4de5-afca-5b62ef23f6ef}"/>
        </Anchor>
        <Assign userId="isabel@coryhometeam.com" userName="isabel@coryhometeam.com" userProvider="google-sheets"/>
      </Event>
    </History>
  </Task>
  <Task id="{9231574a-3c3e-42a7-90af-9571757ac307}">
    <Anchor>
      <Comment id="{0abae940-5c37-491b-8e7a-f614f40ca599}"/>
    </Anchor>
    <History>
      <Event time="2026-01-13T23:56:02.00" id="{3d7cdc67-4dee-437b-8aa0-08881901bdc1}">
        <Attribution userId="placeholder@email.com" userName="Blake Cory" userProvider="google-sheets"/>
        <Anchor>
          <Comment id="{0abae940-5c37-491b-8e7a-f614f40ca599}"/>
        </Anchor>
        <Create/>
      </Event>
      <Event time="2026-01-13T23:56:02.00" id="{c7c4d099-0f42-4662-bb4a-36f2e94b8236}">
        <Attribution userId="placeholder@email.com" userName="Blake Cory" userProvider="google-sheets"/>
        <Anchor>
          <Comment id="{0abae940-5c37-491b-8e7a-f614f40ca599}"/>
        </Anchor>
        <Assign userId="isabel@coryhometeam.com" userName="isabel@coryhometeam.com" userProvider="google-sheets"/>
      </Event>
    </History>
  </Task>
  <Task id="{27abff82-1f54-4b3a-8db4-9b900348bd3e}">
    <Anchor>
      <Comment id="{ef01ce2f-cc70-4c54-ab27-7511a26dd4fe}"/>
    </Anchor>
    <History>
      <Event time="2026-01-20T19:53:55.00" id="{c5a8d2e0-f3f2-4c23-bb76-44fcfbfb3f74}">
        <Attribution userId="placeholder@email.com" userName="Jam Bernardo" userProvider="google-sheets"/>
        <Anchor>
          <Comment id="{ef01ce2f-cc70-4c54-ab27-7511a26dd4fe}"/>
        </Anchor>
        <Create/>
      </Event>
      <Event time="2026-01-20T19:53:55.00" id="{461f47d4-8174-4512-a649-0565730b608e}">
        <Attribution userId="placeholder@email.com" userName="Jam Bernardo" userProvider="google-sheets"/>
        <Anchor>
          <Comment id="{ef01ce2f-cc70-4c54-ab27-7511a26dd4fe}"/>
        </Anchor>
        <Assign userId="isabel@coryhometeam.com" userName="isabel@coryhometeam.com" userProvider="google-sheets"/>
      </Event>
    </History>
  </Task>
  <Task id="{1894b365-efbf-4fbb-8126-7d10b3630cde}">
    <Anchor>
      <Comment id="{3c481553-d9bb-4734-ab34-3968ecb4eb97}"/>
    </Anchor>
    <History>
      <Event time="2026-04-20T12:27:00.00" id="{b4870e75-948e-4787-a527-a8a948282e76}">
        <Attribution userId="placeholder@email.com" userName="Rafael Bernardo" userProvider="google-sheets"/>
        <Anchor>
          <Comment id="{3c481553-d9bb-4734-ab34-3968ecb4eb97}"/>
        </Anchor>
        <Create/>
      </Event>
      <Event time="2026-04-20T12:27:00.00" id="{0cbcafd3-efe0-44d5-9f65-0d05eca2cf98}">
        <Attribution userId="placeholder@email.com" userName="Rafael Bernardo" userProvider="google-sheets"/>
        <Anchor>
          <Comment id="{3c481553-d9bb-4734-ab34-3968ecb4eb97}"/>
        </Anchor>
        <Assign userId="isabel@coryhometeam.com" userName="isabel@coryhometeam.com" userProvider="google-sheets"/>
      </Event>
    </History>
  </Task>
  <Task id="{cba99a1b-f557-402f-bd69-b80ce6f2119c}">
    <Anchor>
      <Comment id="{cb45c7b9-34a5-4d38-aa9a-f780fe33e74b}"/>
    </Anchor>
    <History>
      <Event time="2026-04-02T07:04:17.00" id="{bd811978-7171-433a-866c-51dc083cc403}">
        <Attribution userId="placeholder@email.com" userName="Rafael Bernardo" userProvider="google-sheets"/>
        <Anchor>
          <Comment id="{cb45c7b9-34a5-4d38-aa9a-f780fe33e74b}"/>
        </Anchor>
        <Create/>
      </Event>
      <Event time="2026-04-02T07:04:17.00" id="{8bf08314-00b2-4059-b842-f4166ee10b90}">
        <Attribution userId="placeholder@email.com" userName="Rafael Bernardo" userProvider="google-sheets"/>
        <Anchor>
          <Comment id="{cb45c7b9-34a5-4d38-aa9a-f780fe33e74b}"/>
        </Anchor>
        <Assign userId="isabel@coryhometeam.com" userName="isabel@coryhometeam.com" userProvider="google-sheets"/>
      </Event>
    </History>
  </Task>
  <Task id="{eb30e630-466f-4a3e-94b1-0d495330a5f3}">
    <Anchor>
      <Comment id="{b396c789-6d28-4277-a775-b5bdb709fe0f}"/>
    </Anchor>
    <History>
      <Event time="2026-05-12T11:11:42.00" id="{57357bfe-3d80-4d96-92e9-b6b92d144bc5}">
        <Attribution userId="placeholder@email.com" userName="Rafael Bernardo" userProvider="google-sheets"/>
        <Anchor>
          <Comment id="{b396c789-6d28-4277-a775-b5bdb709fe0f}"/>
        </Anchor>
        <Create/>
      </Event>
      <Event time="2026-05-12T11:11:42.00" id="{48b78203-25b6-4076-870b-874abad45043}">
        <Attribution userId="placeholder@email.com" userName="Rafael Bernardo" userProvider="google-sheets"/>
        <Anchor>
          <Comment id="{b396c789-6d28-4277-a775-b5bdb709fe0f}"/>
        </Anchor>
        <Assign userId="isabel@coryhometeam.com" userName="isabel@coryhometeam.com" userProvider="google-sheets"/>
      </Event>
    </History>
  </Task>
  <Task id="{e1349e35-cf9c-4df9-b925-37a64f913258}">
    <Anchor>
      <Comment id="{610beadb-37c7-4980-a910-3adcca6bd9e9}"/>
    </Anchor>
    <History>
      <Event time="2026-04-08T23:20:26.00" id="{f2fa1878-20ea-4148-ab25-e6c8306a1aa2}">
        <Attribution userId="placeholder@email.com" userName="Alexis Cassidy" userProvider="google-sheets"/>
        <Anchor>
          <Comment id="{610beadb-37c7-4980-a910-3adcca6bd9e9}"/>
        </Anchor>
        <Create/>
      </Event>
      <Event time="2026-04-08T23:20:26.00" id="{90720673-b7ba-47d6-bc7b-cd0590ae3947}">
        <Attribution userId="placeholder@email.com" userName="Alexis Cassidy" userProvider="google-sheets"/>
        <Anchor>
          <Comment id="{610beadb-37c7-4980-a910-3adcca6bd9e9}"/>
        </Anchor>
        <Assign userId="dana@coryhometeam.com" userName="dana@coryhometeam.com" userProvider="google-sheets"/>
      </Event>
    </History>
  </Task>
  <Task id="{de40bc04-e216-4747-8023-dfc52fb01f1e}">
    <Anchor>
      <Comment id="{b5aabd48-82d4-4bb1-8ecd-f33c67be6433}"/>
    </Anchor>
    <History>
      <Event time="2026-02-19T23:12:31.00" id="{cca7cbb0-a852-4a3d-a587-2a5ede20341e}">
        <Attribution userId="placeholder@email.com" userName="Jam Bernardo" userProvider="google-sheets"/>
        <Anchor>
          <Comment id="{b5aabd48-82d4-4bb1-8ecd-f33c67be6433}"/>
        </Anchor>
        <Create/>
      </Event>
      <Event time="2026-02-19T23:12:31.00" id="{833e4b17-e9f5-4f91-b64e-0125b5b10e05}">
        <Attribution userId="placeholder@email.com" userName="Jam Bernardo" userProvider="google-sheets"/>
        <Anchor>
          <Comment id="{b5aabd48-82d4-4bb1-8ecd-f33c67be6433}"/>
        </Anchor>
        <Assign userId="isabel@coryhometeam.com" userName="isabel@coryhometeam.com" userProvider="google-sheets"/>
      </Event>
    </History>
  </Task>
  <Task id="{44369771-2a06-4ddf-a051-76608e1e6b7f}">
    <Anchor>
      <Comment id="{28e516e1-2b50-4f6b-918a-6ce9139a0143}"/>
    </Anchor>
    <History>
      <Event time="2026-01-05T17:41:45.00" id="{27ca0648-cff9-48b0-97de-1c30c6226d3a}">
        <Attribution userId="placeholder@email.com" userName="Jam Bernardo" userProvider="google-sheets"/>
        <Anchor>
          <Comment id="{28e516e1-2b50-4f6b-918a-6ce9139a0143}"/>
        </Anchor>
        <Create/>
      </Event>
      <Event time="2026-01-05T17:41:45.00" id="{4e370756-5e8c-41bc-8529-9e03520bc0bd}">
        <Attribution userId="placeholder@email.com" userName="Jam Bernardo" userProvider="google-sheets"/>
        <Anchor>
          <Comment id="{28e516e1-2b50-4f6b-918a-6ce9139a0143}"/>
        </Anchor>
        <Assign userId="isabel@coryhometeam.com" userName="isabel@coryhometeam.com" userProvider="google-sheets"/>
      </Event>
    </History>
  </Task>
  <Task id="{0b1d59f2-fca1-4fcb-ba02-15c929e981c4}">
    <Anchor>
      <Comment id="{ce8ea2ab-c2e9-480c-9c9a-06af6cf0343b}"/>
    </Anchor>
    <History>
      <Event time="2026-01-05T17:43:54.00" id="{fc3e16b2-10f2-4fc2-abd4-36ebb458e035}">
        <Attribution userId="placeholder@email.com" userName="Jam Bernardo" userProvider="google-sheets"/>
        <Anchor>
          <Comment id="{ce8ea2ab-c2e9-480c-9c9a-06af6cf0343b}"/>
        </Anchor>
        <Create/>
      </Event>
      <Event time="2026-01-05T17:43:54.00" id="{49044a94-62a8-405b-9a15-ed9238359bc5}">
        <Attribution userId="placeholder@email.com" userName="Jam Bernardo" userProvider="google-sheets"/>
        <Anchor>
          <Comment id="{ce8ea2ab-c2e9-480c-9c9a-06af6cf0343b}"/>
        </Anchor>
        <Assign userId="isabel@coryhometeam.com" userName="isabel@coryhometeam.com" userProvider="google-sheets"/>
      </Event>
    </History>
  </Task>
  <Task id="{f5c93d8f-7854-4288-91f0-58addc13e438}">
    <Anchor>
      <Comment id="{f553d998-1f0b-456f-965f-da09a39e5c50}"/>
    </Anchor>
    <History>
      <Event time="2026-03-10T15:43:05.00" id="{0713848c-4a13-4e75-976c-ee04a2be8335}">
        <Attribution userId="placeholder@email.com" userName="Rafael Bernardo" userProvider="google-sheets"/>
        <Anchor>
          <Comment id="{f553d998-1f0b-456f-965f-da09a39e5c50}"/>
        </Anchor>
        <Create/>
      </Event>
      <Event time="2026-03-10T15:43:05.00" id="{72d03206-a606-45bf-b33b-b1d780fcb17d}">
        <Attribution userId="placeholder@email.com" userName="Rafael Bernardo" userProvider="google-sheets"/>
        <Anchor>
          <Comment id="{f553d998-1f0b-456f-965f-da09a39e5c50}"/>
        </Anchor>
        <Assign userId="isabel@coryhometeam.com" userName="isabel@coryhometeam.com" userProvider="google-sheets"/>
      </Event>
    </History>
  </Task>
  <Task id="{5e4b32d5-cb82-4816-bdb2-227cc44e7d07}">
    <Anchor>
      <Comment id="{b873b07b-1772-4994-bb96-495976d2e7a4}"/>
    </Anchor>
    <History>
      <Event time="2026-04-06T15:53:36.00" id="{a0bfd256-60d6-4398-ac7a-0f193ec12b8e}">
        <Attribution userId="placeholder@email.com" userName="Rafael Bernardo" userProvider="google-sheets"/>
        <Anchor>
          <Comment id="{b873b07b-1772-4994-bb96-495976d2e7a4}"/>
        </Anchor>
        <Create/>
      </Event>
      <Event time="2026-04-06T15:53:36.00" id="{7c909ea5-8551-4154-a983-2ba9ae554e15}">
        <Attribution userId="placeholder@email.com" userName="Rafael Bernardo" userProvider="google-sheets"/>
        <Anchor>
          <Comment id="{b873b07b-1772-4994-bb96-495976d2e7a4}"/>
        </Anchor>
        <Assign userId="isabel@coryhometeam.com" userName="isabel@coryhometeam.com" userProvider="google-sheets"/>
      </Event>
    </History>
  </Task>
  <Task id="{e6a26600-e8af-431c-a038-f78b11c70253}">
    <Anchor>
      <Comment id="{de394105-1c0d-4369-a03f-ca187d27a3e1}"/>
    </Anchor>
    <History>
      <Event time="2026-06-03T01:59:20.00" id="{540f8882-2a26-41b2-a584-0bf9b0dab11e}">
        <Attribution userId="placeholder@email.com" userName="Alexis Cassidy" userProvider="google-sheets"/>
        <Anchor>
          <Comment id="{bdbc6d3e-7cd1-4772-ad7c-af94d44e7e80}"/>
        </Anchor>
        <Create/>
      </Event>
      <Event time="2026-06-03T01:59:20.00" id="{60c94ec4-b704-48be-86ad-bab799497e1d}">
        <Attribution userId="placeholder@email.com" userName="Alexis Cassidy" userProvider="google-sheets"/>
        <Anchor>
          <Comment id="{bdbc6d3e-7cd1-4772-ad7c-af94d44e7e80}"/>
        </Anchor>
        <Assign userId="remy@coryhometeam.com" userName="remy@coryhometeam.com" userProvider="google-sheets"/>
      </Event>
    </History>
  </Task>
  <Task id="{42580538-86e9-4d88-b941-46c824981174}">
    <Anchor>
      <Comment id="{18dca840-594c-415a-898f-06290400e088}"/>
    </Anchor>
    <History>
      <Event time="2026-05-11T12:36:27.00" id="{1e5b64d8-232f-41f2-843e-1471ca3e6d4f}">
        <Attribution userId="placeholder@email.com" userName="Rafael Bernardo" userProvider="google-sheets"/>
        <Anchor>
          <Comment id="{18dca840-594c-415a-898f-06290400e088}"/>
        </Anchor>
        <Create/>
      </Event>
      <Event time="2026-05-11T12:36:27.00" id="{5a51224d-2759-47f4-be92-2e2173cadfb8}">
        <Attribution userId="placeholder@email.com" userName="Rafael Bernardo" userProvider="google-sheets"/>
        <Anchor>
          <Comment id="{18dca840-594c-415a-898f-06290400e088}"/>
        </Anchor>
        <Assign userId="isabel@coryhometeam.com" userName="isabel@coryhometeam.com" userProvider="google-sheets"/>
      </Event>
    </History>
  </Task>
  <Task id="{a2bc0d35-9b15-471f-80a9-3e8183513861}">
    <Anchor>
      <Comment id="{6ece101d-a650-48e5-900c-0f945ac6c01e}"/>
    </Anchor>
    <History>
      <Event time="2026-06-02T20:23:17.00" id="{61bec7e5-9c3f-4424-8250-b8ab0d89eadb}">
        <Attribution userId="placeholder@email.com" userName="Dana Martinez" userProvider="google-sheets"/>
        <Anchor>
          <Comment id="{6ece101d-a650-48e5-900c-0f945ac6c01e}"/>
        </Anchor>
        <Create/>
      </Event>
      <Event time="2026-06-02T20:23:17.00" id="{4b383578-e146-4246-bedf-39d0f25f2911}">
        <Attribution userId="placeholder@email.com" userName="Dana Martinez" userProvider="google-sheets"/>
        <Anchor>
          <Comment id="{6ece101d-a650-48e5-900c-0f945ac6c01e}"/>
        </Anchor>
        <Assign userId="isabel@coryhometeam.com" userName="isabel@coryhometeam.com" userProvider="google-sheets"/>
      </Event>
    </History>
  </Task>
  <Task id="{4bf2465c-2f0d-4d50-afc4-67cb7399993b}">
    <Anchor>
      <Comment id="{caa4f3ae-51c2-4215-b39e-ba1766856e36}"/>
    </Anchor>
    <History>
      <Event time="2026-02-18T02:53:02.00" id="{727202b7-62a9-4f03-815c-3a67cd348c43}">
        <Attribution userId="placeholder@email.com" userName="Jam Bernardo" userProvider="google-sheets"/>
        <Anchor>
          <Comment id="{caa4f3ae-51c2-4215-b39e-ba1766856e36}"/>
        </Anchor>
        <Create/>
      </Event>
      <Event time="2026-02-18T02:53:02.00" id="{06074687-9aa0-46d3-9da4-b7916341edb6}">
        <Attribution userId="placeholder@email.com" userName="Jam Bernardo" userProvider="google-sheets"/>
        <Anchor>
          <Comment id="{caa4f3ae-51c2-4215-b39e-ba1766856e36}"/>
        </Anchor>
        <Assign userId="isabel@coryhometeam.com" userName="isabel@coryhometeam.com" userProvider="google-sheets"/>
      </Event>
    </History>
  </Task>
  <Task id="{dfa6a819-ef2e-42b4-af66-dc53fe7edc36}">
    <Anchor>
      <Comment id="{68b5249d-09b7-4d23-8ccb-b05701b1ac0f}"/>
    </Anchor>
    <History>
      <Event time="2026-04-13T08:02:36.00" id="{e19c6d60-7d14-4f96-aa02-9bfcc5ea2558}">
        <Attribution userId="placeholder@email.com" userName="Rafael Bernardo" userProvider="google-sheets"/>
        <Anchor>
          <Comment id="{68b5249d-09b7-4d23-8ccb-b05701b1ac0f}"/>
        </Anchor>
        <Create/>
      </Event>
      <Event time="2026-04-13T08:02:36.00" id="{f5bd80b7-6249-4b66-a472-0054cd154a19}">
        <Attribution userId="placeholder@email.com" userName="Rafael Bernardo" userProvider="google-sheets"/>
        <Anchor>
          <Comment id="{68b5249d-09b7-4d23-8ccb-b05701b1ac0f}"/>
        </Anchor>
        <Assign userId="isabel@coryhometeam.com" userName="isabel@coryhometeam.com" userProvider="google-sheets"/>
      </Event>
    </History>
  </Task>
  <Task id="{49257027-156d-4aec-93d4-1b6ee4d17f0c}">
    <Anchor>
      <Comment id="{0c026348-6c90-48d4-9909-144784bb9b98}"/>
    </Anchor>
    <History>
      <Event time="2026-04-23T23:27:08.00" id="{75c4d78a-b0f3-4758-b4e0-5818caf87fe3}">
        <Attribution userId="placeholder@email.com" userName="Jam Bernardo" userProvider="google-sheets"/>
        <Anchor>
          <Comment id="{0c026348-6c90-48d4-9909-144784bb9b98}"/>
        </Anchor>
        <Create/>
      </Event>
      <Event time="2026-04-23T23:27:08.00" id="{1f109d42-6e75-4dd5-84ca-31299147da59}">
        <Attribution userId="placeholder@email.com" userName="Jam Bernardo" userProvider="google-sheets"/>
        <Anchor>
          <Comment id="{0c026348-6c90-48d4-9909-144784bb9b98}"/>
        </Anchor>
        <Assign userId="isabel@coryhometeam.com" userName="isabel@coryhometeam.com" userProvider="google-sheets"/>
      </Event>
    </History>
  </Task>
  <Task id="{0451f8ea-cd50-41c7-990a-d0de2e8a4089}">
    <Anchor>
      <Comment id="{bf730d10-8a12-4341-a029-981efa20fd20}"/>
    </Anchor>
    <History>
      <Event time="2026-02-04T19:11:08.00" id="{18f04e56-29ee-4fae-9560-01c0cce01ac5}">
        <Attribution userId="placeholder@email.com" userName="Kenia Bautista" userProvider="google-sheets"/>
        <Anchor>
          <Comment id="{bf730d10-8a12-4341-a029-981efa20fd20}"/>
        </Anchor>
        <Create/>
      </Event>
      <Event time="2026-02-04T19:11:08.00" id="{c8498986-5032-47ab-9ade-7184f190268d}">
        <Attribution userId="placeholder@email.com" userName="Kenia Bautista" userProvider="google-sheets"/>
        <Anchor>
          <Comment id="{bf730d10-8a12-4341-a029-981efa20fd20}"/>
        </Anchor>
        <Assign userId="dana@coryhometeam.com" userName="dana@coryhometeam.com" userProvider="google-sheets"/>
      </Event>
    </History>
  </Task>
  <Task id="{25a044ef-4a2f-466f-8c4f-083b8eeef47c}">
    <Anchor>
      <Comment id="{5e2a5edc-5d02-42ba-8808-98956e6ece1c}"/>
    </Anchor>
    <History>
      <Event time="2026-02-05T22:37:42.00" id="{ec74cbd0-dd33-4647-b008-a3eea2d6e695}">
        <Attribution userId="placeholder@email.com" userName="Jam Bernardo" userProvider="google-sheets"/>
        <Anchor>
          <Comment id="{5e2a5edc-5d02-42ba-8808-98956e6ece1c}"/>
        </Anchor>
        <Create/>
      </Event>
      <Event time="2026-02-05T22:37:42.00" id="{c5087386-f4f4-4502-8bff-2a5d9b0de255}">
        <Attribution userId="placeholder@email.com" userName="Jam Bernardo" userProvider="google-sheets"/>
        <Anchor>
          <Comment id="{5e2a5edc-5d02-42ba-8808-98956e6ece1c}"/>
        </Anchor>
        <Assign userId="isabel@coryhometeam.com" userName="isabel@coryhometeam.com" userProvider="google-sheets"/>
      </Event>
    </History>
  </Task>
  <Task id="{e8cfcf97-615c-46b5-bd62-cf000b7589b0}">
    <Anchor>
      <Comment id="{3ffd9a2e-0494-4f79-960a-b320378b8783}"/>
    </Anchor>
    <History>
      <Event time="2026-04-23T18:44:16.00" id="{fd7fed40-f3a8-4c8e-b469-bb2014908d25}">
        <Attribution userId="placeholder@email.com" userName="Dana Martinez" userProvider="google-sheets"/>
        <Anchor>
          <Comment id="{3ffd9a2e-0494-4f79-960a-b320378b8783}"/>
        </Anchor>
        <Create/>
      </Event>
      <Event time="2026-04-23T18:44:16.00" id="{1de7bde6-b4f5-45bb-bd26-32b4dad81f1e}">
        <Attribution userId="placeholder@email.com" userName="Dana Martinez" userProvider="google-sheets"/>
        <Anchor>
          <Comment id="{3ffd9a2e-0494-4f79-960a-b320378b8783}"/>
        </Anchor>
        <Assign userId="kenia@coryhometeam.com" userName="kenia@coryhometeam.com" userProvider="google-sheets"/>
      </Event>
    </History>
  </Task>
  <Task id="{d62d8c57-c167-4cab-aa49-b7677e728f76}">
    <Anchor>
      <Comment id="{25318809-37cf-4323-9ee4-f7fdbc837d34}"/>
    </Anchor>
    <History>
      <Event time="2026-03-24T09:53:40.00" id="{2daebbfc-ee34-49d8-b4d3-4e5fcaab0da2}">
        <Attribution userId="placeholder@email.com" userName="Rafael Bernardo" userProvider="google-sheets"/>
        <Anchor>
          <Comment id="{25318809-37cf-4323-9ee4-f7fdbc837d34}"/>
        </Anchor>
        <Create/>
      </Event>
      <Event time="2026-03-24T09:53:40.00" id="{87a59549-8deb-43e5-9bc2-37f284ccdb3c}">
        <Attribution userId="placeholder@email.com" userName="Rafael Bernardo" userProvider="google-sheets"/>
        <Anchor>
          <Comment id="{25318809-37cf-4323-9ee4-f7fdbc837d34}"/>
        </Anchor>
        <Assign userId="isabel@coryhometeam.com" userName="isabel@coryhometeam.com" userProvider="google-sheets"/>
      </Event>
    </History>
  </Task>
  <Task id="{91d0e6a6-e33a-43f2-8379-665e1700d2fb}">
    <Anchor>
      <Comment id="{6af21148-7a7b-4449-9c7d-a9e9e0148db8}"/>
    </Anchor>
    <History>
      <Event time="2026-02-04T07:36:45.00" id="{6bfe4478-cebc-49db-83f9-9cf6b22a3068}">
        <Attribution userId="placeholder@email.com" userName="Jam Bernardo" userProvider="google-sheets"/>
        <Anchor>
          <Comment id="{6af21148-7a7b-4449-9c7d-a9e9e0148db8}"/>
        </Anchor>
        <Create/>
      </Event>
      <Event time="2026-02-04T07:36:45.00" id="{13cc74d2-18af-4761-8ea6-8f5521b997ef}">
        <Attribution userId="placeholder@email.com" userName="Jam Bernardo" userProvider="google-sheets"/>
        <Anchor>
          <Comment id="{6af21148-7a7b-4449-9c7d-a9e9e0148db8}"/>
        </Anchor>
        <Assign userId="isabel@coryhometeam.com" userName="isabel@coryhometeam.com" userProvider="google-sheets"/>
      </Event>
    </History>
  </Task>
  <Task id="{7ac128a4-a69d-4a69-a233-b2fb98b35a59}">
    <Anchor>
      <Comment id="{0b3c5904-210a-4c2b-83d7-8372cf7fc9d4}"/>
    </Anchor>
    <History>
      <Event time="2026-02-04T07:51:45.00" id="{21fc4e0a-57cc-4a2e-98e0-75f8214f6fb0}">
        <Attribution userId="placeholder@email.com" userName="Jam Bernardo" userProvider="google-sheets"/>
        <Anchor>
          <Comment id="{0b3c5904-210a-4c2b-83d7-8372cf7fc9d4}"/>
        </Anchor>
        <Create/>
      </Event>
      <Event time="2026-02-04T07:51:45.00" id="{10cce2a1-3258-42a1-b6b0-fee1a8b958d8}">
        <Attribution userId="placeholder@email.com" userName="Jam Bernardo" userProvider="google-sheets"/>
        <Anchor>
          <Comment id="{0b3c5904-210a-4c2b-83d7-8372cf7fc9d4}"/>
        </Anchor>
        <Assign userId="isabel@coryhometeam.com" userName="isabel@coryhometeam.com" userProvider="google-sheets"/>
      </Event>
    </History>
  </Task>
  <Task id="{5285be25-c820-48fe-b007-5f14ae2b81e6}">
    <Anchor>
      <Comment id="{4c34ce10-af59-49c3-a0d3-553490e6e68b}"/>
    </Anchor>
    <History>
      <Event time="2026-01-23T23:13:59.00" id="{fd485553-3db8-4b0a-849c-cf1723281c3f}">
        <Attribution userId="placeholder@email.com" userName="Jam Bernardo" userProvider="google-sheets"/>
        <Anchor>
          <Comment id="{4c34ce10-af59-49c3-a0d3-553490e6e68b}"/>
        </Anchor>
        <Create/>
      </Event>
      <Event time="2026-01-23T23:13:59.00" id="{0163b3bb-06ab-4e43-bbf8-cdec5f7ad382}">
        <Attribution userId="placeholder@email.com" userName="Jam Bernardo" userProvider="google-sheets"/>
        <Anchor>
          <Comment id="{4c34ce10-af59-49c3-a0d3-553490e6e68b}"/>
        </Anchor>
        <Assign userId="isabel@coryhometeam.com" userName="isabel@coryhometeam.com" userProvider="google-sheets"/>
      </Event>
    </History>
  </Task>
  <Task id="{2dc148ea-0659-478f-9db6-e26d5765b64d}">
    <Anchor>
      <Comment id="{aa2fe946-c9c5-4d46-add0-ad08544b29c8}"/>
    </Anchor>
    <History>
      <Event time="2026-02-09T23:52:58.00" id="{a2391367-e633-42a7-8f7e-e422e32427be}">
        <Attribution userId="placeholder@email.com" userName="Jam Bernardo" userProvider="google-sheets"/>
        <Anchor>
          <Comment id="{aa2fe946-c9c5-4d46-add0-ad08544b29c8}"/>
        </Anchor>
        <Create/>
      </Event>
      <Event time="2026-02-09T23:52:58.00" id="{3dab1829-69fb-43ac-9ede-b3776ec44a7e}">
        <Attribution userId="placeholder@email.com" userName="Jam Bernardo" userProvider="google-sheets"/>
        <Anchor>
          <Comment id="{aa2fe946-c9c5-4d46-add0-ad08544b29c8}"/>
        </Anchor>
        <Assign userId="isabel@coryhometeam.com" userName="isabel@coryhometeam.com" userProvider="google-sheets"/>
      </Event>
    </History>
  </Task>
  <Task id="{12327ad6-95bb-41af-a90c-b623c7bb79e5}">
    <Anchor>
      <Comment id="{fd07a50c-46ca-4513-bec3-c526ec7d4541}"/>
    </Anchor>
    <History>
      <Event time="2026-02-10T00:00:19.00" id="{53b9baca-601b-42b4-abb6-99fa24d2f7ef}">
        <Attribution userId="placeholder@email.com" userName="Jam Bernardo" userProvider="google-sheets"/>
        <Anchor>
          <Comment id="{fd07a50c-46ca-4513-bec3-c526ec7d4541}"/>
        </Anchor>
        <Create/>
      </Event>
      <Event time="2026-02-10T00:00:19.00" id="{6b0567dd-4fb9-42ab-8da0-92cadbbac373}">
        <Attribution userId="placeholder@email.com" userName="Jam Bernardo" userProvider="google-sheets"/>
        <Anchor>
          <Comment id="{fd07a50c-46ca-4513-bec3-c526ec7d4541}"/>
        </Anchor>
        <Assign userId="isabel@coryhometeam.com" userName="isabel@coryhometeam.com" userProvider="google-sheets"/>
      </Event>
    </History>
  </Task>
  <Task id="{baab685d-2b51-466c-ad44-a1632fea26c4}">
    <Anchor>
      <Comment id="{e9e189b6-1ef3-43db-878c-fee42961b98a}"/>
    </Anchor>
    <History>
      <Event time="2026-05-11T12:15:00.00" id="{778b5459-791e-4991-8823-0e2f7bb9a46e}">
        <Attribution userId="placeholder@email.com" userName="Rafael Bernardo" userProvider="google-sheets"/>
        <Anchor>
          <Comment id="{e9e189b6-1ef3-43db-878c-fee42961b98a}"/>
        </Anchor>
        <Create/>
      </Event>
      <Event time="2026-05-11T12:15:00.00" id="{557e806e-5d6f-438f-a07b-09dbbfd54d79}">
        <Attribution userId="placeholder@email.com" userName="Rafael Bernardo" userProvider="google-sheets"/>
        <Anchor>
          <Comment id="{e9e189b6-1ef3-43db-878c-fee42961b98a}"/>
        </Anchor>
        <Assign userId="isabel@coryhometeam.com" userName="isabel@coryhometeam.com" userProvider="google-sheets"/>
      </Event>
    </History>
  </Task>
  <Task id="{fa0e9c18-41cd-4191-a004-095433753a54}">
    <Anchor>
      <Comment id="{9b616e70-2639-4ea3-b46d-9a4411adf018}"/>
    </Anchor>
    <History>
      <Event time="2026-03-13T00:20:26.00" id="{37f9e033-7a13-4bce-bfe6-37f8970393c3}">
        <Attribution userId="placeholder@email.com" userName="Jam Bernardo" userProvider="google-sheets"/>
        <Anchor>
          <Comment id="{9b616e70-2639-4ea3-b46d-9a4411adf018}"/>
        </Anchor>
        <Create/>
      </Event>
      <Event time="2026-03-13T00:20:26.00" id="{b9c83e4b-8aa6-4e60-8259-c70b19800387}">
        <Attribution userId="placeholder@email.com" userName="Jam Bernardo" userProvider="google-sheets"/>
        <Anchor>
          <Comment id="{9b616e70-2639-4ea3-b46d-9a4411adf018}"/>
        </Anchor>
        <Assign userId="isabel@coryhometeam.com" userName="isabel@coryhometeam.com" userProvider="google-sheets"/>
      </Event>
    </History>
  </Task>
  <Task id="{d78a9f16-651f-4a66-8d58-b267af746d51}">
    <Anchor>
      <Comment id="{d1ab496d-5fe7-49ca-8fe1-15096a6e9659}"/>
    </Anchor>
    <History>
      <Event time="2026-05-11T11:40:01.00" id="{46fc0244-1271-489e-af05-de4c27079f86}">
        <Attribution userId="placeholder@email.com" userName="Rafael Bernardo" userProvider="google-sheets"/>
        <Anchor>
          <Comment id="{d1ab496d-5fe7-49ca-8fe1-15096a6e9659}"/>
        </Anchor>
        <Create/>
      </Event>
      <Event time="2026-05-11T11:40:01.00" id="{6a0eb8e0-1cfd-4cab-9732-3c0cca55403b}">
        <Attribution userId="placeholder@email.com" userName="Rafael Bernardo" userProvider="google-sheets"/>
        <Anchor>
          <Comment id="{d1ab496d-5fe7-49ca-8fe1-15096a6e9659}"/>
        </Anchor>
        <Assign userId="isabel@coryhometeam.com" userName="isabel@coryhometeam.com" userProvider="google-sheets"/>
      </Event>
    </History>
  </Task>
  <Task id="{4763228c-58ec-4729-a8c3-f1095b79af7a}">
    <Anchor>
      <Comment id="{b809566d-90f0-4a6d-8f53-336d394fb804}"/>
    </Anchor>
    <History>
      <Event time="2026-04-30T19:02:05.00" id="{b2d7b34c-68bc-4e19-b9dd-7dcce29e58e4}">
        <Attribution userId="placeholder@email.com" userName="Dana Martinez" userProvider="google-sheets"/>
        <Anchor>
          <Comment id="{b809566d-90f0-4a6d-8f53-336d394fb804}"/>
        </Anchor>
        <Create/>
      </Event>
      <Event time="2026-04-30T19:02:05.00" id="{3c2b42a6-732d-4f20-83ae-a93ada043a61}">
        <Attribution userId="placeholder@email.com" userName="Dana Martinez" userProvider="google-sheets"/>
        <Anchor>
          <Comment id="{b809566d-90f0-4a6d-8f53-336d394fb804}"/>
        </Anchor>
        <Assign userId="isabel@coryhometeam.com" userName="isabel@coryhometeam.com" userProvider="google-sheets"/>
      </Event>
    </History>
  </Task>
  <Task id="{426ca801-958c-4c9f-a169-b2b090bee0db}">
    <Anchor>
      <Comment id="{7008cc35-f3b6-4e20-88f5-05b126afc756}"/>
    </Anchor>
    <History>
      <Event time="2026-04-30T19:01:35.00" id="{f2c0cdd4-b548-451f-b537-bfbda9895b44}">
        <Attribution userId="placeholder@email.com" userName="Dana Martinez" userProvider="google-sheets"/>
        <Anchor>
          <Comment id="{7008cc35-f3b6-4e20-88f5-05b126afc756}"/>
        </Anchor>
        <Create/>
      </Event>
      <Event time="2026-04-30T19:01:35.00" id="{a99f355f-875d-4bd6-8edd-9adb3d7ff6ab}">
        <Attribution userId="placeholder@email.com" userName="Dana Martinez" userProvider="google-sheets"/>
        <Anchor>
          <Comment id="{7008cc35-f3b6-4e20-88f5-05b126afc756}"/>
        </Anchor>
        <Assign userId="isabel@coryhometeam.com" userName="isabel@coryhometeam.com" userProvider="google-sheets"/>
      </Event>
    </History>
  </Task>
  <Task id="{6967867e-97ca-487d-a985-8f6315972339}">
    <Anchor>
      <Comment id="{208c356d-9b94-46fe-92b6-4c67e78f1f47}"/>
    </Anchor>
    <History>
      <Event time="2026-02-05T23:54:00.00" id="{3d9f7e25-7086-483a-9d30-a2f973e32671}">
        <Attribution userId="placeholder@email.com" userName="Jam Bernardo" userProvider="google-sheets"/>
        <Anchor>
          <Comment id="{208c356d-9b94-46fe-92b6-4c67e78f1f47}"/>
        </Anchor>
        <Create/>
      </Event>
      <Event time="2026-02-05T23:54:00.00" id="{61eff7fa-ca99-4856-baf9-d593f3d59209}">
        <Attribution userId="placeholder@email.com" userName="Jam Bernardo" userProvider="google-sheets"/>
        <Anchor>
          <Comment id="{208c356d-9b94-46fe-92b6-4c67e78f1f47}"/>
        </Anchor>
        <Assign userId="isabel@coryhometeam.com" userName="isabel@coryhometeam.com" userProvider="google-sheets"/>
      </Event>
    </History>
  </Task>
  <Task id="{f6473091-a1a0-40ff-ab70-ba6222cd0b3d}">
    <Anchor>
      <Comment id="{3cef5a94-cd30-4619-9879-4e3b3e529e76}"/>
    </Anchor>
    <History>
      <Event time="2026-05-08T16:13:10.00" id="{60de8a09-abce-4ee5-bd9b-1d5c95a8b0eb}">
        <Attribution userId="placeholder@email.com" userName="Rafael Bernardo" userProvider="google-sheets"/>
        <Anchor>
          <Comment id="{3cef5a94-cd30-4619-9879-4e3b3e529e76}"/>
        </Anchor>
        <Create/>
      </Event>
      <Event time="2026-05-08T16:13:10.00" id="{7a2b42b1-ad56-46a1-bcd0-cbe5837c0374}">
        <Attribution userId="placeholder@email.com" userName="Rafael Bernardo" userProvider="google-sheets"/>
        <Anchor>
          <Comment id="{3cef5a94-cd30-4619-9879-4e3b3e529e76}"/>
        </Anchor>
        <Assign userId="isabel@coryhometeam.com" userName="isabel@coryhometeam.com" userProvider="google-sheets"/>
      </Event>
    </History>
  </Task>
  <Task id="{c1ea70cc-e21c-4f61-8715-2429f8bca759}">
    <Anchor>
      <Comment id="{0b7c9399-e841-42e3-945d-4aebfe85aaa0}"/>
    </Anchor>
    <History>
      <Event time="2026-05-27T19:48:31.00" id="{d176e919-aa04-4811-9dbd-13ba8f72e22a}">
        <Attribution userId="placeholder@email.com" userName="Jam Bernardo" userProvider="google-sheets"/>
        <Anchor>
          <Comment id="{0b7c9399-e841-42e3-945d-4aebfe85aaa0}"/>
        </Anchor>
        <Create/>
      </Event>
      <Event time="2026-05-27T19:48:31.00" id="{ce9bbe82-748b-4a6c-9c24-9625c5d8f5ae}">
        <Attribution userId="placeholder@email.com" userName="Jam Bernardo" userProvider="google-sheets"/>
        <Anchor>
          <Comment id="{0b7c9399-e841-42e3-945d-4aebfe85aaa0}"/>
        </Anchor>
        <Assign userId="isabel@coryhometeam.com" userName="isabel@coryhometeam.com" userProvider="google-sheets"/>
      </Event>
    </History>
  </Task>
  <Task id="{0f8d4d82-7df9-4642-bedf-eacbf3570ee2}">
    <Anchor>
      <Comment id="{155ee20a-405b-4fed-ba81-aa7f2b9e05b9}"/>
    </Anchor>
    <History>
      <Event time="2026-05-27T17:59:53.00" id="{42ef2721-6020-4efa-892a-41451e9bd39b}">
        <Attribution userId="placeholder@email.com" userName="Rafael Bernardo" userProvider="google-sheets"/>
        <Anchor>
          <Comment id="{155ee20a-405b-4fed-ba81-aa7f2b9e05b9}"/>
        </Anchor>
        <Create/>
      </Event>
      <Event time="2026-05-27T17:59:53.00" id="{36dc98d9-87ca-4d86-a473-475ea3edefa2}">
        <Attribution userId="placeholder@email.com" userName="Rafael Bernardo" userProvider="google-sheets"/>
        <Anchor>
          <Comment id="{155ee20a-405b-4fed-ba81-aa7f2b9e05b9}"/>
        </Anchor>
        <Assign userId="isabel@coryhometeam.com" userName="isabel@coryhometeam.com" userProvider="google-sheets"/>
      </Event>
    </History>
  </Task>
  <Task id="{4e637c68-13ab-4070-95ee-9e7075d163e0}">
    <Anchor>
      <Comment id="{e052cf95-82bc-4b6b-8b9e-f0fafcb2bdf4}"/>
    </Anchor>
    <History>
      <Event time="2026-05-27T19:00:53.00" id="{a44cc857-0f8e-421d-a797-518aa7a12bca}">
        <Attribution userId="placeholder@email.com" userName="Jam Bernardo" userProvider="google-sheets"/>
        <Anchor>
          <Comment id="{e052cf95-82bc-4b6b-8b9e-f0fafcb2bdf4}"/>
        </Anchor>
        <Create/>
      </Event>
      <Event time="2026-05-27T19:00:53.00" id="{32baf362-02a9-45eb-b306-cbbc0b2d122f}">
        <Attribution userId="placeholder@email.com" userName="Jam Bernardo" userProvider="google-sheets"/>
        <Anchor>
          <Comment id="{e052cf95-82bc-4b6b-8b9e-f0fafcb2bdf4}"/>
        </Anchor>
        <Assign userId="isabel@coryhometeam.com" userName="isabel@coryhometeam.com" userProvider="google-sheets"/>
      </Event>
    </History>
  </Task>
  <Task id="{1d9e6473-d5c4-4207-9fd7-ef95873c82cf}">
    <Anchor>
      <Comment id="{a323e10e-e567-4c17-98a2-6ad3ef5bdfb8}"/>
    </Anchor>
    <History>
      <Event time="2026-03-02T17:06:36.00" id="{b84367f2-213a-4486-82c6-446279620e8a}">
        <Attribution userId="placeholder@email.com" userName="Rafael Bernardo" userProvider="google-sheets"/>
        <Anchor>
          <Comment id="{a323e10e-e567-4c17-98a2-6ad3ef5bdfb8}"/>
        </Anchor>
        <Create/>
      </Event>
      <Event time="2026-03-02T17:06:36.00" id="{cf6d7da7-ffe3-4a9c-b52d-1685b8ca657f}">
        <Attribution userId="placeholder@email.com" userName="Rafael Bernardo" userProvider="google-sheets"/>
        <Anchor>
          <Comment id="{a323e10e-e567-4c17-98a2-6ad3ef5bdfb8}"/>
        </Anchor>
        <Assign userId="isabel@coryhometeam.com" userName="isabel@coryhometeam.com" userProvider="google-sheets"/>
      </Event>
    </History>
  </Task>
  <Task id="{d2862bf7-977f-471c-ae2c-c19e98fcbfde}">
    <Anchor>
      <Comment id="{753b7338-cf48-4945-9408-cda2a798afdf}"/>
    </Anchor>
    <History>
      <Event time="2026-05-27T18:58:35.00" id="{c11e6b6c-2774-4d85-9846-fae196e96b2e}">
        <Attribution userId="placeholder@email.com" userName="Jam Bernardo" userProvider="google-sheets"/>
        <Anchor>
          <Comment id="{753b7338-cf48-4945-9408-cda2a798afdf}"/>
        </Anchor>
        <Create/>
      </Event>
      <Event time="2026-05-27T18:58:35.00" id="{f0612953-9587-48d5-bc6c-ca88cbcc9777}">
        <Attribution userId="placeholder@email.com" userName="Jam Bernardo" userProvider="google-sheets"/>
        <Anchor>
          <Comment id="{753b7338-cf48-4945-9408-cda2a798afdf}"/>
        </Anchor>
        <Assign userId="isabel@coryhometeam.com" userName="isabel@coryhometeam.com" userProvider="google-sheets"/>
      </Event>
    </History>
  </Task>
  <Task id="{ef374b4d-02ff-49f0-b3c3-140ae8ea46a6}">
    <Anchor>
      <Comment id="{cd21c3ee-326b-4d4d-93a2-422ab847a6c4}"/>
    </Anchor>
    <History>
      <Event time="2026-05-08T21:34:29.00" id="{c19eac01-33a4-45c8-93d6-3247026bec8a}">
        <Attribution userId="placeholder@email.com" userName="Blake Cory" userProvider="google-sheets"/>
        <Anchor>
          <Comment id="{cd21c3ee-326b-4d4d-93a2-422ab847a6c4}"/>
        </Anchor>
        <Create/>
      </Event>
      <Event time="2026-05-08T21:34:29.00" id="{ec6fa90c-386e-4ce7-a595-c684556d5811}">
        <Attribution userId="placeholder@email.com" userName="Blake Cory" userProvider="google-sheets"/>
        <Anchor>
          <Comment id="{cd21c3ee-326b-4d4d-93a2-422ab847a6c4}"/>
        </Anchor>
        <Assign userId="mario@coryhometeam.com" userName="mario@coryhometeam.com" userProvider="google-sheets"/>
      </Event>
    </History>
  </Task>
  <Task id="{0c968325-af52-43a9-b5a5-cd9420e5e33f}">
    <Anchor>
      <Comment id="{4078030f-ad1b-42da-af78-c6434fc5850e}"/>
    </Anchor>
    <History>
      <Event time="2026-05-27T21:17:19.00" id="{c695468b-8ba7-4c20-a513-1a4953b1a656}">
        <Attribution userId="placeholder@email.com" userName="Blake Cory" userProvider="google-sheets"/>
        <Anchor>
          <Comment id="{4078030f-ad1b-42da-af78-c6434fc5850e}"/>
        </Anchor>
        <Create/>
      </Event>
      <Event time="2026-05-27T21:17:19.00" id="{d7d151c5-fd06-4071-a5ea-11b64ce6cc97}">
        <Attribution userId="placeholder@email.com" userName="Blake Cory" userProvider="google-sheets"/>
        <Anchor>
          <Comment id="{4078030f-ad1b-42da-af78-c6434fc5850e}"/>
        </Anchor>
        <Assign userId="dana@coryhometeam.com" userName="dana@coryhometeam.com" userProvider="google-sheets"/>
      </Event>
    </History>
  </Task>
  <Task id="{0e7f5f66-3930-422e-9f6d-83c129375e6d}">
    <Anchor>
      <Comment id="{2fbf84b8-7efb-464c-881d-3ce2a453d92d}"/>
    </Anchor>
    <History>
      <Event time="2026-04-02T23:30:49.00" id="{722299b0-da5f-461b-a5d6-a8dfab60899c}">
        <Attribution userId="placeholder@email.com" userName="Jam Bernardo" userProvider="google-sheets"/>
        <Anchor>
          <Comment id="{2fbf84b8-7efb-464c-881d-3ce2a453d92d}"/>
        </Anchor>
        <Create/>
      </Event>
      <Event time="2026-04-02T23:30:49.00" id="{4d141271-28e3-46bd-9c12-3c07fd926b14}">
        <Attribution userId="placeholder@email.com" userName="Jam Bernardo" userProvider="google-sheets"/>
        <Anchor>
          <Comment id="{2fbf84b8-7efb-464c-881d-3ce2a453d92d}"/>
        </Anchor>
        <Assign userId="isabel@coryhometeam.com" userName="isabel@coryhometeam.com" userProvider="google-sheets"/>
      </Event>
    </History>
  </Task>
  <Task id="{576d65e2-0a02-4269-adc6-61ff1f7a7ee7}">
    <Anchor>
      <Comment id="{b0c13552-cb70-4759-b330-35bd315d4a90}"/>
    </Anchor>
    <History>
      <Event time="2026-03-25T08:38:12.00" id="{1fa2145b-dca3-4bc8-8ea0-2091b858d0f6}">
        <Attribution userId="placeholder@email.com" userName="Rafael Bernardo" userProvider="google-sheets"/>
        <Anchor>
          <Comment id="{b0c13552-cb70-4759-b330-35bd315d4a90}"/>
        </Anchor>
        <Create/>
      </Event>
      <Event time="2026-03-25T08:38:12.00" id="{e4d64ae7-c730-47e7-9fd9-7be8ecb7389e}">
        <Attribution userId="placeholder@email.com" userName="Rafael Bernardo" userProvider="google-sheets"/>
        <Anchor>
          <Comment id="{b0c13552-cb70-4759-b330-35bd315d4a90}"/>
        </Anchor>
        <Assign userId="isabel@coryhometeam.com" userName="isabel@coryhometeam.com" userProvider="google-sheets"/>
      </Event>
    </History>
  </Task>
  <Task id="{f512a3d7-c71e-4d3b-b859-315f6279b72b}">
    <Anchor>
      <Comment id="{470c2729-6dd0-4fce-aa98-9aea29a33475}"/>
    </Anchor>
    <History>
      <Event time="2026-03-17T15:48:03.00" id="{6cc06339-28b8-4fd3-8f34-595cea5c06d1}">
        <Attribution userId="placeholder@email.com" userName="Rafael Bernardo" userProvider="google-sheets"/>
        <Anchor>
          <Comment id="{470c2729-6dd0-4fce-aa98-9aea29a33475}"/>
        </Anchor>
        <Create/>
      </Event>
      <Event time="2026-03-17T15:48:03.00" id="{53a46cae-f3da-4164-a20c-7fdb9246f1a1}">
        <Attribution userId="placeholder@email.com" userName="Rafael Bernardo" userProvider="google-sheets"/>
        <Anchor>
          <Comment id="{470c2729-6dd0-4fce-aa98-9aea29a33475}"/>
        </Anchor>
        <Assign userId="isabel@coryhometeam.com" userName="isabel@coryhometeam.com" userProvider="google-sheets"/>
      </Event>
    </History>
  </Task>
  <Task id="{86e19d77-836b-4bb3-bc05-6950f3866343}">
    <Anchor>
      <Comment id="{c28c7f60-3ff0-4818-be83-13cbe30fb12b}"/>
    </Anchor>
    <History>
      <Event time="2026-01-26T19:12:37.00" id="{28bcbedf-e112-4734-9287-005c31d57574}">
        <Attribution userId="placeholder@email.com" userName="Jam Bernardo" userProvider="google-sheets"/>
        <Anchor>
          <Comment id="{c28c7f60-3ff0-4818-be83-13cbe30fb12b}"/>
        </Anchor>
        <Create/>
      </Event>
      <Event time="2026-01-26T19:12:37.00" id="{ced2fe6e-92f5-4be6-a2b3-2ce5dacba263}">
        <Attribution userId="placeholder@email.com" userName="Jam Bernardo" userProvider="google-sheets"/>
        <Anchor>
          <Comment id="{c28c7f60-3ff0-4818-be83-13cbe30fb12b}"/>
        </Anchor>
        <Assign userId="isabel@coryhometeam.com" userName="isabel@coryhometeam.com" userProvider="google-sheets"/>
      </Event>
    </History>
  </Task>
  <Task id="{7f80f462-7d51-4c14-b961-823c3f41090a}">
    <Anchor>
      <Comment id="{759c353c-5052-4b0f-92ad-aa8425678a36}"/>
    </Anchor>
    <History>
      <Event time="2026-02-19T20:14:14.00" id="{aee9a4f4-effc-4d9a-9ab6-4f22caba5410}">
        <Attribution userId="placeholder@email.com" userName="Rafael Bernardo" userProvider="google-sheets"/>
        <Anchor>
          <Comment id="{759c353c-5052-4b0f-92ad-aa8425678a36}"/>
        </Anchor>
        <Create/>
      </Event>
      <Event time="2026-02-19T20:14:14.00" id="{456c0a0b-5f06-4626-b6dc-666bfe210695}">
        <Attribution userId="placeholder@email.com" userName="Rafael Bernardo" userProvider="google-sheets"/>
        <Anchor>
          <Comment id="{759c353c-5052-4b0f-92ad-aa8425678a36}"/>
        </Anchor>
        <Assign userId="isabel@coryhometeam.com" userName="isabel@coryhometeam.com" userProvider="google-sheets"/>
      </Event>
    </History>
  </Task>
  <Task id="{faf0e14b-c6d2-4d12-967c-38d06b377011}">
    <Anchor>
      <Comment id="{3391dc5a-41e9-4efa-8e02-33233537256e}"/>
    </Anchor>
    <History>
      <Event time="2026-01-26T19:14:06.00" id="{78ca6774-5c54-42d8-8ff0-7de29a305d36}">
        <Attribution userId="placeholder@email.com" userName="Jam Bernardo" userProvider="google-sheets"/>
        <Anchor>
          <Comment id="{3391dc5a-41e9-4efa-8e02-33233537256e}"/>
        </Anchor>
        <Create/>
      </Event>
      <Event time="2026-01-26T19:14:06.00" id="{a3e084d7-c165-4403-94b4-ea9c0dbf3a28}">
        <Attribution userId="placeholder@email.com" userName="Jam Bernardo" userProvider="google-sheets"/>
        <Anchor>
          <Comment id="{3391dc5a-41e9-4efa-8e02-33233537256e}"/>
        </Anchor>
        <Assign userId="isabel@coryhometeam.com" userName="isabel@coryhometeam.com" userProvider="google-sheets"/>
      </Event>
    </History>
  </Task>
  <Task id="{1e6a4fba-13fc-4e4c-b6e0-932b05663e5b}">
    <Anchor>
      <Comment id="{7ff2e006-5dbe-4509-b7bf-8c937ea8a5e3}"/>
    </Anchor>
    <History>
      <Event time="2026-02-19T20:14:15.00" id="{7969904e-c956-4442-9940-e2858acae020}">
        <Attribution userId="placeholder@email.com" userName="Jam Bernardo" userProvider="google-sheets"/>
        <Anchor>
          <Comment id="{7ff2e006-5dbe-4509-b7bf-8c937ea8a5e3}"/>
        </Anchor>
        <Create/>
      </Event>
      <Event time="2026-02-19T20:14:15.00" id="{7144a471-1a56-47b9-be88-5dcb1cee027a}">
        <Attribution userId="placeholder@email.com" userName="Jam Bernardo" userProvider="google-sheets"/>
        <Anchor>
          <Comment id="{7ff2e006-5dbe-4509-b7bf-8c937ea8a5e3}"/>
        </Anchor>
        <Assign userId="isabel@coryhometeam.com" userName="isabel@coryhometeam.com" userProvider="google-sheets"/>
      </Event>
    </History>
  </Task>
  <Task id="{b2746de4-5591-45c0-b4e4-734a8b4beb93}">
    <Anchor>
      <Comment id="{9ad02470-af6b-4889-a3d8-d27ed620864f}"/>
    </Anchor>
    <History>
      <Event time="2026-03-16T19:50:41.00" id="{542636a0-194d-4bd7-b355-824d35ccadd3}">
        <Attribution userId="placeholder@email.com" userName="Dana Martinez" userProvider="google-sheets"/>
        <Anchor>
          <Comment id="{9ad02470-af6b-4889-a3d8-d27ed620864f}"/>
        </Anchor>
        <Create/>
      </Event>
      <Event time="2026-03-16T19:50:41.00" id="{13b7f544-8157-40cd-9b1f-a24ac9b5e4a6}">
        <Attribution userId="placeholder@email.com" userName="Dana Martinez" userProvider="google-sheets"/>
        <Anchor>
          <Comment id="{9ad02470-af6b-4889-a3d8-d27ed620864f}"/>
        </Anchor>
        <Assign userId="isabel@coryhometeam.com" userName="isabel@coryhometeam.com" userProvider="google-sheets"/>
      </Event>
    </History>
  </Task>
  <Task id="{7fcb0975-afae-4859-88ac-67c158ec1f58}">
    <Anchor>
      <Comment id="{ee9ea7e2-e70b-4417-9209-d63524ff021f}"/>
    </Anchor>
    <History>
      <Event time="2026-05-13T19:08:05.00" id="{9c233096-ed1a-4d0f-81c1-bb311c393ef5}">
        <Attribution userId="placeholder@email.com" userName="Rafael Bernardo" userProvider="google-sheets"/>
        <Anchor>
          <Comment id="{ee9ea7e2-e70b-4417-9209-d63524ff021f}"/>
        </Anchor>
        <Create/>
      </Event>
      <Event time="2026-05-13T19:08:05.00" id="{c4f3cf60-e4cc-4d76-974c-082165ef3d0f}">
        <Attribution userId="placeholder@email.com" userName="Rafael Bernardo" userProvider="google-sheets"/>
        <Anchor>
          <Comment id="{ee9ea7e2-e70b-4417-9209-d63524ff021f}"/>
        </Anchor>
        <Assign userId="isabel@coryhometeam.com" userName="isabel@coryhometeam.com" userProvider="google-sheets"/>
      </Event>
    </History>
  </Task>
  <Task id="{edbb87e0-7589-4d58-a533-391c38f55769}">
    <Anchor>
      <Comment id="{0379492f-1bcf-4dce-9d4e-5d1e3c9ccd33}"/>
    </Anchor>
    <History>
      <Event time="2026-02-02T16:51:32.00" id="{c16a8ffd-ee31-4c0a-b263-da47a22377f2}">
        <Attribution userId="placeholder@email.com" userName="Rafael Bernardo" userProvider="google-sheets"/>
        <Anchor>
          <Comment id="{0379492f-1bcf-4dce-9d4e-5d1e3c9ccd33}"/>
        </Anchor>
        <Create/>
      </Event>
      <Event time="2026-02-02T16:51:32.00" id="{99a84ef4-9d06-4c7e-bc5c-486b56115a43}">
        <Attribution userId="placeholder@email.com" userName="Rafael Bernardo" userProvider="google-sheets"/>
        <Anchor>
          <Comment id="{0379492f-1bcf-4dce-9d4e-5d1e3c9ccd33}"/>
        </Anchor>
        <Assign userId="isabel@coryhometeam.com" userName="isabel@coryhometeam.com" userProvider="google-sheets"/>
      </Event>
    </History>
  </Task>
  <Task id="{7adc74b0-1840-4458-ad76-c3ee7db7eb01}">
    <Anchor>
      <Comment id="{a91ec549-9eec-42f0-beda-4f83b080abc0}"/>
    </Anchor>
    <History>
      <Event time="2026-05-13T19:05:28.00" id="{8e108a35-ff77-4a4f-9555-cd757ba9c8f6}">
        <Attribution userId="placeholder@email.com" userName="Rafael Bernardo" userProvider="google-sheets"/>
        <Anchor>
          <Comment id="{a91ec549-9eec-42f0-beda-4f83b080abc0}"/>
        </Anchor>
        <Create/>
      </Event>
      <Event time="2026-05-13T19:05:28.00" id="{530896cd-15ab-4a77-a471-c8675420b59e}">
        <Attribution userId="placeholder@email.com" userName="Rafael Bernardo" userProvider="google-sheets"/>
        <Anchor>
          <Comment id="{a91ec549-9eec-42f0-beda-4f83b080abc0}"/>
        </Anchor>
        <Assign userId="isabel@coryhometeam.com" userName="isabel@coryhometeam.com" userProvider="google-sheets"/>
      </Event>
    </History>
  </Task>
  <Task id="{627838e8-9401-41b4-9df8-50ec699bc65f}">
    <Anchor>
      <Comment id="{8f1fee8e-d724-4b94-b0e9-e44afd1e50f6}"/>
    </Anchor>
    <History>
      <Event time="2026-03-16T19:24:11.00" id="{370f03a7-d534-4bfb-bffd-8cbe1b68189a}">
        <Attribution userId="placeholder@email.com" userName="Dana Martinez" userProvider="google-sheets"/>
        <Anchor>
          <Comment id="{8f1fee8e-d724-4b94-b0e9-e44afd1e50f6}"/>
        </Anchor>
        <Create/>
      </Event>
      <Event time="2026-03-16T19:24:11.00" id="{4519908d-2cf6-4a34-8c09-77737971eaf8}">
        <Attribution userId="placeholder@email.com" userName="Dana Martinez" userProvider="google-sheets"/>
        <Anchor>
          <Comment id="{8f1fee8e-d724-4b94-b0e9-e44afd1e50f6}"/>
        </Anchor>
        <Assign userId="kenia@coryhometeam.com" userName="kenia@coryhometeam.com" userProvider="google-sheets"/>
      </Event>
    </History>
  </Task>
  <Task id="{811be9c1-70e7-4026-b292-a713a53c1fe5}">
    <Anchor>
      <Comment id="{03256574-df4e-4ac3-82e6-90846e4f93e7}"/>
    </Anchor>
    <History>
      <Event time="2026-02-28T02:03:37.00" id="{6bbcd3c2-0d31-4d8a-bf46-11280638326a}">
        <Attribution userId="placeholder@email.com" userName="Jam Bernardo" userProvider="google-sheets"/>
        <Anchor>
          <Comment id="{03256574-df4e-4ac3-82e6-90846e4f93e7}"/>
        </Anchor>
        <Create/>
      </Event>
      <Event time="2026-02-28T02:03:37.00" id="{d1f8557c-be35-4235-bec3-7d9834b7171a}">
        <Attribution userId="placeholder@email.com" userName="Jam Bernardo" userProvider="google-sheets"/>
        <Anchor>
          <Comment id="{03256574-df4e-4ac3-82e6-90846e4f93e7}"/>
        </Anchor>
        <Assign userId="isabel@coryhometeam.com" userName="isabel@coryhometeam.com" userProvider="google-sheets"/>
      </Event>
    </History>
  </Task>
  <Task id="{fe1eb4a5-08e5-40c6-94ec-7ad261a21d11}">
    <Anchor>
      <Comment id="{2ffe798c-af6a-44c6-bf7c-292b7e63257f}"/>
    </Anchor>
    <History>
      <Event time="2026-04-06T15:17:36.00" id="{c2381034-9786-44bd-99f1-25476d8f5845}">
        <Attribution userId="placeholder@email.com" userName="Rafael Bernardo" userProvider="google-sheets"/>
        <Anchor>
          <Comment id="{2ffe798c-af6a-44c6-bf7c-292b7e63257f}"/>
        </Anchor>
        <Create/>
      </Event>
      <Event time="2026-04-06T15:17:36.00" id="{59dc1edc-6b3a-48d2-aa0f-37891b18f85f}">
        <Attribution userId="placeholder@email.com" userName="Rafael Bernardo" userProvider="google-sheets"/>
        <Anchor>
          <Comment id="{2ffe798c-af6a-44c6-bf7c-292b7e63257f}"/>
        </Anchor>
        <Assign userId="isabel@coryhometeam.com" userName="isabel@coryhometeam.com" userProvider="google-sheets"/>
      </Event>
    </History>
  </Task>
  <Task id="{84df469a-0c9c-4a5c-801f-4640dd7e3d4d}">
    <Anchor>
      <Comment id="{e6366806-8467-45e7-8927-d47577116a9b}"/>
    </Anchor>
    <History>
      <Event time="2026-05-13T18:44:16.00" id="{739bb5cf-3733-4f10-ac9e-3638d2145345}">
        <Attribution userId="placeholder@email.com" userName="Rafael Bernardo" userProvider="google-sheets"/>
        <Anchor>
          <Comment id="{e6366806-8467-45e7-8927-d47577116a9b}"/>
        </Anchor>
        <Create/>
      </Event>
      <Event time="2026-05-13T18:44:16.00" id="{04d9cf7a-6316-46f3-b52a-8b554b55d597}">
        <Attribution userId="placeholder@email.com" userName="Rafael Bernardo" userProvider="google-sheets"/>
        <Anchor>
          <Comment id="{e6366806-8467-45e7-8927-d47577116a9b}"/>
        </Anchor>
        <Assign userId="isabel@coryhometeam.com" userName="isabel@coryhometeam.com" userProvider="google-sheets"/>
      </Event>
    </History>
  </Task>
  <Task id="{c1230ae3-e0cf-4c2a-9507-a378cc7572bf}">
    <Anchor>
      <Comment id="{746bf927-a954-4cb1-849c-bc7124bf8786}"/>
    </Anchor>
    <History>
      <Event time="2026-02-21T00:33:29.00" id="{cace6f06-59bf-4997-b38d-6bf8b711de4d}">
        <Attribution userId="placeholder@email.com" userName="Jam Bernardo" userProvider="google-sheets"/>
        <Anchor>
          <Comment id="{746bf927-a954-4cb1-849c-bc7124bf8786}"/>
        </Anchor>
        <Create/>
      </Event>
      <Event time="2026-02-21T00:33:29.00" id="{d8d27be5-253e-4d11-98c5-c2a655f537e9}">
        <Attribution userId="placeholder@email.com" userName="Jam Bernardo" userProvider="google-sheets"/>
        <Anchor>
          <Comment id="{746bf927-a954-4cb1-849c-bc7124bf8786}"/>
        </Anchor>
        <Assign userId="isabel@coryhometeam.com" userName="isabel@coryhometeam.com" userProvider="google-sheets"/>
      </Event>
    </History>
  </Task>
  <Task id="{ec6f23ab-c10f-4323-b35b-837e88e3ceea}">
    <Anchor>
      <Comment id="{2c342f20-2429-408e-b4e7-8e017f48a962}"/>
    </Anchor>
    <History>
      <Event time="2026-02-21T00:25:27.00" id="{84d056da-e2f0-4a45-a87f-9f4735ca89ed}">
        <Attribution userId="placeholder@email.com" userName="Jam Bernardo" userProvider="google-sheets"/>
        <Anchor>
          <Comment id="{2c342f20-2429-408e-b4e7-8e017f48a962}"/>
        </Anchor>
        <Create/>
      </Event>
      <Event time="2026-02-21T00:25:27.00" id="{e38394e0-e0f4-4ca9-860f-6de183b4aa5d}">
        <Attribution userId="placeholder@email.com" userName="Jam Bernardo" userProvider="google-sheets"/>
        <Anchor>
          <Comment id="{2c342f20-2429-408e-b4e7-8e017f48a962}"/>
        </Anchor>
        <Assign userId="isabel@coryhometeam.com" userName="isabel@coryhometeam.com" userProvider="google-sheets"/>
      </Event>
    </History>
  </Task>
  <Task id="{05c3681f-5abf-4999-abd9-890afc4d9cb6}">
    <Anchor>
      <Comment id="{f26218f9-602f-4ac8-a17f-dc3f1ad36e33}"/>
    </Anchor>
    <History>
      <Event time="2026-02-12T20:18:25.00" id="{6a863007-b4ab-4736-ad03-a8fcc9eec36d}">
        <Attribution userId="placeholder@email.com" userName="Jam Bernardo" userProvider="google-sheets"/>
        <Anchor>
          <Comment id="{f26218f9-602f-4ac8-a17f-dc3f1ad36e33}"/>
        </Anchor>
        <Create/>
      </Event>
      <Event time="2026-02-12T20:18:25.00" id="{6fe863f2-7f2c-451e-a956-a058b6b8158d}">
        <Attribution userId="placeholder@email.com" userName="Jam Bernardo" userProvider="google-sheets"/>
        <Anchor>
          <Comment id="{f26218f9-602f-4ac8-a17f-dc3f1ad36e33}"/>
        </Anchor>
        <Assign userId="isabel@coryhometeam.com" userName="isabel@coryhometeam.com" userProvider="google-sheets"/>
      </Event>
    </History>
  </Task>
  <Task id="{2bf2392e-126d-4ac0-a8d7-7855706b734e}">
    <Anchor>
      <Comment id="{8ecb6dd7-667d-401c-af4d-cb9d58168a9d}"/>
    </Anchor>
    <History>
      <Event time="2026-03-07T00:56:03.00" id="{32593412-2424-4adc-aef4-32e74c244105}">
        <Attribution userId="placeholder@email.com" userName="Jam Bernardo" userProvider="google-sheets"/>
        <Anchor>
          <Comment id="{8ecb6dd7-667d-401c-af4d-cb9d58168a9d}"/>
        </Anchor>
        <Create/>
      </Event>
      <Event time="2026-03-07T00:56:03.00" id="{07ad96fe-2565-4efd-82b2-6425ea2f8a87}">
        <Attribution userId="placeholder@email.com" userName="Jam Bernardo" userProvider="google-sheets"/>
        <Anchor>
          <Comment id="{8ecb6dd7-667d-401c-af4d-cb9d58168a9d}"/>
        </Anchor>
        <Assign userId="isabel@coryhometeam.com" userName="isabel@coryhometeam.com" userProvider="google-sheets"/>
      </Event>
    </History>
  </Task>
  <Task id="{49b3ad48-d1b1-4c69-80ed-20ba1096fd2d}">
    <Anchor>
      <Comment id="{34aa89cc-92c9-4d67-9891-4b4ccd95b4aa}"/>
    </Anchor>
    <History>
      <Event time="2026-03-07T00:58:49.00" id="{5e6a81a4-5e71-4c23-88e4-a47d5dedd7ff}">
        <Attribution userId="placeholder@email.com" userName="Jam Bernardo" userProvider="google-sheets"/>
        <Anchor>
          <Comment id="{34aa89cc-92c9-4d67-9891-4b4ccd95b4aa}"/>
        </Anchor>
        <Create/>
      </Event>
      <Event time="2026-03-07T00:58:49.00" id="{7483dfb9-9048-47a2-9c27-23f019c784cb}">
        <Attribution userId="placeholder@email.com" userName="Jam Bernardo" userProvider="google-sheets"/>
        <Anchor>
          <Comment id="{34aa89cc-92c9-4d67-9891-4b4ccd95b4aa}"/>
        </Anchor>
        <Assign userId="isabel@coryhometeam.com" userName="isabel@coryhometeam.com" userProvider="google-sheets"/>
      </Event>
    </History>
  </Task>
  <Task id="{c057762d-2d54-4759-9ebf-b94e53c73d56}">
    <Anchor>
      <Comment id="{6a2efaba-edd2-4936-a9e4-992fff02f3b8}"/>
    </Anchor>
    <History>
      <Event time="2026-03-07T01:03:02.00" id="{6cf19bf9-e1a6-41a9-a5f6-e0d1843f5323}">
        <Attribution userId="placeholder@email.com" userName="Jam Bernardo" userProvider="google-sheets"/>
        <Anchor>
          <Comment id="{6a2efaba-edd2-4936-a9e4-992fff02f3b8}"/>
        </Anchor>
        <Create/>
      </Event>
      <Event time="2026-03-07T01:03:02.00" id="{5194537d-45ba-4145-b4ac-014303dc1086}">
        <Attribution userId="placeholder@email.com" userName="Jam Bernardo" userProvider="google-sheets"/>
        <Anchor>
          <Comment id="{6a2efaba-edd2-4936-a9e4-992fff02f3b8}"/>
        </Anchor>
        <Assign userId="isabel@coryhometeam.com" userName="isabel@coryhometeam.com" userProvider="google-sheets"/>
      </Event>
    </History>
  </Task>
</Tasks>
</file>

<file path=xl/documenttasks/documenttask3.xml><?xml version="1.0" encoding="utf-8"?>
<Tasks xmlns="http://schemas.microsoft.com/office/tasks/2019/documenttasks">
  <Task id="{fdf09997-d9e0-4990-ba25-faa4184f2c6c}">
    <Anchor>
      <Comment id="{e5bb38b1-5f6c-4193-91ac-d407e18ddb77}"/>
    </Anchor>
    <History>
      <Event time="2026-04-03T23:56:53.00" id="{14664f15-4f6e-421b-b964-898c29b0d2a5}">
        <Attribution userId="placeholder@email.com" userName="Jam Bernardo" userProvider="google-sheets"/>
        <Anchor>
          <Comment id="{e5bb38b1-5f6c-4193-91ac-d407e18ddb77}"/>
        </Anchor>
        <Create/>
      </Event>
      <Event time="2026-04-03T23:56:53.00" id="{8b0b2062-150f-4143-bf15-e28174c63bc1}">
        <Attribution userId="placeholder@email.com" userName="Jam Bernardo" userProvider="google-sheets"/>
        <Anchor>
          <Comment id="{e5bb38b1-5f6c-4193-91ac-d407e18ddb77}"/>
        </Anchor>
        <Assign userId="isabel@coryhometeam.com" userName="isabel@coryhometeam.com" userProvider="google-sheets"/>
      </Event>
    </History>
  </Task>
  <Task id="{322c62dd-9517-40f0-86de-07a31f5281f0}">
    <Anchor>
      <Comment id="{97844e6b-15a9-4975-998c-11550d90c95e}"/>
    </Anchor>
    <History>
      <Event time="2026-04-15T17:47:32.00" id="{05565612-8637-4471-bbc4-0c4378487f08}">
        <Attribution userId="placeholder@email.com" userName="Rafael Bernardo" userProvider="google-sheets"/>
        <Anchor>
          <Comment id="{97844e6b-15a9-4975-998c-11550d90c95e}"/>
        </Anchor>
        <Create/>
      </Event>
      <Event time="2026-04-15T17:47:32.00" id="{908428c5-b172-4c51-88df-603b99d7fb72}">
        <Attribution userId="placeholder@email.com" userName="Rafael Bernardo" userProvider="google-sheets"/>
        <Anchor>
          <Comment id="{97844e6b-15a9-4975-998c-11550d90c95e}"/>
        </Anchor>
        <Assign userId="isabel@coryhometeam.com" userName="isabel@coryhometeam.com" userProvider="google-sheets"/>
      </Event>
    </History>
  </Task>
  <Task id="{cdb65fff-80f7-4ab6-b495-89d88d4ad400}">
    <Anchor>
      <Comment id="{87273a7a-b43e-4b53-b000-d368f5c9face}"/>
    </Anchor>
    <History>
      <Event time="2026-02-24T11:43:53.00" id="{c1d1d290-392e-4087-93b9-6663c6bd772a}">
        <Attribution userId="placeholder@email.com" userName="Rafael Bernardo" userProvider="google-sheets"/>
        <Anchor>
          <Comment id="{87273a7a-b43e-4b53-b000-d368f5c9face}"/>
        </Anchor>
        <Create/>
      </Event>
      <Event time="2026-02-24T11:43:53.00" id="{3dc137d9-8620-4a34-b6da-a47b6f1210d0}">
        <Attribution userId="placeholder@email.com" userName="Rafael Bernardo" userProvider="google-sheets"/>
        <Anchor>
          <Comment id="{87273a7a-b43e-4b53-b000-d368f5c9face}"/>
        </Anchor>
        <Assign userId="isabel@coryhometeam.com" userName="isabel@coryhometeam.com" userProvider="google-sheets"/>
      </Event>
    </History>
  </Task>
  <Task id="{248392de-10ce-40ef-87cc-6944c6aff1df}">
    <Anchor>
      <Comment id="{bd75d907-e3e2-4a3a-a7cd-f53478128140}"/>
    </Anchor>
    <History>
      <Event time="2026-02-24T11:01:43.00" id="{77d024d9-74c1-4f40-a042-f28c4f891295}">
        <Attribution userId="placeholder@email.com" userName="Jam Bernardo" userProvider="google-sheets"/>
        <Anchor>
          <Comment id="{bd75d907-e3e2-4a3a-a7cd-f53478128140}"/>
        </Anchor>
        <Create/>
      </Event>
      <Event time="2026-02-24T11:01:43.00" id="{a01fe38a-ed33-4670-bef8-033758a1b37f}">
        <Attribution userId="placeholder@email.com" userName="Jam Bernardo" userProvider="google-sheets"/>
        <Anchor>
          <Comment id="{bd75d907-e3e2-4a3a-a7cd-f53478128140}"/>
        </Anchor>
        <Assign userId="isabel@coryhometeam.com" userName="isabel@coryhometeam.com" userProvider="google-sheets"/>
      </Event>
    </History>
  </Task>
  <Task id="{7a3e6220-62a3-4b34-9bcd-566aee540c5c}">
    <Anchor>
      <Comment id="{83a8cb51-586e-4723-a058-a4c57d49d7e0}"/>
    </Anchor>
    <History>
      <Event time="2026-02-12T12:33:43.00" id="{4454fe09-126c-4d95-9672-df9b79af2de6}">
        <Attribution userId="placeholder@email.com" userName="Jam Bernardo" userProvider="google-sheets"/>
        <Anchor>
          <Comment id="{83a8cb51-586e-4723-a058-a4c57d49d7e0}"/>
        </Anchor>
        <Create/>
      </Event>
      <Event time="2026-02-12T12:33:43.00" id="{faf1b57e-c297-4e8b-9146-7a67e0f886a3}">
        <Attribution userId="placeholder@email.com" userName="Jam Bernardo" userProvider="google-sheets"/>
        <Anchor>
          <Comment id="{83a8cb51-586e-4723-a058-a4c57d49d7e0}"/>
        </Anchor>
        <Assign userId="isabel@coryhometeam.com" userName="isabel@coryhometeam.com" userProvider="google-sheets"/>
      </Event>
    </History>
  </Task>
  <Task id="{5fb071f0-a1c0-46ab-9116-9d143475245c}">
    <Anchor>
      <Comment id="{cd505de7-07d5-4cdc-973b-df243e7663aa}"/>
    </Anchor>
    <History>
      <Event time="2026-03-27T21:17:18.00" id="{77533669-5761-48f8-80bc-7396532b854a}">
        <Attribution userId="placeholder@email.com" userName="Jam Bernardo" userProvider="google-sheets"/>
        <Anchor>
          <Comment id="{cd505de7-07d5-4cdc-973b-df243e7663aa}"/>
        </Anchor>
        <Create/>
      </Event>
      <Event time="2026-03-27T21:17:18.00" id="{38980d15-1db4-4bc3-b885-ada8ad05ee75}">
        <Attribution userId="placeholder@email.com" userName="Jam Bernardo" userProvider="google-sheets"/>
        <Anchor>
          <Comment id="{cd505de7-07d5-4cdc-973b-df243e7663aa}"/>
        </Anchor>
        <Assign userId="isabel@coryhometeam.com" userName="isabel@coryhometeam.com" userProvider="google-sheets"/>
      </Event>
    </History>
  </Task>
  <Task id="{459010dd-0957-4459-b9f5-e770750aa65c}">
    <Anchor>
      <Comment id="{5eec640b-2e51-4de1-8af6-33cb5dfd84dc}"/>
    </Anchor>
    <History>
      <Event time="2026-02-19T23:19:15.00" id="{9cbabbc0-a5ad-4dba-93b3-a0f47e93ae55}">
        <Attribution userId="placeholder@email.com" userName="Jam Bernardo" userProvider="google-sheets"/>
        <Anchor>
          <Comment id="{5eec640b-2e51-4de1-8af6-33cb5dfd84dc}"/>
        </Anchor>
        <Create/>
      </Event>
      <Event time="2026-02-19T23:19:15.00" id="{77c3cbcc-3ded-4bea-b9c0-655e349bb7e6}">
        <Attribution userId="placeholder@email.com" userName="Jam Bernardo" userProvider="google-sheets"/>
        <Anchor>
          <Comment id="{5eec640b-2e51-4de1-8af6-33cb5dfd84dc}"/>
        </Anchor>
        <Assign userId="isabel@coryhometeam.com" userName="isabel@coryhometeam.com" userProvider="google-sheets"/>
      </Event>
    </History>
  </Task>
  <Task id="{b2bca194-3bba-48b8-9f5e-b484303f5a89}">
    <Anchor>
      <Comment id="{82a5e466-22b9-4a81-a178-4f1eb853bbf9}"/>
    </Anchor>
    <History>
      <Event time="2026-01-21T23:31:14.00" id="{ffb9b862-0e18-4fb1-a78a-619b2c90294b}">
        <Attribution userId="placeholder@email.com" userName="Rafael Bernardo" userProvider="google-sheets"/>
        <Anchor>
          <Comment id="{82a5e466-22b9-4a81-a178-4f1eb853bbf9}"/>
        </Anchor>
        <Create/>
      </Event>
      <Event time="2026-01-21T23:31:14.00" id="{af400534-d429-433d-a870-a3fc1124e9ed}">
        <Attribution userId="placeholder@email.com" userName="Rafael Bernardo" userProvider="google-sheets"/>
        <Anchor>
          <Comment id="{82a5e466-22b9-4a81-a178-4f1eb853bbf9}"/>
        </Anchor>
        <Assign userId="kenia@coryhometeam.com" userName="kenia@coryhometeam.com" userProvider="google-sheets"/>
      </Event>
    </History>
  </Task>
  <Task id="{8a399f74-2c1f-4624-92e6-0f7295ef1b7a}">
    <Anchor>
      <Comment id="{fe755907-3c02-474f-b11f-6a7e49686db0}"/>
    </Anchor>
    <History>
      <Event time="2026-02-19T13:07:07.00" id="{c2530b75-f898-4105-80fa-d2741d2b444c}">
        <Attribution userId="placeholder@email.com" userName="Rafael Bernardo" userProvider="google-sheets"/>
        <Anchor>
          <Comment id="{fe755907-3c02-474f-b11f-6a7e49686db0}"/>
        </Anchor>
        <Create/>
      </Event>
      <Event time="2026-02-19T13:07:07.00" id="{fce67da7-bccd-4b98-ac36-41cfd6599c50}">
        <Attribution userId="placeholder@email.com" userName="Rafael Bernardo" userProvider="google-sheets"/>
        <Anchor>
          <Comment id="{fe755907-3c02-474f-b11f-6a7e49686db0}"/>
        </Anchor>
        <Assign userId="isabel@coryhometeam.com" userName="isabel@coryhometeam.com" userProvider="google-sheets"/>
      </Event>
    </History>
  </Task>
  <Task id="{0c445c61-3911-493e-beb5-c8cf85997e8b}">
    <Anchor>
      <Comment id="{75ea2810-746d-4fc7-90a8-d488b8383ef9}"/>
    </Anchor>
    <History>
      <Event time="2026-01-23T23:09:16.00" id="{d994635a-ba09-48c4-8f00-c0ed58457c83}">
        <Attribution userId="placeholder@email.com" userName="Jam Bernardo" userProvider="google-sheets"/>
        <Anchor>
          <Comment id="{75ea2810-746d-4fc7-90a8-d488b8383ef9}"/>
        </Anchor>
        <Create/>
      </Event>
      <Event time="2026-01-23T23:09:16.00" id="{b73ae8ef-679e-4add-bfab-29e98a553246}">
        <Attribution userId="placeholder@email.com" userName="Jam Bernardo" userProvider="google-sheets"/>
        <Anchor>
          <Comment id="{75ea2810-746d-4fc7-90a8-d488b8383ef9}"/>
        </Anchor>
        <Assign userId="isabel@coryhometeam.com" userName="isabel@coryhometeam.com" userProvider="google-sheets"/>
      </Event>
    </History>
  </Task>
  <Task id="{eaec799b-1cb8-49ad-a8ca-b7485d9899dc}">
    <Anchor>
      <Comment id="{ed50bc4f-bb0c-4b44-b7bc-a026023de18c}"/>
    </Anchor>
    <History>
      <Event time="2026-03-02T17:02:53.00" id="{95f3446e-995c-40cd-8861-0812e8042173}">
        <Attribution userId="placeholder@email.com" userName="Rafael Bernardo" userProvider="google-sheets"/>
        <Anchor>
          <Comment id="{ed50bc4f-bb0c-4b44-b7bc-a026023de18c}"/>
        </Anchor>
        <Create/>
      </Event>
      <Event time="2026-03-02T17:02:53.00" id="{f437016e-f66c-47eb-bdaa-b2329cfd91c4}">
        <Attribution userId="placeholder@email.com" userName="Rafael Bernardo" userProvider="google-sheets"/>
        <Anchor>
          <Comment id="{ed50bc4f-bb0c-4b44-b7bc-a026023de18c}"/>
        </Anchor>
        <Assign userId="isabel@coryhometeam.com" userName="isabel@coryhometeam.com" userProvider="google-sheets"/>
      </Event>
    </History>
  </Task>
  <Task id="{cae6f2c5-3fe0-496f-a8e2-79f4ed247930}">
    <Anchor>
      <Comment id="{66813622-ba95-40bf-8ab1-e739530a5425}"/>
    </Anchor>
    <History>
      <Event time="2026-05-27T23:27:01.00" id="{3e446a97-ea36-4b3c-826a-02ad160b0bae}">
        <Attribution userId="placeholder@email.com" userName="Rafael Bernardo" userProvider="google-sheets"/>
        <Anchor>
          <Comment id="{66813622-ba95-40bf-8ab1-e739530a5425}"/>
        </Anchor>
        <Create/>
      </Event>
      <Event time="2026-05-27T23:27:01.00" id="{984b961e-9508-4b93-98eb-cb4b8dcbb95d}">
        <Attribution userId="placeholder@email.com" userName="Rafael Bernardo" userProvider="google-sheets"/>
        <Anchor>
          <Comment id="{66813622-ba95-40bf-8ab1-e739530a5425}"/>
        </Anchor>
        <Assign userId="isabel@coryhometeam.com" userName="isabel@coryhometeam.com" userProvider="google-sheets"/>
      </Event>
    </History>
  </Task>
  <Task id="{c0bcbc0b-333d-4633-b157-5fe207be73e3}">
    <Anchor>
      <Comment id="{33d82b96-059d-4ffa-b17c-686ac86f8e93}"/>
    </Anchor>
    <History>
      <Event time="2026-04-03T16:09:00.00" id="{bf06a50a-9322-4e49-ba3f-1e8a472d660c}">
        <Attribution userId="placeholder@email.com" userName="Rafael Bernardo" userProvider="google-sheets"/>
        <Anchor>
          <Comment id="{33d82b96-059d-4ffa-b17c-686ac86f8e93}"/>
        </Anchor>
        <Create/>
      </Event>
      <Event time="2026-04-03T16:09:00.00" id="{b3bd4881-9aca-43a7-8ec2-522b49e12262}">
        <Attribution userId="placeholder@email.com" userName="Rafael Bernardo" userProvider="google-sheets"/>
        <Anchor>
          <Comment id="{33d82b96-059d-4ffa-b17c-686ac86f8e93}"/>
        </Anchor>
        <Assign userId="isabel@coryhometeam.com" userName="isabel@coryhometeam.com" userProvider="google-sheets"/>
      </Event>
    </History>
  </Task>
  <Task id="{640d3fc0-7d82-416a-9db8-f317f3d7381a}">
    <Anchor>
      <Comment id="{3aa5c310-964c-4b0c-8d7b-23345d649fd9}"/>
    </Anchor>
    <History>
      <Event time="2026-04-27T08:25:30.00" id="{e86b552f-7525-45df-b4c7-e1752259d540}">
        <Attribution userId="placeholder@email.com" userName="Rafael Bernardo" userProvider="google-sheets"/>
        <Anchor>
          <Comment id="{3aa5c310-964c-4b0c-8d7b-23345d649fd9}"/>
        </Anchor>
        <Create/>
      </Event>
      <Event time="2026-04-27T08:25:30.00" id="{99e298ea-fc94-4c53-9512-db47ea2177ff}">
        <Attribution userId="placeholder@email.com" userName="Rafael Bernardo" userProvider="google-sheets"/>
        <Anchor>
          <Comment id="{3aa5c310-964c-4b0c-8d7b-23345d649fd9}"/>
        </Anchor>
        <Assign userId="isabel@coryhometeam.com" userName="isabel@coryhometeam.com" userProvider="google-sheets"/>
      </Event>
    </History>
  </Task>
  <Task id="{f68d9631-ae5c-4b8f-8f3e-03f6edf89ba7}">
    <Anchor>
      <Comment id="{f36ace2d-492b-45e3-a83f-bb3b367275cc}"/>
    </Anchor>
    <History>
      <Event time="2026-02-10T20:57:12.00" id="{ca111393-24ec-4df4-9914-9ff2bc508763}">
        <Attribution userId="placeholder@email.com" userName="Rafael Bernardo" userProvider="google-sheets"/>
        <Anchor>
          <Comment id="{f36ace2d-492b-45e3-a83f-bb3b367275cc}"/>
        </Anchor>
        <Create/>
      </Event>
      <Event time="2026-02-10T20:57:12.00" id="{5aec7777-0a20-42b4-bb2c-876e9e1a549f}">
        <Attribution userId="placeholder@email.com" userName="Rafael Bernardo" userProvider="google-sheets"/>
        <Anchor>
          <Comment id="{f36ace2d-492b-45e3-a83f-bb3b367275cc}"/>
        </Anchor>
        <Assign userId="isabel@coryhometeam.com" userName="isabel@coryhometeam.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27bb31ec-9875-47b5-801e-c6d751ef32e6}">
    <Anchor>
      <Comment id="{7d0b9d22-3b7d-44a2-b2d7-16d7426a8f10}"/>
    </Anchor>
    <History>
      <Event time="2026-01-19T20:48:41.00" id="{a71c0c2f-23d5-4916-9018-64f31d10f973}">
        <Attribution userId="placeholder@email.com" userName="Kenia Bautista" userProvider="google-sheets"/>
        <Anchor>
          <Comment id="{7d0b9d22-3b7d-44a2-b2d7-16d7426a8f10}"/>
        </Anchor>
        <Create/>
      </Event>
      <Event time="2026-01-19T20:48:41.00" id="{0c0ed09e-0a3c-49d9-b52b-36f3a34cd3c2}">
        <Attribution userId="placeholder@email.com" userName="Kenia Bautista" userProvider="google-sheets"/>
        <Anchor>
          <Comment id="{7d0b9d22-3b7d-44a2-b2d7-16d7426a8f10}"/>
        </Anchor>
        <Assign userId="dana@coryhometeam.com" userName="dana@coryhometeam.com" userProvider="google-sheets"/>
      </Event>
    </History>
  </Task>
</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abd406ba-4e1f-4aa4-85a3-d5e03131b485}">
    <Anchor>
      <Comment id="{547c9abb-81ed-421f-9e9b-5e3111e88922}"/>
    </Anchor>
    <History>
      <Event time="2026-01-21T22:30:16.00" id="{360ece41-8452-4594-b3bd-45a8a14ef1a0}">
        <Attribution userId="placeholder@email.com" userName="Blake Cory" userProvider="google-sheets"/>
        <Anchor>
          <Comment id="{547c9abb-81ed-421f-9e9b-5e3111e88922}"/>
        </Anchor>
        <Create/>
      </Event>
      <Event time="2026-01-21T22:30:16.00" id="{75f66350-18b4-4ec0-8525-308f6dab22f3}">
        <Attribution userId="placeholder@email.com" userName="Blake Cory" userProvider="google-sheets"/>
        <Anchor>
          <Comment id="{547c9abb-81ed-421f-9e9b-5e3111e88922}"/>
        </Anchor>
        <Assign userId="mark@coryhometeam.com" userName="mark@coryhometeam.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ileen@coryhometeam.com" id="{d84aad15-fe10-4ace-a111-49c543015ec6}" userId="aileen@coryhometeam.com" providerId="google-sheets"/>
  <x18tc:person displayName="Rafael Bernardo" id="{91ddd612-48c2-41c6-a628-68f42b3a1fa2}" providerId="google-sheets"/>
  <x18tc:person displayName="blake@coryhometeam.com" id="{692ffb8d-e972-4767-8b2a-269aef06e0df}" userId="blake@coryhometeam.com" providerId="google-sheets"/>
  <x18tc:person displayName="alexis@coryhometeam.com" id="{e0ede1ef-7aee-4904-9f47-62fb26fea2cd}" userId="alexis@coryhometeam.com" providerId="google-sheets"/>
  <x18tc:person displayName="Kenia Bautista" id="{283cbab7-8785-4d8a-9d80-ae85deef9da8}" providerId="google-sheets"/>
  <x18tc:person displayName="Blake Cory" id="{5a7b7df7-22eb-4b3a-a492-7d9d82a49202}" providerId="google-sheets"/>
  <x18tc:person displayName="jamesa@coryhometeam.com" id="{2e62d27e-283c-4022-9a11-29871798bb74}" userId="jamesa@coryhometeam.com" providerId="google-sheets"/>
  <x18tc:person displayName="Aileen Munoz" id="{bd81d93e-be55-44dd-b62e-6a2b19efdd84}" providerId="google-sheets"/>
  <x18tc:person displayName="Diana Alsup" id="{70ef93c1-8205-4a4b-b2d2-ae0f451d890c}" providerId="google-sheets"/>
  <x18tc:person displayName="nichole@coryhometeam.com" id="{a4b6a030-b93b-465f-bdbe-7ee04f6a5719}" userId="nichole@coryhometeam.com" providerId="google-sheets"/>
  <x18tc:person displayName="Mario Munoz" id="{0133e9b1-fafb-4583-93c6-8ca1e64b90cc}" providerId="google-sheets"/>
  <x18tc:person displayName="Remy Victoria" id="{2c0b40a3-d34a-4e30-997b-e7e5451e40bb}" providerId="google-sheets"/>
  <x18tc:person displayName="rafael@coryhometeam.com" id="{9bdf134a-8804-4ab3-a81d-c648bae0f1b8}" userId="rafael@coryhometeam.com" providerId="google-sheets"/>
  <x18tc:person displayName="Isabel Delmo" id="{c7fad490-24e0-4859-bb84-4307c52d4768}" providerId="google-sheets"/>
  <x18tc:person displayName="isabel@coryhometeam.com" id="{7d00647f-be2a-4639-a5f7-08a67118a5cf}" userId="isabel@coryhometeam.com" providerId="google-sheets"/>
  <x18tc:person displayName="Jam Bernardo" id="{d4b03686-3bed-491a-bd12-3b942153f8f5}" providerId="google-sheets"/>
  <x18tc:person displayName="dana@coryhometeam.com" id="{97a5b354-94ec-4750-87c3-99cebe208b41}" userId="dana@coryhometeam.com" providerId="google-sheets"/>
  <x18tc:person displayName="remy@coryhometeam.com" id="{5fc4901b-b525-40a8-b626-e780cd452fac}" userId="remy@coryhometeam.com" providerId="google-sheets"/>
  <x18tc:person displayName="mario@coryhometeam.com" id="{2e22d597-0391-4fad-b35d-27f803a9ca3b}" userId="mario@coryhometeam.com" providerId="google-sheets"/>
  <x18tc:person displayName="Dana Martinez" id="{e9fc873c-1c43-4e02-b893-c88033c9c8f6}" providerId="google-sheets"/>
  <x18tc:person displayName="kenia@coryhometeam.com" id="{c2b0de28-3b31-4aa3-82a3-f8aba187b3e9}" userId="kenia@coryhometeam.com" providerId="google-sheets"/>
  <x18tc:person displayName="mark@coryhometeam.com" id="{c3ab2f0a-6b13-4be6-bd93-ff88ef370cd6}" userId="mark@coryhometeam.com" providerId="google-sheets"/>
  <x18tc:person displayName="Alexis Cassidy" id="{686b49bf-83f4-411b-b0f1-f0e341680f5a}" providerId="google-sheets"/>
</x18tc:personList>
</file>

<file path=xl/tables/table1.xml><?xml version="1.0" encoding="utf-8"?>
<table xmlns="http://schemas.openxmlformats.org/spreadsheetml/2006/main" headerRowCount="0" ref="G20:I30" displayName="Table_1" name="Table_1" id="1">
  <tableColumns count="3">
    <tableColumn name="Column1" id="1"/>
    <tableColumn name="Column2" id="2"/>
    <tableColumn name="Column3" id="3"/>
  </tableColumns>
  <tableStyleInfo name="Agent Contra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2-27T22:40:44.00" personId="{686b49bf-83f4-411b-b0f1-f0e341680f5a}" id="{2c8fa152-b86f-4d8d-a4a1-ce94664c7274}" done="0">
    <x18tc:text xml:space="preserve">$500 Credit to seller to be out of Richard's commission per Mel on phone call 02/27/25</x18tc:text>
  </x18tc:threadedComment>
  <x18tc:threadedComment ref="A1" dT="2025-09-12T17:10:42.00" personId="{e9fc873c-1c43-4e02-b893-c88033c9c8f6}" id="{c5741103-8811-4cb5-8129-3d47de6ad259}" done="0">
    <x18tc:text xml:space="preserve">updated to SOI</x18tc:text>
  </x18tc:threadedComment>
  <x18tc:threadedComment ref="A1" dT="2025-04-01T23:06:00.00" personId="{d4b03686-3bed-491a-bd12-3b942153f8f5}" id="{5b7e568e-a1f8-4be2-bc1e-14e5be68eba0}" done="0">
    <x18tc:text xml:space="preserve">HILLCREST DR @isabel@coryhometeam.com VERIFIED
Assigned to isabel@coryhometeam.com</x18tc:text>
    <x18tc:mentions>
      <x18tc:mention mentionpersonId="{7d00647f-be2a-4639-a5f7-08a67118a5cf}" mentionId="{80f1fb7c-db97-4055-b5b5-2551d0139f43}" startIndex="13" length="24"/>
    </x18tc:mentions>
  </x18tc:threadedComment>
  <x18tc:threadedComment ref="A1" dT="2025-04-01T22:59:56.00" personId="{91ddd612-48c2-41c6-a628-68f42b3a1fa2}" id="{c044c5b1-6642-4889-b17f-d8d5f62b583b}" done="0">
    <x18tc:text xml:space="preserve">TBD due to SPRP.</x18tc:text>
  </x18tc:threadedComment>
  <x18tc:threadedComment ref="A1" dT="2025-04-15T13:43:32.00" personId="{91ddd612-48c2-41c6-a628-68f42b3a1fa2}" id="{e350dcd9-5721-457a-983a-daad4f7e097b}" done="0">
    <x18tc:text xml:space="preserve">4.15 Reopened escrow with Pure logic from EBS.</x18tc:text>
  </x18tc:threadedComment>
  <x18tc:threadedComment ref="A1" dT="2026-04-21T20:56:30.00" personId="{686b49bf-83f4-411b-b0f1-f0e341680f5a}" id="{e5f2648a-0059-478c-93a2-89f02a2fcc8c}" done="0">
    <x18tc:text xml:space="preserve">Alicia to be billed at COE $500 for Showcase photos and sign install $139</x18tc:text>
  </x18tc:threadedComment>
  <x18tc:threadedComment ref="A1" dT="2025-07-02T17:47:03.00" personId="{91ddd612-48c2-41c6-a628-68f42b3a1fa2}" id="{e5ca3d4f-91c7-46fd-b940-88e30a3e61f5}" done="0">
    <x18tc:text xml:space="preserve">9056 Brownstone Cir # 54
AM verified.
@isabel@coryhometeam.com 
@kenia@coryhometeam.com 
7.2 CI sent to Escrow.
Assigned to isabel@coryhometeam.com</x18tc:text>
    <x18tc:mentions>
      <x18tc:mention mentionpersonId="{7d00647f-be2a-4639-a5f7-08a67118a5cf}" mentionId="{f51d9739-88ba-417d-b123-837a644c914a}" startIndex="38" length="24"/>
      <x18tc:mention mentionpersonId="{c2b0de28-3b31-4aa3-82a3-f8aba187b3e9}" mentionId="{8ff0a714-3f30-454d-8765-7532f399cb47}" startIndex="64" length="23"/>
    </x18tc:mentions>
  </x18tc:threadedComment>
  <x18tc:threadedComment ref="A1" dT="2025-06-26T20:49:08.00" personId="{91ddd612-48c2-41c6-a628-68f42b3a1fa2}" id="{6cd3d1f9-5df9-46a8-9069-d5fd4da6bdc2}" done="0">
    <x18tc:text xml:space="preserve">29734 Big Dipper Way
AM verified.
@isabel@coryhometeam.com 
@kenia@coryhometeam.com 
6.26 CI sent to Escrow.
Assigned to isabel@coryhometeam.com</x18tc:text>
    <x18tc:mentions>
      <x18tc:mention mentionpersonId="{7d00647f-be2a-4639-a5f7-08a67118a5cf}" mentionId="{0d384184-31c9-4154-b165-f264578d7568}" startIndex="34" length="24"/>
      <x18tc:mention mentionpersonId="{c2b0de28-3b31-4aa3-82a3-f8aba187b3e9}" mentionId="{a0680043-d37a-4c67-9f3a-2aa52c75c678}" startIndex="60" length="23"/>
    </x18tc:mentions>
  </x18tc:threadedComment>
  <x18tc:threadedComment ref="A1" dT="2025-06-23T19:23:33.00" personId="{d4b03686-3bed-491a-bd12-3b942153f8f5}" id="{a8701e8a-4088-4870-931e-84f89b4fc69e}" done="0">
    <x18tc:text xml:space="preserve">CANNES AVE @isabel@coryhometeam.com VERIFIED
Assigned to isabel@coryhometeam.com</x18tc:text>
    <x18tc:mentions>
      <x18tc:mention mentionpersonId="{7d00647f-be2a-4639-a5f7-08a67118a5cf}" mentionId="{ce41da97-1cb8-44ff-ade5-c86a38067c9e}" startIndex="11" length="24"/>
    </x18tc:mentions>
  </x18tc:threadedComment>
  <x18tc:threadedComment ref="A1" dT="2025-07-02T17:16:12.00" personId="{91ddd612-48c2-41c6-a628-68f42b3a1fa2}" id="{116e80e4-a8b3-4b89-8cf0-a577b8a300a0}" done="0">
    <x18tc:text xml:space="preserve">Secure NHD</x18tc:text>
  </x18tc:threadedComment>
  <x18tc:threadedComment ref="A1" dT="2025-06-23T18:30:18.00" personId="{e9fc873c-1c43-4e02-b893-c88033c9c8f6}" id="{be8ad9c8-dcea-4e0f-befd-46adcb736d13}" done="0">
    <x18tc:text xml:space="preserve">@isabel@coryhometeam.com please note that when this transaction goes pending/closes it will be split 50/50 Dana Garcia/Myrna
Assigned to isabel@coryhometeam.com</x18tc:text>
    <x18tc:mentions>
      <x18tc:mention mentionpersonId="{7d00647f-be2a-4639-a5f7-08a67118a5cf}" mentionId="{3cbb36a2-711e-45b5-a4d9-436c8f0bc454}" startIndex="0" length="24"/>
    </x18tc:mentions>
  </x18tc:threadedComment>
  <x18tc:threadedComment ref="A1" dT="2025-06-27T21:27:47.00" personId="{e9fc873c-1c43-4e02-b893-c88033c9c8f6}" id="{d2dba44b-8802-40f9-a86a-1b6a2bde3409}" parentId="{be8ad9c8-dcea-4e0f-befd-46adcb736d13}">
    <x18tc:text xml:space="preserve">@isabel@coryhometeam.com change to the above note; Myrna just text me; this listing will not be split; Dana Garcia Only</x18tc:text>
    <x18tc:mentions>
      <x18tc:mention mentionpersonId="{7d00647f-be2a-4639-a5f7-08a67118a5cf}" mentionId="{0bc71339-f9e0-4a3f-9366-c919fb7b3286}" startIndex="0" length="24"/>
    </x18tc:mentions>
  </x18tc:threadedComment>
  <x18tc:threadedComment ref="A1" dT="2025-07-02T19:17:17.00" personId="{91ddd612-48c2-41c6-a628-68f42b3a1fa2}" id="{20886cee-9276-48d7-a4fb-c1284aebeb64}" done="0">
    <x18tc:text xml:space="preserve">29734 Big Dipper Way
7.2 Buyer switched lender from Citi to Christian.</x18tc:text>
  </x18tc:threadedComment>
  <x18tc:threadedComment ref="A1" dT="2025-04-24T00:20:28.00" personId="{283cbab7-8785-4d8a-9d80-ae85deef9da8}" id="{009ca082-cc4b-4d0f-85a7-9c3aa4d8640b}" done="0">
    <x18tc:text xml:space="preserve">On Mon, Mar 31, 2025 at 1:39 PM Giuliana Mainardi &lt;gmainardi.mtg@gmail.com&gt; wrote:
HI Kenia,
They will not be opening escrow until Jaime is Park approved.
We are waiting for the park approval however I am waiting on an updated loan estimate to provide the park.
Thank you!</x18tc:text>
  </x18tc:threadedComment>
  <x18tc:threadedComment ref="A1" dT="2025-05-02T22:14:07.00" personId="{91ddd612-48c2-41c6-a628-68f42b3a1fa2}" id="{1beba703-dfa8-4c37-bed5-cb85834277aa}" parentId="{009ca082-cc4b-4d0f-85a7-9c3aa4d8640b}">
    <x18tc:text xml:space="preserve">3.29 Per Petra: Hi Ladies, the offer is accepted, escrow however wants to have the buyer park approved prior to giving an escrow number.</x18tc:text>
  </x18tc:threadedComment>
  <x18tc:threadedComment ref="A1" dT="2025-01-07T17:37:10.00" personId="{d4b03686-3bed-491a-bd12-3b942153f8f5}" id="{43f675a4-d4ed-4b5a-988b-20742e795718}" done="0">
    <x18tc:text xml:space="preserve">ROMANCE PL @isabel@coryhometeam.com VERIFIED
Assigned to isabel@coryhometeam.com</x18tc:text>
    <x18tc:mentions>
      <x18tc:mention mentionpersonId="{7d00647f-be2a-4639-a5f7-08a67118a5cf}" mentionId="{a60a121c-eb91-4525-9b04-6a81562290ee}" startIndex="11" length="24"/>
    </x18tc:mentions>
  </x18tc:threadedComment>
  <x18tc:threadedComment ref="A1" dT="2025-01-17T19:54:59.00" personId="{e9fc873c-1c43-4e02-b893-c88033c9c8f6}" id="{8f264723-3cc4-4ff6-9fca-9cd0d03c4b27}" parentId="{43f675a4-d4ed-4b5a-988b-20742e795718}">
    <x18tc:text xml:space="preserve">@alexis@coryhometeam.com @isabel@coryhometeam.com 33198 Romance Pl. personal deal $1500 to the team and remainder of the commission will be split 50/50 between Dana Garcia &amp; Myrna</x18tc:text>
    <x18tc:mentions>
      <x18tc:mention mentionpersonId="{e0ede1ef-7aee-4904-9f47-62fb26fea2cd}" mentionId="{87e5ac6a-7552-42af-9b32-c0fcedb8ec44}" startIndex="0" length="24"/>
      <x18tc:mention mentionpersonId="{7d00647f-be2a-4639-a5f7-08a67118a5cf}" mentionId="{9e143bda-d691-456f-be49-27517a45ef31}" startIndex="25" length="24"/>
    </x18tc:mentions>
  </x18tc:threadedComment>
  <x18tc:threadedComment ref="A1" dT="2025-01-17T20:42:00.00" personId="{686b49bf-83f4-411b-b0f1-f0e341680f5a}" id="{4961362c-b2e9-4494-8f72-6307cdac4c17}" parentId="{43f675a4-d4ed-4b5a-988b-20742e795718}">
    <x18tc:text xml:space="preserve">Hi Dana - thank you, do I need to do anyting on my end?</x18tc:text>
  </x18tc:threadedComment>
  <x18tc:threadedComment ref="A1" dT="2025-01-17T22:45:42.00" personId="{e9fc873c-1c43-4e02-b893-c88033c9c8f6}" id="{a50258d6-8bb1-45ff-81fa-e53bb2a0d2db}" parentId="{43f675a4-d4ed-4b5a-988b-20742e795718}">
    <x18tc:text xml:space="preserve">@alexis I dont think so, just wanted to make sure you were aware.</x18tc:text>
  </x18tc:threadedComment>
  <x18tc:threadedComment ref="A1" dT="2025-05-13T14:20:48.00" personId="{91ddd612-48c2-41c6-a628-68f42b3a1fa2}" id="{3b5cd081-bf56-4cd1-9c2b-1a7c17ea3532}" done="0">
    <x18tc:text xml:space="preserve">5.13 Lauren has been removed from the agreement, and the AOAA is out for signature.</x18tc:text>
  </x18tc:threadedComment>
  <x18tc:threadedComment ref="A1" dT="2025-01-07T17:11:21.00" personId="{91ddd612-48c2-41c6-a628-68f42b3a1fa2}" id="{d8608206-b67e-4170-b02c-fe2b3ee60eff}" done="0">
    <x18tc:text xml:space="preserve">AM verified.
@isabel@coryhometeam.com 
@kenia@coryhometeam.com 
1.7 CI sent to Escrow.
Assigned to isabel@coryhometeam.com</x18tc:text>
    <x18tc:mentions>
      <x18tc:mention mentionpersonId="{7d00647f-be2a-4639-a5f7-08a67118a5cf}" mentionId="{a478e3a5-a157-4927-947f-809084d13861}" startIndex="13" length="24"/>
      <x18tc:mention mentionpersonId="{c2b0de28-3b31-4aa3-82a3-f8aba187b3e9}" mentionId="{e5c47e16-15ad-425e-ab44-ffae6a379192}" startIndex="39" length="23"/>
    </x18tc:mentions>
  </x18tc:threadedComment>
  <x18tc:threadedComment ref="A1" dT="2025-03-04T21:16:57.00" personId="{91ddd612-48c2-41c6-a628-68f42b3a1fa2}" id="{ccb2dbc4-ec8f-4094-9a4b-a0fce5da4399}" parentId="{d8608206-b67e-4170-b02c-fe2b3ee60eff}">
    <x18tc:text xml:space="preserve">3.4 AM verified.
@isabel@coryhometeam.com 
@kenia@coryhometeam.com 
3.4 AMEDNED CI signed sent to Escrow.</x18tc:text>
    <x18tc:mentions>
      <x18tc:mention mentionpersonId="{7d00647f-be2a-4639-a5f7-08a67118a5cf}" mentionId="{16819340-4a4a-4b6c-bc61-f1c0e4c483c0}" startIndex="17" length="24"/>
      <x18tc:mention mentionpersonId="{c2b0de28-3b31-4aa3-82a3-f8aba187b3e9}" mentionId="{41c733e8-9acd-4669-9917-e4d00b2599de}" startIndex="43" length="23"/>
    </x18tc:mentions>
  </x18tc:threadedComment>
  <x18tc:threadedComment ref="A1" dT="2025-01-23T16:57:27.00" personId="{91ddd612-48c2-41c6-a628-68f42b3a1fa2}" id="{96d44535-1402-4313-a7bc-774e5ead22bc}" done="0">
    <x18tc:text xml:space="preserve">AM verified.
@isabel@coryhometeam.com 
@kenia@coryhometeam.com 
1.23 CI sent to Escrow.
Assigned to isabel@coryhometeam.com</x18tc:text>
    <x18tc:mentions>
      <x18tc:mention mentionpersonId="{7d00647f-be2a-4639-a5f7-08a67118a5cf}" mentionId="{9c2316c2-ee54-4378-a12b-b0970766078b}" startIndex="13" length="24"/>
      <x18tc:mention mentionpersonId="{c2b0de28-3b31-4aa3-82a3-f8aba187b3e9}" mentionId="{2d7cc957-f6b1-43a4-821b-a07887629775}" startIndex="39" length="23"/>
    </x18tc:mentions>
  </x18tc:threadedComment>
  <x18tc:threadedComment ref="A1" dT="2025-01-23T18:24:27.00" personId="{91ddd612-48c2-41c6-a628-68f42b3a1fa2}" id="{1094d3dc-a9e4-4fb5-a96d-f379ab1277b9}" done="0">
    <x18tc:text xml:space="preserve">1.23 This will be the 3rd or new lender.</x18tc:text>
  </x18tc:threadedComment>
  <x18tc:threadedComment ref="A1" dT="2025-05-21T15:13:48.00" personId="{91ddd612-48c2-41c6-a628-68f42b3a1fa2}" id="{086a6cc3-6388-4f89-8b27-2874d860b3fb}" done="0">
    <x18tc:text xml:space="preserve">5.21 NEW COE from 5.27 to 6.6 as per ETA.</x18tc:text>
  </x18tc:threadedComment>
  <x18tc:threadedComment ref="A1" dT="2025-04-15T11:35:19.00" personId="{91ddd612-48c2-41c6-a628-68f42b3a1fa2}" id="{72965167-79c1-4f7e-882f-c072af8307c5}" done="0">
    <x18tc:text xml:space="preserve">AM verified.
@isabel@coryhometeam.com 
@kenia@coryhometeam.com 
4.15 CI sent to Escrow.
Assigned to isabel@coryhometeam.com</x18tc:text>
    <x18tc:mentions>
      <x18tc:mention mentionpersonId="{7d00647f-be2a-4639-a5f7-08a67118a5cf}" mentionId="{0e4c8039-2776-4f4e-9b14-1a33ff382593}" startIndex="13" length="24"/>
      <x18tc:mention mentionpersonId="{c2b0de28-3b31-4aa3-82a3-f8aba187b3e9}" mentionId="{4a45ddd8-0d5f-4afd-9a98-c398412a33a6}" startIndex="39" length="23"/>
    </x18tc:mentions>
  </x18tc:threadedComment>
  <x18tc:threadedComment ref="A1" dT="2025-02-06T17:11:18.00" personId="{91ddd612-48c2-41c6-a628-68f42b3a1fa2}" id="{8cd608a7-73ee-4322-bda2-34e53a699165}" done="0">
    <x18tc:text xml:space="preserve">AM verified.
@isabel@coryhometeam.com 
@kenia@coryhometeam.com 
2.6 CI sent to Escrow.
Assigned to isabel@coryhometeam.com</x18tc:text>
    <x18tc:mentions>
      <x18tc:mention mentionpersonId="{7d00647f-be2a-4639-a5f7-08a67118a5cf}" mentionId="{90ab6d94-5222-4a81-bde0-849d50462fc1}" startIndex="13" length="24"/>
      <x18tc:mention mentionpersonId="{c2b0de28-3b31-4aa3-82a3-f8aba187b3e9}" mentionId="{f85a6782-9b39-4e45-a5ea-95b2ac47b75c}" startIndex="39" length="23"/>
    </x18tc:mentions>
  </x18tc:threadedComment>
  <x18tc:threadedComment ref="A1" dT="2025-08-21T22:44:45.00" personId="{91ddd612-48c2-41c6-a628-68f42b3a1fa2}" id="{83189293-5dfe-4393-8bbb-3701ceb4563a}" done="0">
    <x18tc:text xml:space="preserve">45521 State Highway 74 #68
AM verified.
@isabel@coryhometeam.com
@kenia@coryhometeam.com
8.21 CI sent to Escrow.
Assigned to isabel@coryhometeam.com</x18tc:text>
    <x18tc:mentions>
      <x18tc:mention mentionpersonId="{7d00647f-be2a-4639-a5f7-08a67118a5cf}" mentionId="{0bed942b-0699-4279-96c5-4816326afc13}" startIndex="40" length="24"/>
      <x18tc:mention mentionpersonId="{c2b0de28-3b31-4aa3-82a3-f8aba187b3e9}" mentionId="{df4c4f4d-e6b0-4147-adcd-2d2dcea39ca2}" startIndex="65" length="23"/>
    </x18tc:mentions>
  </x18tc:threadedComment>
  <x18tc:threadedComment ref="A1" dT="2025-06-24T21:14:27.00" personId="{91ddd612-48c2-41c6-a628-68f42b3a1fa2}" id="{466a45c4-6351-40c6-82d9-1204c9865040}" done="0">
    <x18tc:text xml:space="preserve">1499 Old Mountain Ave # 145
AM verified.
@isabel@coryhometeam.com 
@kenia@coryhometeam.com 
6.24 CI sent to Escrow.
Assigned to isabel@coryhometeam.com</x18tc:text>
    <x18tc:mentions>
      <x18tc:mention mentionpersonId="{7d00647f-be2a-4639-a5f7-08a67118a5cf}" mentionId="{a11bd105-8b20-4b78-a409-687a05fa0047}" startIndex="41" length="24"/>
      <x18tc:mention mentionpersonId="{c2b0de28-3b31-4aa3-82a3-f8aba187b3e9}" mentionId="{c2e01ae3-be2b-49a3-84e8-0fc56b5a1467}" startIndex="67" length="23"/>
    </x18tc:mentions>
  </x18tc:threadedComment>
  <x18tc:threadedComment ref="A1" dT="2025-04-30T14:16:49.00" personId="{91ddd612-48c2-41c6-a628-68f42b3a1fa2}" id="{fd469813-f973-4e16-8351-4fb9566f9509}" done="0">
    <x18tc:text xml:space="preserve">4.30 This transaction included an SCO1 and is subject to a 20-day escrow period.</x18tc:text>
  </x18tc:threadedComment>
  <x18tc:threadedComment ref="A1" dT="2025-08-15T17:53:42.00" personId="{d4b03686-3bed-491a-bd12-3b942153f8f5}" id="{cb07e0b0-87bf-4883-af9f-b6bd563f2a93}" done="0">
    <x18tc:text xml:space="preserve">VENETIA WAY @isabel@coryhometeam.com VERIFIED
Assigned to isabel@coryhometeam.com</x18tc:text>
    <x18tc:mentions>
      <x18tc:mention mentionpersonId="{7d00647f-be2a-4639-a5f7-08a67118a5cf}" mentionId="{3b887c59-024d-469a-9442-02360f88863c}" startIndex="12" length="24"/>
    </x18tc:mentions>
  </x18tc:threadedComment>
  <x18tc:threadedComment ref="A1" dT="2025-06-24T21:14:23.00" personId="{e9fc873c-1c43-4e02-b893-c88033c9c8f6}" id="{23abf761-cb53-49c3-8181-a69ef3d8fae6}" done="0">
    <x18tc:text xml:space="preserve">@isabel@coryhometeam.com Nate is paying $500 for a repair to be completed; this isnt going through the commission; however it needs to be deducted from the commission in the breakdown and Nate needs to be reimbursed his portion
Assigned to isabel@coryhometeam.com</x18tc:text>
    <x18tc:mentions>
      <x18tc:mention mentionpersonId="{7d00647f-be2a-4639-a5f7-08a67118a5cf}" mentionId="{158ab5ff-42e0-4136-a56d-5eabd2c0efa6}" startIndex="0" length="24"/>
    </x18tc:mentions>
  </x18tc:threadedComment>
  <x18tc:threadedComment ref="A1" dT="2025-05-21T14:14:50.00" personId="{91ddd612-48c2-41c6-a628-68f42b3a1fa2}" id="{21648889-77dc-4541-8f50-837332c5a54e}" done="0">
    <x18tc:text xml:space="preserve">26204 Sunnywood St
AM verified.
@isabel@coryhometeam.com 
@kenia@coryhometeam.com 
5.21 CI sent to Escrow.
Assigned to isabel@coryhometeam.com</x18tc:text>
    <x18tc:mentions>
      <x18tc:mention mentionpersonId="{7d00647f-be2a-4639-a5f7-08a67118a5cf}" mentionId="{819b9b7f-1711-4523-8322-beb57568e6d4}" startIndex="32" length="24"/>
      <x18tc:mention mentionpersonId="{c2b0de28-3b31-4aa3-82a3-f8aba187b3e9}" mentionId="{c725c0e2-d5de-4424-aa47-4e5df61ed600}" startIndex="58" length="23"/>
    </x18tc:mentions>
  </x18tc:threadedComment>
  <x18tc:threadedComment ref="A1" dT="2025-07-09T06:04:18.00" personId="{686b49bf-83f4-411b-b0f1-f0e341680f5a}" id="{c3bb991e-0747-4dda-89f5-73c92be9abc3}" done="0">
    <x18tc:text xml:space="preserve">Flat Rate per new build referral.</x18tc:text>
  </x18tc:threadedComment>
  <x18tc:threadedComment ref="A1" dT="2025-10-06T20:17:02.00" personId="{91ddd612-48c2-41c6-a628-68f42b3a1fa2}" id="{81a991c6-c95b-4417-a9f7-5bf883b70aba}" done="0">
    <x18tc:text xml:space="preserve">200 N El Camino Real #80
AM verified.
@isabel@coryhometeam.com
@kenia@coryhometeam.com
10.6 CI sent to Escrow.
Assigned to isabel@coryhometeam.com</x18tc:text>
    <x18tc:mentions>
      <x18tc:mention mentionpersonId="{7d00647f-be2a-4639-a5f7-08a67118a5cf}" mentionId="{482e5d7f-8260-4179-ae7d-c571df28fe05}" startIndex="38" length="24"/>
      <x18tc:mention mentionpersonId="{c2b0de28-3b31-4aa3-82a3-f8aba187b3e9}" mentionId="{1bec08c8-4342-4426-8b2b-beb61963c0c2}" startIndex="63" length="23"/>
    </x18tc:mentions>
  </x18tc:threadedComment>
  <x18tc:threadedComment ref="A1" dT="2025-03-24T15:38:05.00" personId="{d4b03686-3bed-491a-bd12-3b942153f8f5}" id="{470441b8-04b6-4724-9c03-803953cef86e}" done="0">
    <x18tc:text xml:space="preserve">SUNSE DR @isabel@coryhometeam.com VERIFIED
Assigned to isabel@coryhometeam.com</x18tc:text>
    <x18tc:mentions>
      <x18tc:mention mentionpersonId="{7d00647f-be2a-4639-a5f7-08a67118a5cf}" mentionId="{966659e3-7d1b-4206-bd1f-c72c04165e09}" startIndex="9" length="24"/>
    </x18tc:mentions>
  </x18tc:threadedComment>
  <x18tc:threadedComment ref="A1" dT="2025-04-02T23:09:44.00" personId="{d4b03686-3bed-491a-bd12-3b942153f8f5}" id="{860b8fd8-c5a9-42e7-a125-88ffa233e4dc}" done="0">
    <x18tc:text xml:space="preserve">TWIN LAKES @isabel@coryhometeam.com VERIFIED
Assigned to isabel@coryhometeam.com</x18tc:text>
    <x18tc:mentions>
      <x18tc:mention mentionpersonId="{7d00647f-be2a-4639-a5f7-08a67118a5cf}" mentionId="{7ea54674-8f09-4305-b3aa-f2e2d1e290bf}" startIndex="11" length="24"/>
    </x18tc:mentions>
  </x18tc:threadedComment>
  <x18tc:threadedComment ref="A1" dT="2025-06-03T00:18:47.00" personId="{91ddd612-48c2-41c6-a628-68f42b3a1fa2}" id="{c1d18c19-5e3b-4fab-88d7-745920e9a29d}" done="0">
    <x18tc:text xml:space="preserve">6.2 Time periods to start once park approval has been delivered.</x18tc:text>
  </x18tc:threadedComment>
  <x18tc:threadedComment ref="A1" dT="2025-09-18T22:20:12.00" personId="{d4b03686-3bed-491a-bd12-3b942153f8f5}" id="{fd0a8476-4361-43c9-80a3-18a06ed7c8ee}" done="0">
    <x18tc:text xml:space="preserve">N MERIDIAN AVE @isabel@coryhometeam.com VERIFIED
Assigned to isabel@coryhometeam.com</x18tc:text>
    <x18tc:mentions>
      <x18tc:mention mentionpersonId="{7d00647f-be2a-4639-a5f7-08a67118a5cf}" mentionId="{23e8e8be-9c3f-427d-bb73-22ec925d1548}" startIndex="15" length="24"/>
    </x18tc:mentions>
  </x18tc:threadedComment>
  <x18tc:threadedComment ref="A1" dT="2025-09-17T18:53:39.00" personId="{d4b03686-3bed-491a-bd12-3b942153f8f5}" id="{507a8df2-fdba-4a3d-b785-ffff952171b2}" done="0">
    <x18tc:text xml:space="preserve">All time periods shall commence the day after buyer’s delivery of Escrow Evidence for Buyer's Property (COP 11.A(i)</x18tc:text>
  </x18tc:threadedComment>
  <x18tc:threadedComment ref="A1" dT="2025-07-15T00:22:46.00" personId="{283cbab7-8785-4d8a-9d80-ae85deef9da8}" id="{b6ed67b9-2ed1-4d7a-a7c4-c6ac7e481266}" done="0">
    <x18tc:text xml:space="preserve">Seller appears to be FRAUD escrow and title have been advised.</x18tc:text>
  </x18tc:threadedComment>
  <x18tc:threadedComment ref="A1" dT="2025-04-24T17:48:33.00" personId="{91ddd612-48c2-41c6-a628-68f42b3a1fa2}" id="{d0c730eb-b8ce-44f2-8089-9a6c433250d0}" done="0">
    <x18tc:text xml:space="preserve">4.24 As per ADM1 the COE is moved to 4.30.</x18tc:text>
  </x18tc:threadedComment>
  <x18tc:threadedComment ref="AD37" dT="2026-06-01T21:14:56.00" personId="{d4b03686-3bed-491a-bd12-3b942153f8f5}" id="{ed503f76-0496-420b-9e75-d95d8fc16c30}" done="0">
    <x18tc:text xml:space="preserve">$589.00</x18tc:text>
  </x18tc:threadedComment>
  <x18tc:threadedComment ref="A1" dT="2025-02-11T20:03:57.00" personId="{91ddd612-48c2-41c6-a628-68f42b3a1fa2}" id="{1d2c174c-8e48-48ce-a83b-2f0ea37887b0}" done="0">
    <x18tc:text xml:space="preserve">COE extended to 2.20 or sooner as per ETA.</x18tc:text>
  </x18tc:threadedComment>
  <x18tc:threadedComment ref="A1" dT="2025-09-17T18:53:30.00" personId="{d4b03686-3bed-491a-bd12-3b942153f8f5}" id="{8e0c4030-3e6d-4998-9b73-17d513431cb1}" done="0">
    <x18tc:text xml:space="preserve">All time periods shall commence the day after buyer’s delivery of Escrow Evidence for Buyer's Property (COP 11.A(i)</x18tc:text>
  </x18tc:threadedComment>
  <x18tc:threadedComment ref="A1" dT="2025-08-21T23:56:52.00" personId="{d4b03686-3bed-491a-bd12-3b942153f8f5}" id="{77424916-9a77-45dc-856f-99dd6966d7db}" done="0">
    <x18tc:text xml:space="preserve">KNOLLWOOD ST @isabel@coryhometeam.com VERIFIED
Assigned to isabel@coryhometeam.com</x18tc:text>
    <x18tc:mentions>
      <x18tc:mention mentionpersonId="{7d00647f-be2a-4639-a5f7-08a67118a5cf}" mentionId="{e0c40b9a-99b3-419d-834c-2182e5b89489}" startIndex="13" length="24"/>
    </x18tc:mentions>
  </x18tc:threadedComment>
  <x18tc:threadedComment ref="A1" dT="2025-05-02T14:21:31.00" personId="{91ddd612-48c2-41c6-a628-68f42b3a1fa2}" id="{47024e94-8f49-420e-b327-018b9e00ca19}" done="0">
    <x18tc:text xml:space="preserve">AM verified.
@isabel@coryhometeam.com
@kenia@coryhometeam.com 
5.2 CI sent to Escrow.
Assigned to isabel@coryhometeam.com</x18tc:text>
    <x18tc:mentions>
      <x18tc:mention mentionpersonId="{7d00647f-be2a-4639-a5f7-08a67118a5cf}" mentionId="{81ee466f-107e-4b4c-b9b6-cb25938013a1}" startIndex="13" length="24"/>
      <x18tc:mention mentionpersonId="{c2b0de28-3b31-4aa3-82a3-f8aba187b3e9}" mentionId="{15cad5d6-2568-434d-a798-a7cbdeac9fcb}" startIndex="38" length="23"/>
    </x18tc:mentions>
  </x18tc:threadedComment>
  <x18tc:threadedComment ref="A1" dT="2025-09-18T22:22:05.00" personId="{d4b03686-3bed-491a-bd12-3b942153f8f5}" id="{edb50359-1661-4c72-9425-7eecd9032071}" done="0">
    <x18tc:text xml:space="preserve">ALDERWOOD AVE @isabel@coryhometeam.com VERIFIED
Assigned to isabel@coryhometeam.com</x18tc:text>
    <x18tc:mentions>
      <x18tc:mention mentionpersonId="{7d00647f-be2a-4639-a5f7-08a67118a5cf}" mentionId="{abb651aa-4ae2-47cf-83a1-059dd6afd6b1}" startIndex="14" length="24"/>
    </x18tc:mentions>
  </x18tc:threadedComment>
  <x18tc:threadedComment ref="A1" dT="2025-09-17T18:53:17.00" personId="{d4b03686-3bed-491a-bd12-3b942153f8f5}" id="{caed0d81-0f11-4c23-aeaa-533dc1aeafb9}" done="0">
    <x18tc:text xml:space="preserve">All time periods shall commence the day after buyer’s delivery of Escrow Evidence for Buyer's Property (COP 11.A(i)</x18tc:text>
  </x18tc:threadedComment>
  <x18tc:threadedComment ref="A1" dT="2025-06-03T00:17:13.00" personId="{91ddd612-48c2-41c6-a628-68f42b3a1fa2}" id="{610fde10-308a-46fc-aad2-e3deb7926ed4}" done="0">
    <x18tc:text xml:space="preserve">6.2 Time periods to start once park approval has been delivered.</x18tc:text>
  </x18tc:threadedComment>
  <x18tc:threadedComment ref="A1" dT="2025-09-17T18:53:25.00" personId="{d4b03686-3bed-491a-bd12-3b942153f8f5}" id="{8da7b486-a184-458d-8a4a-d5bb81596537}" done="0">
    <x18tc:text xml:space="preserve">All time periods shall commence the day after buyer’s delivery of Escrow Evidence for Buyer's Property (COP 11.A(i)</x18tc:text>
  </x18tc:threadedComment>
  <x18tc:threadedComment ref="A1" dT="2025-08-22T00:01:04.00" personId="{d4b03686-3bed-491a-bd12-3b942153f8f5}" id="{a54ee93c-e867-4213-880a-d11a90257403}" done="0">
    <x18tc:text xml:space="preserve">CAMINO DE LAS LOMAS @isabel@coryhometeam.com VERIFIED
Assigned to isabel@coryhometeam.com</x18tc:text>
    <x18tc:mentions>
      <x18tc:mention mentionpersonId="{7d00647f-be2a-4639-a5f7-08a67118a5cf}" mentionId="{1109e08c-92d1-4b72-9159-f0f3facdedfb}" startIndex="20" length="24"/>
    </x18tc:mentions>
  </x18tc:threadedComment>
  <x18tc:threadedComment ref="A1" dT="2025-07-02T20:35:09.00" personId="{91ddd612-48c2-41c6-a628-68f42b3a1fa2}" id="{619465ff-4567-4405-8c03-07ff2568a520}" done="0">
    <x18tc:text xml:space="preserve">0 Spring Creek Rd
7.2 Lender from Christian to ALL CASH.</x18tc:text>
  </x18tc:threadedComment>
  <x18tc:threadedComment ref="X27" dT="2026-06-01T16:44:00.00" personId="{91ddd612-48c2-41c6-a628-68f42b3a1fa2}" id="{73b2e239-97d6-4bb1-88e6-7d59f80f13c8}" done="0">
    <x18tc:text xml:space="preserve">Estimated date only. This is contingent on buyers property.</x18tc:text>
  </x18tc:threadedComment>
  <x18tc:threadedComment ref="AB43" dT="2026-06-09T17:14:39.00" personId="{5a7b7df7-22eb-4b3a-a492-7d9d82a49202}" id="{aed36ce0-2d6f-4b3a-928c-90d3592adcf2}" done="0">
    <x18tc:text xml:space="preserve">@isabel@coryhometeam.com I don't believe this stage is correct
Assigned to isabel@coryhometeam.com</x18tc:text>
    <x18tc:mentions>
      <x18tc:mention mentionpersonId="{7d00647f-be2a-4639-a5f7-08a67118a5cf}" mentionId="{a309b8c8-2837-4688-ad17-d5fe5523a692}" startIndex="0" length="24"/>
    </x18tc:mentions>
  </x18tc:threadedComment>
  <x18tc:threadedComment ref="AB43" dT="2026-06-09T17:59:38.00" personId="{c7fad490-24e0-4859-bb84-4307c52d4768}" id="{02979e67-4e28-4804-8e60-1b8d538fc9ae}" parentId="{aed36ce0-2d6f-4b3a-928c-90d3592adcf2}">
    <x18tc:text xml:space="preserve">per FUB/Zillow PA, this lead was created/ came in Zillow 7/16/2025 as Zillow preferred, before listing take sheet date of 12/262025 (SOI) and RLA 1/8/2026. Will further check this with @dana@coryhometeam.com @remy@coryhometeam.com</x18tc:text>
    <x18tc:mentions>
      <x18tc:mention mentionpersonId="{97a5b354-94ec-4750-87c3-99cebe208b41}" mentionId="{ac6eb62e-08da-470e-bbdc-0d0efe339e55}" startIndex="185" length="22"/>
      <x18tc:mention mentionpersonId="{5fc4901b-b525-40a8-b626-e780cd452fac}" mentionId="{91da2ebe-be15-4e3d-9a4e-5c55166751f2}" startIndex="208" length="22"/>
    </x18tc:mentions>
  </x18tc:threadedComment>
  <x18tc:threadedComment ref="AB43" dT="2026-06-09T18:07:19.00" personId="{2c0b40a3-d34a-4e30-997b-e7e5451e40bb}" id="{4896719e-f8a8-416b-9987-afb93fe552f0}" parentId="{aed36ce0-2d6f-4b3a-928c-90d3592adcf2}">
    <x18tc:text xml:space="preserve">@blake@coryhometeam.com @isabel@coryhometeam.com This is Flex-Connection Buyer/Seller(source per Zillow PA). In Showing Homes stage (Agent have not updated the stage in FUB or Zillow) so I took the initiative to move it to Undercontract
Reassigned to blake@coryhometeam.com</x18tc:text>
    <x18tc:mentions>
      <x18tc:mention mentionpersonId="{692ffb8d-e972-4767-8b2a-269aef06e0df}" mentionId="{31e14909-8ac8-45ee-9f8c-bd06c5874eb1}" startIndex="0" length="23"/>
      <x18tc:mention mentionpersonId="{7d00647f-be2a-4639-a5f7-08a67118a5cf}" mentionId="{9d31cb37-9d0c-40db-b974-31af4fb39d68}" startIndex="24" length="24"/>
    </x18tc:mentions>
  </x18tc:threadedComment>
  <x18tc:threadedComment ref="A1" dT="2025-07-02T19:52:45.00" personId="{91ddd612-48c2-41c6-a628-68f42b3a1fa2}" id="{8a8ee4a7-5085-4bc6-900b-bbe2dbba1c0d}" done="0">
    <x18tc:text xml:space="preserve">16425 Trailblazer Ave
7.2 Change lender from Wells Fargo to GMCC.</x18tc:text>
  </x18tc:threadedComment>
  <x18tc:threadedComment ref="A1" dT="2025-08-15T15:26:04.00" personId="{91ddd612-48c2-41c6-a628-68f42b3a1fa2}" id="{9a2fd6dc-57dc-42eb-b3fb-49663919b69f}" done="0">
    <x18tc:text xml:space="preserve">1639 Hendy Woods Cir
AM verified.
@isabel@coryhometeam.com 
@kenia@coryhometeam.com 
8.15 CI sent to Escrow.
Assigned to isabel@coryhometeam.com</x18tc:text>
    <x18tc:mentions>
      <x18tc:mention mentionpersonId="{7d00647f-be2a-4639-a5f7-08a67118a5cf}" mentionId="{ef0b3b51-31b1-4578-84d0-cf4054920723}" startIndex="34" length="24"/>
      <x18tc:mention mentionpersonId="{c2b0de28-3b31-4aa3-82a3-f8aba187b3e9}" mentionId="{9f2d1754-c491-4710-845e-ec65588815b7}" startIndex="60" length="23"/>
    </x18tc:mentions>
  </x18tc:threadedComment>
  <x18tc:threadedComment ref="A1" dT="2025-08-22T22:15:18.00" personId="{91ddd612-48c2-41c6-a628-68f42b3a1fa2}" id="{85f92c9c-551d-45b1-bc1a-953d05c1e2f0}" parentId="{9a2fd6dc-57dc-42eb-b3fb-49663919b69f}">
    <x18tc:text xml:space="preserve">Amended CI sent to Escrow.
@isabel@coryhometeam.com</x18tc:text>
    <x18tc:mentions>
      <x18tc:mention mentionpersonId="{7d00647f-be2a-4639-a5f7-08a67118a5cf}" mentionId="{35ab7753-eaad-4a70-a5fd-dcb092241deb}" startIndex="27" length="24"/>
    </x18tc:mentions>
  </x18tc:threadedComment>
  <x18tc:threadedComment ref="A1" dT="2025-03-04T19:40:22.00" personId="{91ddd612-48c2-41c6-a628-68f42b3a1fa2}" id="{dc6f119c-4cc7-4dd4-aa87-2a05061acf07}" done="0">
    <x18tc:text xml:space="preserve">3.4 Requested to Petra to provide the second buyers email address.</x18tc:text>
  </x18tc:threadedComment>
  <x18tc:threadedComment ref="A1" dT="2025-02-06T17:03:09.00" personId="{91ddd612-48c2-41c6-a628-68f42b3a1fa2}" id="{0d82fbde-75d1-42eb-b02c-15f6735f7223}" done="0">
    <x18tc:text xml:space="preserve">AM verified.
@isabel@coryhometeam.com 
@kenia@coryhometeam.com 
2.6 CI sent to Escrow.
Assigned to isabel@coryhometeam.com</x18tc:text>
    <x18tc:mentions>
      <x18tc:mention mentionpersonId="{7d00647f-be2a-4639-a5f7-08a67118a5cf}" mentionId="{428dc22a-3cff-4a26-8bb6-d9a2260a8794}" startIndex="13" length="24"/>
      <x18tc:mention mentionpersonId="{c2b0de28-3b31-4aa3-82a3-f8aba187b3e9}" mentionId="{25dd7280-9e7c-49ce-a6ed-3cb9c215caca}" startIndex="39" length="23"/>
    </x18tc:mentions>
  </x18tc:threadedComment>
  <x18tc:threadedComment ref="A1" dT="2025-09-30T23:34:47.00" personId="{686b49bf-83f4-411b-b0f1-f0e341680f5a}" id="{733b6148-2ce5-499e-afe0-eb9897f856a1}" done="0">
    <x18tc:text xml:space="preserve">Document issues with the lender and the mobile home park. Working on a resolution or possibly need to change banks.</x18tc:text>
  </x18tc:threadedComment>
  <x18tc:threadedComment ref="A1" dT="2025-09-30T23:34:09.00" personId="{686b49bf-83f4-411b-b0f1-f0e341680f5a}" id="{ed991098-8b3b-4491-a83c-05bb265142ea}" done="0">
    <x18tc:text xml:space="preserve">Document issues with the lender and the mobile home park. Working on a resolution or possibly need to change banks.</x18tc:text>
  </x18tc:threadedComment>
  <x18tc:threadedComment ref="A1" dT="2025-03-24T15:38:25.00" personId="{d4b03686-3bed-491a-bd12-3b942153f8f5}" id="{4d3f2ae5-c2a9-4c6a-8ed4-13dfb36b2247}" done="0">
    <x18tc:text xml:space="preserve">SUNSE DR @isabel@coryhometeam.com VERIFIED
Assigned to isabel@coryhometeam.com</x18tc:text>
    <x18tc:mentions>
      <x18tc:mention mentionpersonId="{7d00647f-be2a-4639-a5f7-08a67118a5cf}" mentionId="{c9723bb7-90e2-4649-babe-6ad009cfeedb}" startIndex="9" length="24"/>
    </x18tc:mentions>
  </x18tc:threadedComment>
  <x18tc:threadedComment ref="A1" dT="2025-05-02T22:37:19.00" personId="{91ddd612-48c2-41c6-a628-68f42b3a1fa2}" id="{3c30e569-bcb0-41e5-a917-178248e90eac}" done="0">
    <x18tc:text xml:space="preserve">5.2 As per ETA the new COE is 5.27.</x18tc:text>
  </x18tc:threadedComment>
  <x18tc:threadedComment ref="A1" dT="2025-06-09T12:46:52.00" personId="{91ddd612-48c2-41c6-a628-68f42b3a1fa2}" id="{03f5b787-ac2f-4227-bda6-adb87b18ee67}" parentId="{3c30e569-bcb0-41e5-a917-178248e90eac}">
    <x18tc:text xml:space="preserve">6.9 New ETA2 COE 6.13.</x18tc:text>
  </x18tc:threadedComment>
  <x18tc:threadedComment ref="A1" dT="2025-03-27T21:19:45.00" personId="{91ddd612-48c2-41c6-a628-68f42b3a1fa2}" id="{352e962d-9b83-4e84-8632-a81f475b08c1}" done="0">
    <x18tc:text xml:space="preserve">AM verified.
@isabel@coryhometeam.com 
@kenia@coryhometeam.com 
3.27 Ci sent to Escrow.
Assigned to isabel@coryhometeam.com</x18tc:text>
    <x18tc:mentions>
      <x18tc:mention mentionpersonId="{7d00647f-be2a-4639-a5f7-08a67118a5cf}" mentionId="{212d2b42-6cc2-4eaa-9b4b-b5fe9772940b}" startIndex="13" length="24"/>
      <x18tc:mention mentionpersonId="{c2b0de28-3b31-4aa3-82a3-f8aba187b3e9}" mentionId="{b5b60050-878c-4171-9871-19d219add8b9}" startIndex="39" length="23"/>
    </x18tc:mentions>
  </x18tc:threadedComment>
  <x18tc:threadedComment ref="A1" dT="2025-05-02T18:49:56.00" personId="{d4b03686-3bed-491a-bd12-3b942153f8f5}" id="{dd67602c-4352-4f89-8717-c1b901d8eea5}" done="0">
    <x18tc:text xml:space="preserve">EDITH WAY @isabel@coryhometeam.com VERIFIED
Assigned to isabel@coryhometeam.com</x18tc:text>
    <x18tc:mentions>
      <x18tc:mention mentionpersonId="{7d00647f-be2a-4639-a5f7-08a67118a5cf}" mentionId="{4e50b353-818b-46ad-81f2-f45b3d127d22}" startIndex="10" length="24"/>
    </x18tc:mentions>
  </x18tc:threadedComment>
  <x18tc:threadedComment ref="A1" dT="2025-05-02T23:32:34.00" personId="{d4b03686-3bed-491a-bd12-3b942153f8f5}" id="{efdea76e-332e-4b6c-8bae-3dd97be0ef51}" done="0">
    <x18tc:text xml:space="preserve">The Trails Circle @isabel@coryhometeam.com VERIFIED
Assigned to isabel@coryhometeam.com</x18tc:text>
    <x18tc:mentions>
      <x18tc:mention mentionpersonId="{7d00647f-be2a-4639-a5f7-08a67118a5cf}" mentionId="{0ec478cb-ad43-476c-b2da-544d516e433b}" startIndex="18" length="24"/>
    </x18tc:mentions>
  </x18tc:threadedComment>
  <x18tc:threadedComment ref="A1" dT="2025-05-02T20:04:32.00" personId="{d4b03686-3bed-491a-bd12-3b942153f8f5}" id="{23ff1d18-eb5e-46fd-9bc4-3358bf29421e}" done="0">
    <x18tc:text xml:space="preserve">CARA WAY @isabel@coryhometeam.com VERIFIED
Assigned to isabel@coryhometeam.com</x18tc:text>
    <x18tc:mentions>
      <x18tc:mention mentionpersonId="{7d00647f-be2a-4639-a5f7-08a67118a5cf}" mentionId="{e1cadc54-276e-4be8-a912-55d9600d5473}" startIndex="9" length="24"/>
    </x18tc:mentions>
  </x18tc:threadedComment>
  <x18tc:threadedComment ref="A1" dT="2025-11-04T16:22:14.00" personId="{686b49bf-83f4-411b-b0f1-f0e341680f5a}" id="{e6dbba0c-bb08-4900-8ca4-0d6140992285}" done="0">
    <x18tc:text xml:space="preserve">CHT guaranteed home warranty to Buyer.</x18tc:text>
  </x18tc:threadedComment>
  <x18tc:threadedComment ref="A1" dT="2025-05-05T12:47:52.00" personId="{91ddd612-48c2-41c6-a628-68f42b3a1fa2}" id="{04917be0-bf7a-45a8-a024-7f5a01f48747}" done="0">
    <x18tc:text xml:space="preserve">AM verified.
@isabel@coryhometeam.com 
@kenia@coryhometeam.com 
5.5 CI sent to Escrow.
Assigned to isabel@coryhometeam.com</x18tc:text>
    <x18tc:mentions>
      <x18tc:mention mentionpersonId="{7d00647f-be2a-4639-a5f7-08a67118a5cf}" mentionId="{2c623b3c-b0b2-4937-b8c5-dce7f8f9a22d}" startIndex="13" length="24"/>
      <x18tc:mention mentionpersonId="{c2b0de28-3b31-4aa3-82a3-f8aba187b3e9}" mentionId="{ff2cf66b-ce6b-4e84-8599-9371a7ff587a}" startIndex="39" length="23"/>
    </x18tc:mentions>
  </x18tc:threadedComment>
  <x18tc:threadedComment ref="A1" dT="2025-04-21T09:41:33.00" personId="{91ddd612-48c2-41c6-a628-68f42b3a1fa2}" id="{566a2c75-aa17-4169-bb66-ed03655eb4fd}" done="0">
    <x18tc:text xml:space="preserve">4.21 CR Inspection extended to 4.24 per ETA1.</x18tc:text>
  </x18tc:threadedComment>
  <x18tc:threadedComment ref="A1" dT="2025-03-27T21:09:01.00" personId="{91ddd612-48c2-41c6-a628-68f42b3a1fa2}" id="{4bb7300e-ee66-40e6-93e4-cc27a5127ca7}" done="0">
    <x18tc:text xml:space="preserve">AM verified.
@isabel@coryhometeam.com 
@kenia@coryhometeam.com 
3.27 CI sent to Escrow.
Assigned to isabel@coryhometeam.com</x18tc:text>
    <x18tc:mentions>
      <x18tc:mention mentionpersonId="{7d00647f-be2a-4639-a5f7-08a67118a5cf}" mentionId="{9a227f82-56d1-4497-8818-7626ccd05f14}" startIndex="13" length="24"/>
      <x18tc:mention mentionpersonId="{c2b0de28-3b31-4aa3-82a3-f8aba187b3e9}" mentionId="{6934695b-5cb8-468d-9c1a-c5b6fba63988}" startIndex="39" length="23"/>
    </x18tc:mentions>
  </x18tc:threadedComment>
  <x18tc:threadedComment ref="A1" dT="2025-01-09T00:20:32.00" personId="{91ddd612-48c2-41c6-a628-68f42b3a1fa2}" id="{7aac36d0-a690-47db-af77-7d65189be34c}" done="0">
    <x18tc:text xml:space="preserve">1.8 Transaction changed from CASH to financing. Also, agent will be adding a COP.</x18tc:text>
  </x18tc:threadedComment>
  <x18tc:threadedComment ref="A1" dT="2025-05-02T23:59:15.00" personId="{686b49bf-83f4-411b-b0f1-f0e341680f5a}" id="{dedf866b-aaeb-4fc8-9127-1fd871f34af9}" done="0">
    <x18tc:text xml:space="preserve">Working with park preferred lender to keep deal together</x18tc:text>
  </x18tc:threadedComment>
  <x18tc:threadedComment ref="A1" dT="2025-11-04T14:12:27.00" personId="{91ddd612-48c2-41c6-a628-68f42b3a1fa2}" id="{0920fc8e-582d-422b-8670-6f5733e195ca}" done="0">
    <x18tc:text xml:space="preserve">3340 Del Sol Blvd #126
AM verified.
@isabel@coryhometeam.com
@kenia@coryhometeam.com
11.4 CI sent to Escrow.
Assigned to isabel@coryhometeam.com</x18tc:text>
    <x18tc:mentions>
      <x18tc:mention mentionpersonId="{7d00647f-be2a-4639-a5f7-08a67118a5cf}" mentionId="{34680d3c-ed50-477e-9a86-d5f6ee91d7d6}" startIndex="36" length="24"/>
      <x18tc:mention mentionpersonId="{c2b0de28-3b31-4aa3-82a3-f8aba187b3e9}" mentionId="{d530183b-5b43-41b3-bff1-aa87a4b1c43d}" startIndex="61" length="23"/>
    </x18tc:mentions>
  </x18tc:threadedComment>
  <x18tc:threadedComment ref="A1" dT="2025-03-11T07:49:33.00" personId="{91ddd612-48c2-41c6-a628-68f42b3a1fa2}" id="{74c49905-aa83-4dbc-87cf-7eae0d9f1975}" done="0">
    <x18tc:text xml:space="preserve">AM verified.
@isabel@coryhometeam.com 
@kenia@coryhometeam.com 
3.12 CI sent to Escrow.
Assigned to isabel@coryhometeam.com</x18tc:text>
    <x18tc:mentions>
      <x18tc:mention mentionpersonId="{7d00647f-be2a-4639-a5f7-08a67118a5cf}" mentionId="{dd949243-d3f6-4b47-9bc7-cf0203ad716e}" startIndex="13" length="24"/>
      <x18tc:mention mentionpersonId="{c2b0de28-3b31-4aa3-82a3-f8aba187b3e9}" mentionId="{926e010d-60ed-4bcf-a9a8-d38aa5c01d85}" startIndex="39" length="23"/>
    </x18tc:mentions>
  </x18tc:threadedComment>
  <x18tc:threadedComment ref="A1" dT="2025-04-23T10:23:15.00" personId="{91ddd612-48c2-41c6-a628-68f42b3a1fa2}" id="{b0a9a4c1-0fd1-4c99-a165-5a91105c51d0}" done="0">
    <x18tc:text xml:space="preserve">AM verified.
@isabel@coryhometeam.com 
@kenia@coryhometeam.com 
4.23 CI sent to Escrow.
Assigned to isabel@coryhometeam.com</x18tc:text>
    <x18tc:mentions>
      <x18tc:mention mentionpersonId="{7d00647f-be2a-4639-a5f7-08a67118a5cf}" mentionId="{cb9fabff-bd75-4695-9850-07c695bc15d9}" startIndex="13" length="24"/>
      <x18tc:mention mentionpersonId="{c2b0de28-3b31-4aa3-82a3-f8aba187b3e9}" mentionId="{96fefb98-c36e-4e7f-a629-25f3c60cc131}" startIndex="39" length="23"/>
    </x18tc:mentions>
  </x18tc:threadedComment>
  <x18tc:threadedComment ref="A1" dT="2025-04-21T05:28:59.00" personId="{91ddd612-48c2-41c6-a628-68f42b3a1fa2}" id="{2aed6ef0-e993-476e-81c4-6c9779a166ac}" done="0">
    <x18tc:text xml:space="preserve">4.20 Closing date moved to 5/6 per ADM3.</x18tc:text>
  </x18tc:threadedComment>
  <x18tc:threadedComment ref="A1" dT="2025-07-28T23:38:20.00" personId="{d4b03686-3bed-491a-bd12-3b942153f8f5}" id="{76ae7f27-ac7a-4e64-9deb-2537aba85b42}" done="0">
    <x18tc:text xml:space="preserve">CORTE LORCA @isabel@coryhometeam.com VERIFIED
Assigned to isabel@coryhometeam.com</x18tc:text>
    <x18tc:mentions>
      <x18tc:mention mentionpersonId="{7d00647f-be2a-4639-a5f7-08a67118a5cf}" mentionId="{a49b8048-c961-42f4-9ec0-ac251e7a3276}" startIndex="12" length="24"/>
    </x18tc:mentions>
  </x18tc:threadedComment>
  <x18tc:threadedComment ref="A1" dT="2025-10-31T20:53:39.00" personId="{686b49bf-83f4-411b-b0f1-f0e341680f5a}" id="{0d58cccc-d79d-41a8-8be9-08a438de1977}" done="0">
    <x18tc:text xml:space="preserve">Off the top credit toward Seller Home Warranty Coverage</x18tc:text>
  </x18tc:threadedComment>
  <x18tc:threadedComment ref="A1" dT="2025-04-01T17:53:20.00" personId="{283cbab7-8785-4d8a-9d80-ae85deef9da8}" id="{cd787d70-a019-4108-8e8f-04463110e0b2}" done="0">
    <x18tc:text xml:space="preserve">3/31 low appraisal ADM to purchase price reduction to $635,000 
original pp $655,000</x18tc:text>
  </x18tc:threadedComment>
  <x18tc:threadedComment ref="A1" dT="2025-05-02T21:40:15.00" personId="{91ddd612-48c2-41c6-a628-68f42b3a1fa2}" id="{82b6458a-9e49-4209-b46d-406aaa2c0c02}" done="0">
    <x18tc:text xml:space="preserve">5.2 Buyer opted out to a new lender.</x18tc:text>
  </x18tc:threadedComment>
  <x18tc:threadedComment ref="A1" dT="2025-05-13T12:24:39.00" personId="{91ddd612-48c2-41c6-a628-68f42b3a1fa2}" id="{144213bd-9e9e-4a66-ab2b-737bc2d5e53c}" done="0">
    <x18tc:text xml:space="preserve">AM verified.
@isabel@coryhometeam.com 
@kenia@coryhometeam.com 
5.13 CI sent to Escrow.
Assigned to isabel@coryhometeam.com</x18tc:text>
    <x18tc:mentions>
      <x18tc:mention mentionpersonId="{7d00647f-be2a-4639-a5f7-08a67118a5cf}" mentionId="{08144474-0a26-4983-8ce8-ebecbc225e24}" startIndex="13" length="24"/>
      <x18tc:mention mentionpersonId="{c2b0de28-3b31-4aa3-82a3-f8aba187b3e9}" mentionId="{cffffd49-278d-4353-abd5-721448da10f3}" startIndex="39" length="23"/>
    </x18tc:mentions>
  </x18tc:threadedComment>
  <x18tc:threadedComment ref="A1" dT="2025-07-01T19:56:17.00" personId="{283cbab7-8785-4d8a-9d80-ae85deef9da8}" id="{70d2e878-d4c0-4eea-9651-f5e9d09f82e0}" done="0">
    <x18tc:text xml:space="preserve">@dana@coryhometeam.com @isabel@coryhometeam.com 
Mario Munuz and Rosalina are splitting commission
Assigned to dana@coryhometeam.com</x18tc:text>
    <x18tc:mentions>
      <x18tc:mention mentionpersonId="{97a5b354-94ec-4750-87c3-99cebe208b41}" mentionId="{862db076-a672-4cd8-9ce1-6f23bc2cfe3f}" startIndex="0" length="22"/>
      <x18tc:mention mentionpersonId="{7d00647f-be2a-4639-a5f7-08a67118a5cf}" mentionId="{73fb7008-487d-4980-ab3c-3b85017f3d03}" startIndex="23" length="24"/>
    </x18tc:mentions>
  </x18tc:threadedComment>
  <x18tc:threadedComment ref="A1" dT="2025-12-04T19:20:44.00" personId="{d4b03686-3bed-491a-bd12-3b942153f8f5}" id="{8dfbaa02-e356-4380-9c52-f84867be0f0a}" done="0">
    <x18tc:text xml:space="preserve">SHRIER DR @isabel@coryhometeam.com VERIFIED
Assigned to isabel@coryhometeam.com</x18tc:text>
    <x18tc:mentions>
      <x18tc:mention mentionpersonId="{7d00647f-be2a-4639-a5f7-08a67118a5cf}" mentionId="{2630c072-53c1-4206-b8b7-42ec1423ebac}" startIndex="10" length="24"/>
    </x18tc:mentions>
  </x18tc:threadedComment>
  <x18tc:threadedComment ref="A1" dT="2025-09-12T20:09:28.00" personId="{91ddd612-48c2-41c6-a628-68f42b3a1fa2}" id="{5bd970bd-e413-4f1c-9f65-689c1c9cd180}" done="0">
    <x18tc:text xml:space="preserve">2865 Citrocado Ranch St
AM verified.
@isabel@coryhometeam.com
@kenia@coryhometeam.com
9.11 CI sent to Escrow.
Assigned to isabel@coryhometeam.com</x18tc:text>
    <x18tc:mentions>
      <x18tc:mention mentionpersonId="{7d00647f-be2a-4639-a5f7-08a67118a5cf}" mentionId="{741ba9f7-fcf8-4ff1-91bb-18d4e4e39b9c}" startIndex="37" length="24"/>
      <x18tc:mention mentionpersonId="{c2b0de28-3b31-4aa3-82a3-f8aba187b3e9}" mentionId="{3e51cffd-0155-4486-86b7-d4c83a29985b}" startIndex="62" length="23"/>
    </x18tc:mentions>
  </x18tc:threadedComment>
  <x18tc:threadedComment ref="A1" dT="2025-12-04T15:59:54.00" personId="{91ddd612-48c2-41c6-a628-68f42b3a1fa2}" id="{e9e4b9e5-eb93-49d2-b937-dcf4e356e5ac}" done="0">
    <x18tc:text xml:space="preserve">12.4 As per ETA1 all contingencies to be extended to 12.17.</x18tc:text>
  </x18tc:threadedComment>
  <x18tc:threadedComment ref="A1" dT="2025-09-25T06:50:02.00" personId="{91ddd612-48c2-41c6-a628-68f42b3a1fa2}" id="{f7814ac3-d398-43a2-8be8-8946378a3c17}" done="0">
    <x18tc:text xml:space="preserve">1383 Haven Tree Ln
AM verified.
@isabel@coryhometeam.com
@kenia@coryhometeam.com
9.25 CI sent to Escrow.
Assigned to isabel@coryhometeam.com</x18tc:text>
    <x18tc:mentions>
      <x18tc:mention mentionpersonId="{7d00647f-be2a-4639-a5f7-08a67118a5cf}" mentionId="{3eb77809-9a55-4713-bd3c-b9ae9151e71b}" startIndex="32" length="24"/>
      <x18tc:mention mentionpersonId="{c2b0de28-3b31-4aa3-82a3-f8aba187b3e9}" mentionId="{02950565-c294-4d5b-afa0-22d0d98067c1}" startIndex="57" length="23"/>
    </x18tc:mentions>
  </x18tc:threadedComment>
  <x18tc:threadedComment ref="X32" dT="2026-05-26T23:40:45.00" personId="{d4b03686-3bed-491a-bd12-3b942153f8f5}" id="{f96d5431-0be7-4e0d-abfa-972161c750ff}" done="0">
    <x18tc:text xml:space="preserve">All timelines under this agreement shall commence the day after the Seller delivers written notice to the Buyer removing the Finding Replacement Property Contingency specified in Paragraph 1A.</x18tc:text>
  </x18tc:threadedComment>
  <x18tc:threadedComment ref="A1" dT="2025-08-15T20:23:22.00" personId="{d4b03686-3bed-491a-bd12-3b942153f8f5}" id="{c489f165-93f5-46c8-865a-8538afd405ee}" done="0">
    <x18tc:text xml:space="preserve">LILY RD @isabel@coryhometeam.com VERIFIED
Assigned to isabel@coryhometeam.com</x18tc:text>
    <x18tc:mentions>
      <x18tc:mention mentionpersonId="{7d00647f-be2a-4639-a5f7-08a67118a5cf}" mentionId="{9f34e26d-760d-4fc1-a0f9-954d9fc96929}" startIndex="8" length="24"/>
    </x18tc:mentions>
  </x18tc:threadedComment>
  <x18tc:threadedComment ref="A1" dT="2025-10-16T23:23:24.00" personId="{d4b03686-3bed-491a-bd12-3b942153f8f5}" id="{0ed22a62-5ee3-4e7e-99c2-ae2a17f8a40c}" done="0">
    <x18tc:text xml:space="preserve">STARGAZER AVE @isabel@coryhometeam.com VERIFIED
Assigned to isabel@coryhometeam.com</x18tc:text>
    <x18tc:mentions>
      <x18tc:mention mentionpersonId="{7d00647f-be2a-4639-a5f7-08a67118a5cf}" mentionId="{a42bf69f-ea87-449f-98d8-d527d281f4f5}" startIndex="14" length="24"/>
    </x18tc:mentions>
  </x18tc:threadedComment>
  <x18tc:threadedComment ref="A1" dT="2025-05-13T12:27:00.00" personId="{91ddd612-48c2-41c6-a628-68f42b3a1fa2}" id="{07e4b77b-baa7-446c-a365-ea028af5f485}" done="0">
    <x18tc:text xml:space="preserve">AM verified.
@isabel@coryhometeam.com 
@kenia@coryhometeam.com 
5.13 CI sent to Escrow.
Assigned to isabel@coryhometeam.com</x18tc:text>
    <x18tc:mentions>
      <x18tc:mention mentionpersonId="{7d00647f-be2a-4639-a5f7-08a67118a5cf}" mentionId="{a8208b38-0ca5-4855-8ed4-239535381da1}" startIndex="13" length="24"/>
      <x18tc:mention mentionpersonId="{c2b0de28-3b31-4aa3-82a3-f8aba187b3e9}" mentionId="{212c484c-9d94-4a1c-8a0d-5fddcae2aca3}" startIndex="39" length="23"/>
    </x18tc:mentions>
  </x18tc:threadedComment>
  <x18tc:threadedComment ref="A1" dT="2025-10-16T23:25:19.00" personId="{d4b03686-3bed-491a-bd12-3b942153f8f5}" id="{e56051e7-9fea-4d01-8291-6bbd4e4c0d80}" done="0">
    <x18tc:text xml:space="preserve">VIA CAMPECHE @isabel@coryhometeam.com VERIFIED
Assigned to isabel@coryhometeam.com</x18tc:text>
    <x18tc:mentions>
      <x18tc:mention mentionpersonId="{7d00647f-be2a-4639-a5f7-08a67118a5cf}" mentionId="{df13a462-0264-49cc-b2c5-a652e452bce7}" startIndex="13" length="24"/>
    </x18tc:mentions>
  </x18tc:threadedComment>
  <x18tc:threadedComment ref="A1" dT="2025-01-03T16:37:27.00" personId="{d4b03686-3bed-491a-bd12-3b942153f8f5}" id="{b08dd57f-a5fe-4683-9f3c-cc5cd9f10b95}" done="0">
    <x18tc:text xml:space="preserve">HERVEY AVE @isabel@coryhometeam.com VERIFIED
Assigned to isabel@coryhometeam.com</x18tc:text>
    <x18tc:mentions>
      <x18tc:mention mentionpersonId="{7d00647f-be2a-4639-a5f7-08a67118a5cf}" mentionId="{7e80b46e-e76e-4234-9f3d-261f5daaea47}" startIndex="11" length="24"/>
    </x18tc:mentions>
  </x18tc:threadedComment>
  <x18tc:threadedComment ref="A1" dT="2025-01-22T16:27:13.00" personId="{91ddd612-48c2-41c6-a628-68f42b3a1fa2}" id="{a979def0-0746-43c3-bdaf-4a6ebb155354}" done="0">
    <x18tc:text xml:space="preserve">AM verified,
@isabel@coryhometeam.com 
@kenia@coryhometeam.com 
1.22 CI sent to Escrow.
Assigned to isabel@coryhometeam.com</x18tc:text>
    <x18tc:mentions>
      <x18tc:mention mentionpersonId="{7d00647f-be2a-4639-a5f7-08a67118a5cf}" mentionId="{d014ae80-32db-480e-9499-383e62b9dc3a}" startIndex="13" length="24"/>
      <x18tc:mention mentionpersonId="{c2b0de28-3b31-4aa3-82a3-f8aba187b3e9}" mentionId="{a49fa561-2e8b-4062-98ef-8165d07f10cb}" startIndex="39" length="23"/>
    </x18tc:mentions>
  </x18tc:threadedComment>
  <x18tc:threadedComment ref="A1" dT="2025-09-23T00:36:58.00" personId="{d4b03686-3bed-491a-bd12-3b942153f8f5}" id="{675ad8d1-46d7-49dd-83da-7636f3e8ffc8}" done="0">
    <x18tc:text xml:space="preserve">SAN MARCOS BLVD @isabel@coryhometeam.com VERIFIED
Assigned to isabel@coryhometeam.com</x18tc:text>
    <x18tc:mentions>
      <x18tc:mention mentionpersonId="{7d00647f-be2a-4639-a5f7-08a67118a5cf}" mentionId="{35ada4cd-5aa0-4fb0-ae0e-195cdd0e8e7c}" startIndex="16" length="24"/>
    </x18tc:mentions>
  </x18tc:threadedComment>
  <x18tc:threadedComment ref="A1" dT="2025-11-20T21:50:13.00" personId="{d4b03686-3bed-491a-bd12-3b942153f8f5}" id="{c0125f6c-2e4e-491a-8464-fb56f8485d0d}" done="0">
    <x18tc:text xml:space="preserve">$4000.00</x18tc:text>
  </x18tc:threadedComment>
  <x18tc:threadedComment ref="A1" dT="2025-02-17T18:18:34.00" personId="{283cbab7-8785-4d8a-9d80-ae85deef9da8}" id="{c09db860-ac1e-4cdc-a09c-a8a2cbe5a06f}" done="0">
    <x18tc:text xml:space="preserve">Perr Julio sign and Combo #1025 already up</x18tc:text>
  </x18tc:threadedComment>
  <x18tc:threadedComment ref="A1" dT="2025-06-26T18:03:20.00" personId="{d4b03686-3bed-491a-bd12-3b942153f8f5}" id="{33c313a4-8e78-4969-8a45-e2c57e31c773}" done="0">
    <x18tc:text xml:space="preserve">CAPALINA RD @isabel@coryhometeam.com VERIFIED
Assigned to isabel@coryhometeam.com</x18tc:text>
    <x18tc:mentions>
      <x18tc:mention mentionpersonId="{7d00647f-be2a-4639-a5f7-08a67118a5cf}" mentionId="{9fef07ad-f2d8-4aea-a659-c8888a65c59c}" startIndex="12" length="24"/>
    </x18tc:mentions>
  </x18tc:threadedComment>
  <x18tc:threadedComment ref="A1" dT="2025-07-01T21:21:36.00" personId="{686b49bf-83f4-411b-b0f1-f0e341680f5a}" id="{e54200cb-93b1-4ac5-9cd5-366a971c61e7}" done="0">
    <x18tc:text xml:space="preserve">Approved by Mel off the top via text 07/01/25</x18tc:text>
  </x18tc:threadedComment>
  <x18tc:threadedComment ref="A1" dT="2025-01-03T16:26:02.00" personId="{91ddd612-48c2-41c6-a628-68f42b3a1fa2}" id="{c156b7ae-1942-47db-9837-796753646a00}" done="0">
    <x18tc:text xml:space="preserve">AM verified.
@isabel@coryhometeam.com 
@kenia@coryhometeam.com 
1.3 CI sent to Escrow.
Assigned to isabel@coryhometeam.com</x18tc:text>
    <x18tc:mentions>
      <x18tc:mention mentionpersonId="{7d00647f-be2a-4639-a5f7-08a67118a5cf}" mentionId="{2f30d932-4b24-4bb6-9f5d-99da8a73ed6e}" startIndex="13" length="24"/>
      <x18tc:mention mentionpersonId="{c2b0de28-3b31-4aa3-82a3-f8aba187b3e9}" mentionId="{5ec20886-586a-4451-9371-310a08a781f0}" startIndex="39" length="23"/>
    </x18tc:mentions>
  </x18tc:threadedComment>
  <x18tc:threadedComment ref="A1" dT="2025-01-03T23:17:08.00" personId="{283cbab7-8785-4d8a-9d80-ae85deef9da8}" id="{36fb07d7-5751-4a28-a9eb-729a6c62543f}" done="0">
    <x18tc:text xml:space="preserve">Original pp $575k Per AEA Price increased to $579,00 plus $1,784 in seller cc</x18tc:text>
  </x18tc:threadedComment>
  <x18tc:threadedComment ref="A1" dT="2025-03-27T18:41:38.00" personId="{91ddd612-48c2-41c6-a628-68f42b3a1fa2}" id="{00fec1d8-273f-4e96-b4d3-24d059e03436}" done="0">
    <x18tc:text xml:space="preserve">3.27 LA commission at $100.00.</x18tc:text>
  </x18tc:threadedComment>
  <x18tc:threadedComment ref="A1" dT="2025-06-26T20:41:50.00" personId="{91ddd612-48c2-41c6-a628-68f42b3a1fa2}" id="{7f7a9804-8a30-4042-bba6-d60896ac3309}" done="0">
    <x18tc:text xml:space="preserve">975 California St, Spc 46
AM verified.
@isabel@coryhometeam.com 
@kenia@coryhometeam.com 
6.26 CI sent to Escrow.
Assigned to isabel@coryhometeam.com</x18tc:text>
    <x18tc:mentions>
      <x18tc:mention mentionpersonId="{7d00647f-be2a-4639-a5f7-08a67118a5cf}" mentionId="{1d3e14a8-d4dd-4bbb-8b1c-845b5429c2b6}" startIndex="39" length="24"/>
      <x18tc:mention mentionpersonId="{c2b0de28-3b31-4aa3-82a3-f8aba187b3e9}" mentionId="{fa10f914-aa80-4f3d-aa72-d57c2cc33cb8}" startIndex="65" length="23"/>
    </x18tc:mentions>
  </x18tc:threadedComment>
  <x18tc:threadedComment ref="A1" dT="2025-10-31T23:34:57.00" personId="{686b49bf-83f4-411b-b0f1-f0e341680f5a}" id="{b07ad30c-2873-4b48-98cb-1e02fb6ad698}" done="0">
    <x18tc:text xml:space="preserve">This is to be deducted from Richard's commission for a credit to the buyer.</x18tc:text>
  </x18tc:threadedComment>
  <x18tc:threadedComment ref="A1" dT="2025-06-26T20:45:57.00" personId="{91ddd612-48c2-41c6-a628-68f42b3a1fa2}" id="{2e7ed732-bf5a-4c41-b875-b467df30f052}" done="0">
    <x18tc:text xml:space="preserve">0 Spring Creek Rd
AM verified.
@isabel@coryhometeam.com 
@kenia@coryhometeam.com 
6.26 CI sent to Escrow.
Assigned to isabel@coryhometeam.com</x18tc:text>
    <x18tc:mentions>
      <x18tc:mention mentionpersonId="{7d00647f-be2a-4639-a5f7-08a67118a5cf}" mentionId="{6ef3e110-0f6e-4c73-96c1-08468ddc5d9a}" startIndex="31" length="24"/>
      <x18tc:mention mentionpersonId="{c2b0de28-3b31-4aa3-82a3-f8aba187b3e9}" mentionId="{e7ec057d-e5ef-472b-8b9a-cd17e4158835}" startIndex="57" length="23"/>
    </x18tc:mentions>
  </x18tc:threadedComment>
  <x18tc:threadedComment ref="A1" dT="2025-05-13T14:11:20.00" personId="{686b49bf-83f4-411b-b0f1-f0e341680f5a}" id="{172df199-2280-41c8-a143-144ba97aae9e}" done="0">
    <x18tc:text xml:space="preserve">Credit to Seller approved by Mel via text 05/12/25</x18tc:text>
  </x18tc:threadedComment>
  <x18tc:threadedComment ref="A1" dT="2025-04-16T17:19:36.00" personId="{70ef93c1-8205-4a4b-b2d2-ae0f451d890c}" id="{d0c007ec-0d7c-4bd4-b814-28706b53562d}" done="0">
    <x18tc:text xml:space="preserve">4/23-4/25/2025</x18tc:text>
  </x18tc:threadedComment>
  <x18tc:threadedComment ref="A1" dT="2025-11-20T21:03:22.00" personId="{686b49bf-83f4-411b-b0f1-f0e341680f5a}" id="{7bc5d558-c2f0-4c55-8350-5d5af6017b1b}" done="0">
    <x18tc:text xml:space="preserve">OpenDoor - Fee does not apply.</x18tc:text>
  </x18tc:threadedComment>
  <x18tc:threadedComment ref="A1" dT="2025-05-13T15:23:09.00" personId="{91ddd612-48c2-41c6-a628-68f42b3a1fa2}" id="{c048d19a-6b12-4604-8ec9-ad80de1fb93d}" done="0">
    <x18tc:text xml:space="preserve">5.13 The buyer opted out to a new lender from Zillow to Navy Federal Credit.</x18tc:text>
  </x18tc:threadedComment>
  <x18tc:threadedComment ref="A1" dT="2025-04-16T17:22:24.00" personId="{70ef93c1-8205-4a4b-b2d2-ae0f451d890c}" id="{896624b4-1a76-45b2-a9e5-ef12d65e7b6f}" done="0">
    <x18tc:text xml:space="preserve">4/8-4/10/2025</x18tc:text>
  </x18tc:threadedComment>
  <x18tc:threadedComment ref="A1" dT="2025-01-03T21:27:40.00" personId="{686b49bf-83f4-411b-b0f1-f0e341680f5a}" id="{048da284-bb0c-4d80-933f-100ac0d09e50}" done="0">
    <x18tc:text xml:space="preserve">Commission is 4.0% of the original purchase price of $381,000</x18tc:text>
  </x18tc:threadedComment>
  <x18tc:threadedComment ref="A1" dT="2025-09-12T23:30:39.00" personId="{91ddd612-48c2-41c6-a628-68f42b3a1fa2}" id="{8a696afa-80fd-4f3f-9194-2dcd4cbfaf82}" done="0">
    <x18tc:text xml:space="preserve">The agents commission is $1,500 flat fee.</x18tc:text>
  </x18tc:threadedComment>
  <x18tc:threadedComment ref="A1" dT="2025-05-30T16:54:56.00" personId="{d4b03686-3bed-491a-bd12-3b942153f8f5}" id="{f0e6eefd-8c0f-452c-8533-fbe5983d35dd}" done="0">
    <x18tc:text xml:space="preserve">RUMOR LN @isabel@coryhometeam.com VERIFIED
Assigned to isabel@coryhometeam.com</x18tc:text>
    <x18tc:mentions>
      <x18tc:mention mentionpersonId="{7d00647f-be2a-4639-a5f7-08a67118a5cf}" mentionId="{6b629774-deb9-4a2b-8d5f-ea6d0eea1c9a}" startIndex="9" length="24"/>
    </x18tc:mentions>
  </x18tc:threadedComment>
  <x18tc:threadedComment ref="A1" dT="2025-06-10T22:10:42.00" personId="{91ddd612-48c2-41c6-a628-68f42b3a1fa2}" id="{3fa8a36e-98ea-43e4-a541-879aa16755f0}" done="0">
    <x18tc:text xml:space="preserve">43 Via Ermitas
AM verified.
@isabel@coryhometeam.com 
@kenia@coryhometeam.com 
6.10 CI sent to Escrow.
Assigned to isabel@coryhometeam.com</x18tc:text>
    <x18tc:mentions>
      <x18tc:mention mentionpersonId="{7d00647f-be2a-4639-a5f7-08a67118a5cf}" mentionId="{0ff88369-7673-498a-9943-b705a33255f5}" startIndex="28" length="24"/>
      <x18tc:mention mentionpersonId="{c2b0de28-3b31-4aa3-82a3-f8aba187b3e9}" mentionId="{0b5e375a-aa10-4cf1-8738-56dc9c41348e}" startIndex="54" length="23"/>
    </x18tc:mentions>
  </x18tc:threadedComment>
  <x18tc:threadedComment ref="AT11" dT="2026-05-26T20:14:11.00" personId="{91ddd612-48c2-41c6-a628-68f42b3a1fa2}" id="{ada11b1f-17ab-4c55-af34-11e9162a2674}" done="0">
    <x18tc:text xml:space="preserve">32882 Pepper Dr
AM verified.
@isabel@coryhometeam.com
@kenia@coryhometeam.com
5.26 CI sent to Escrow.
Assigned to isabel@coryhometeam.com</x18tc:text>
    <x18tc:mentions>
      <x18tc:mention mentionpersonId="{7d00647f-be2a-4639-a5f7-08a67118a5cf}" mentionId="{1725c52a-b14f-4825-ba08-0d7f5af0f1bc}" startIndex="29" length="24"/>
      <x18tc:mention mentionpersonId="{c2b0de28-3b31-4aa3-82a3-f8aba187b3e9}" mentionId="{1da05acf-8ba7-4421-86fb-1093c7dcdaf6}" startIndex="54" length="23"/>
    </x18tc:mentions>
  </x18tc:threadedComment>
  <x18tc:threadedComment ref="A1" dT="2025-06-10T22:10:32.00" personId="{91ddd612-48c2-41c6-a628-68f42b3a1fa2}" id="{aa5f6c4c-58ad-4476-aa3a-caf2b76e9d25}" done="0">
    <x18tc:text xml:space="preserve">43 Via Ermitas
AM verified.
@isabel@coryhometeam.com 
@kenia@coryhometeam.com 
6.10 CI sent to Escrow.
Assigned to isabel@coryhometeam.com</x18tc:text>
    <x18tc:mentions>
      <x18tc:mention mentionpersonId="{7d00647f-be2a-4639-a5f7-08a67118a5cf}" mentionId="{6e7374e9-d923-468f-a5b4-4f30d0abf00b}" startIndex="28" length="24"/>
      <x18tc:mention mentionpersonId="{c2b0de28-3b31-4aa3-82a3-f8aba187b3e9}" mentionId="{3add21b4-8860-4737-8db5-c4ed8ca8d110}" startIndex="54" length="23"/>
    </x18tc:mentions>
  </x18tc:threadedComment>
  <x18tc:threadedComment ref="A1" dT="2025-05-16T23:56:52.00" personId="{d4b03686-3bed-491a-bd12-3b942153f8f5}" id="{70ab1efb-e5ea-4c36-9fb2-d1095099e363}" done="0">
    <x18tc:text xml:space="preserve">LA TIERRA LANE @isabel@coryhometeam.com VERIFIED
Assigned to isabel@coryhometeam.com</x18tc:text>
    <x18tc:mentions>
      <x18tc:mention mentionpersonId="{7d00647f-be2a-4639-a5f7-08a67118a5cf}" mentionId="{75546da2-509e-4d03-9e67-b149141c605b}" startIndex="15" length="24"/>
    </x18tc:mentions>
  </x18tc:threadedComment>
  <x18tc:threadedComment ref="A1" dT="2025-01-14T23:05:29.00" personId="{2c0b40a3-d34a-4e30-997b-e7e5451e40bb}" id="{aef12b25-8f45-45e7-8316-eb15ea77fb8a}" done="1">
    <x18tc:text xml:space="preserve">@kenia@coryhometeam.com Not foun on the Transaction Sheet-Pending tab
Assigned to kenia@coryhometeam.com</x18tc:text>
    <x18tc:mentions>
      <x18tc:mention mentionpersonId="{c2b0de28-3b31-4aa3-82a3-f8aba187b3e9}" mentionId="{350504fc-410d-4ed3-84fe-01467534331a}" startIndex="0" length="23"/>
    </x18tc:mentions>
  </x18tc:threadedComment>
  <x18tc:threadedComment ref="A1" dT="2025-01-14T23:11:48.00" personId="{283cbab7-8785-4d8a-9d80-ae85deef9da8}" id="{05cc8bb4-7420-4df4-a157-30a61674a324}" parentId="{aef12b25-8f45-45e7-8316-eb15ea77fb8a}">
    <x18tc:text xml:space="preserve">it's there now</x18tc:text>
  </x18tc:threadedComment>
  <x18tc:threadedComment ref="A1" dT="2025-10-21T17:41:03.00" personId="{d4b03686-3bed-491a-bd12-3b942153f8f5}" id="{6091b86d-8f1f-4725-be91-c87ef3086f58}" done="0">
    <x18tc:text xml:space="preserve">G STREET @isabel@coryhometeam.com VERIFIED
Assigned to isabel@coryhometeam.com</x18tc:text>
    <x18tc:mentions>
      <x18tc:mention mentionpersonId="{7d00647f-be2a-4639-a5f7-08a67118a5cf}" mentionId="{d77d0098-ef9d-4707-ba2f-963837a227f9}" startIndex="9" length="24"/>
    </x18tc:mentions>
  </x18tc:threadedComment>
  <x18tc:threadedComment ref="A1" dT="2025-09-25T06:37:19.00" personId="{91ddd612-48c2-41c6-a628-68f42b3a1fa2}" id="{57785e44-a51a-42ae-9799-b2764e71797f}" done="0">
    <x18tc:text xml:space="preserve">11642 Periwinkle Place
AM verified.
@isabel@coryhometeam.com
@kenia@coryhometeam.com
9.25 CI sent to Escrow.
Assigned to isabel@coryhometeam.com</x18tc:text>
    <x18tc:mentions>
      <x18tc:mention mentionpersonId="{7d00647f-be2a-4639-a5f7-08a67118a5cf}" mentionId="{35d76bf6-e2b0-49f0-b7d2-b951db6e6871}" startIndex="36" length="24"/>
      <x18tc:mention mentionpersonId="{c2b0de28-3b31-4aa3-82a3-f8aba187b3e9}" mentionId="{9c052fe5-5256-4e3b-b832-8b16a17a056e}" startIndex="61" length="23"/>
    </x18tc:mentions>
  </x18tc:threadedComment>
  <x18tc:threadedComment ref="A1" dT="2025-02-05T00:15:51.00" personId="{d4b03686-3bed-491a-bd12-3b942153f8f5}" id="{7467ffac-a9ea-4855-bd44-ba7795a9f479}" done="0">
    <x18tc:text xml:space="preserve">BLACK CANYON DR @isabel@coryhometeam.com VERIFIED
Assigned to isabel@coryhometeam.com</x18tc:text>
    <x18tc:mentions>
      <x18tc:mention mentionpersonId="{7d00647f-be2a-4639-a5f7-08a67118a5cf}" mentionId="{1429c372-1d02-4c0d-976a-35f2165ce76d}" startIndex="16" length="24"/>
    </x18tc:mentions>
  </x18tc:threadedComment>
  <x18tc:threadedComment ref="A1" dT="2025-02-03T22:59:56.00" personId="{d4b03686-3bed-491a-bd12-3b942153f8f5}" id="{65da16c7-a3bd-4724-a7a2-85e472f49d32}" done="0">
    <x18tc:text xml:space="preserve">FIRBROOK ST. @isabel@coryhometeam.com VERIFIED
Assigned to isabel@coryhometeam.com</x18tc:text>
    <x18tc:mentions>
      <x18tc:mention mentionpersonId="{7d00647f-be2a-4639-a5f7-08a67118a5cf}" mentionId="{6c257bd7-0816-4666-a0b5-35d24af77072}" startIndex="13" length="24"/>
    </x18tc:mentions>
  </x18tc:threadedComment>
  <x18tc:threadedComment ref="A1" dT="2025-03-13T19:38:03.00" personId="{91ddd612-48c2-41c6-a628-68f42b3a1fa2}" id="{29d4361d-5d64-4471-b59c-48220f327771}" done="0">
    <x18tc:text xml:space="preserve">AM verified.
@isabel@coryhometeam.com 
@kenia@coryhometeam.com 
3.13 CI sent to Escrow.
Assigned to isabel@coryhometeam.com</x18tc:text>
    <x18tc:mentions>
      <x18tc:mention mentionpersonId="{7d00647f-be2a-4639-a5f7-08a67118a5cf}" mentionId="{ed4697a6-5437-491e-aacb-dc5992066a5f}" startIndex="13" length="24"/>
      <x18tc:mention mentionpersonId="{c2b0de28-3b31-4aa3-82a3-f8aba187b3e9}" mentionId="{1eed427c-e8a0-474e-94df-9d9d12241a6e}" startIndex="39" length="23"/>
    </x18tc:mentions>
  </x18tc:threadedComment>
  <x18tc:threadedComment ref="A1" dT="2025-10-13T12:40:34.00" personId="{91ddd612-48c2-41c6-a628-68f42b3a1fa2}" id="{3a105ffb-f7f4-4fa0-8403-6214d71f78b4}" done="0">
    <x18tc:text xml:space="preserve">28391 Partridge Way # 903
AM verified.
@isabel@coryhometeam.com
@kenia@coryhometeam.com
10.13 CI sent to Escrow.
Assigned to isabel@coryhometeam.com</x18tc:text>
    <x18tc:mentions>
      <x18tc:mention mentionpersonId="{7d00647f-be2a-4639-a5f7-08a67118a5cf}" mentionId="{a2799221-b472-4ba9-91b4-c4a41dba7a64}" startIndex="39" length="24"/>
      <x18tc:mention mentionpersonId="{c2b0de28-3b31-4aa3-82a3-f8aba187b3e9}" mentionId="{cedbaaf1-f0b2-4088-81db-b99a23978263}" startIndex="64" length="23"/>
    </x18tc:mentions>
  </x18tc:threadedComment>
  <x18tc:threadedComment ref="A1" dT="2025-02-05T00:18:30.00" personId="{d4b03686-3bed-491a-bd12-3b942153f8f5}" id="{45568cec-707c-47a7-b5c5-71e632bfbf44}" done="0">
    <x18tc:text xml:space="preserve">LITTLEROCK RANCHOS @isabel@coryhometeam.com VERIFIED
Assigned to isabel@coryhometeam.com</x18tc:text>
    <x18tc:mentions>
      <x18tc:mention mentionpersonId="{7d00647f-be2a-4639-a5f7-08a67118a5cf}" mentionId="{c08bad16-0d40-4368-814d-9079a0159d96}" startIndex="19" length="24"/>
    </x18tc:mentions>
  </x18tc:threadedComment>
  <x18tc:threadedComment ref="A1" dT="2025-12-05T00:26:28.00" personId="{d4b03686-3bed-491a-bd12-3b942153f8f5}" id="{4deb8098-8be5-443b-b02e-5f801f768643}" done="0">
    <x18tc:text xml:space="preserve">PASEO DE FRANCISCO @isabel@coryhometeam.com VERIFIED
Assigned to isabel@coryhometeam.com</x18tc:text>
    <x18tc:mentions>
      <x18tc:mention mentionpersonId="{7d00647f-be2a-4639-a5f7-08a67118a5cf}" mentionId="{ac518bb4-349b-4d5a-8494-2228a57d6122}" startIndex="19" length="24"/>
    </x18tc:mentions>
  </x18tc:threadedComment>
  <x18tc:threadedComment ref="A1" dT="2025-10-30T21:10:56.00" personId="{c7fad490-24e0-4859-bb84-4307c52d4768}" id="{b9e8688b-0947-4c88-95c8-b07a1346e25b}" done="1">
    <x18tc:text xml:space="preserve">322 G Street @alexis@coryhometeam.com @jamesa@coryhometeam.com I changed deduction from $90 to $75 based on the final check received. eXp is requesting for a commission reduction form to revise the CDA
Assigned to alexis@coryhometeam.com</x18tc:text>
    <x18tc:mentions>
      <x18tc:mention mentionpersonId="{e0ede1ef-7aee-4904-9f47-62fb26fea2cd}" mentionId="{0309b76d-2fda-4958-a141-b18e61f11364}" startIndex="13" length="24"/>
      <x18tc:mention mentionpersonId="{2e62d27e-283c-4022-9a11-29871798bb74}" mentionId="{41a11b8a-0a62-4b95-af14-4b376b233102}" startIndex="38" length="24"/>
    </x18tc:mentions>
  </x18tc:threadedComment>
  <x18tc:threadedComment ref="A1" dT="2025-12-04T22:47:01.00" personId="{91ddd612-48c2-41c6-a628-68f42b3a1fa2}" id="{9f0562a5-3cdd-4017-a053-f169781652c4}" done="0">
    <x18tc:text xml:space="preserve">18294 Saltbush Ct
AM verified.
@isabel@coryhometeam.com
@kenia@coryhometeam.com
12.4 CI sent to Escrow.
Assigned to isabel@coryhometeam.com</x18tc:text>
    <x18tc:mentions>
      <x18tc:mention mentionpersonId="{7d00647f-be2a-4639-a5f7-08a67118a5cf}" mentionId="{098ec64f-f6af-4d7a-85a7-13078f9dc7a9}" startIndex="31" length="24"/>
      <x18tc:mention mentionpersonId="{c2b0de28-3b31-4aa3-82a3-f8aba187b3e9}" mentionId="{372b4cef-0386-44f3-a7ef-5c9fbcab662f}" startIndex="56" length="23"/>
    </x18tc:mentions>
  </x18tc:threadedComment>
  <x18tc:threadedComment ref="A1" dT="2025-02-04T01:34:03.00" personId="{686b49bf-83f4-411b-b0f1-f0e341680f5a}" id="{e92158b5-1d8c-4816-b123-e96183b8cbf8}" done="0">
    <x18tc:text xml:space="preserve">@kenia@coryhometeam.com 
@aileen@coryhometeam.com 
This will need a MT to change the commission, there is no longer a CO-OP with our Listings. This is negotiated during the offer negotiations. 
Let me know if you need a template for how this needs to be worde and check with LA on what they want for their commission.
Assigned to kenia@coryhometeam.com</x18tc:text>
    <x18tc:mentions>
      <x18tc:mention mentionpersonId="{c2b0de28-3b31-4aa3-82a3-f8aba187b3e9}" mentionId="{72f6b21f-78eb-4be4-a9ea-a166548d0486}" startIndex="0" length="23"/>
      <x18tc:mention mentionpersonId="{d84aad15-fe10-4ace-a111-49c543015ec6}" mentionId="{f3d2c027-7032-4fc6-9b47-5d570b8f7510}" startIndex="25" length="24"/>
    </x18tc:mentions>
  </x18tc:threadedComment>
  <x18tc:threadedComment ref="A1" dT="2025-02-04T18:00:33.00" personId="{283cbab7-8785-4d8a-9d80-ae85deef9da8}" id="{1c209aea-f070-4413-983a-43f4db92d991}" parentId="{e92158b5-1d8c-4816-b123-e96183b8cbf8}">
    <x18tc:text xml:space="preserve">Hi Alexis, 3% is LA commission amount.</x18tc:text>
  </x18tc:threadedComment>
  <x18tc:threadedComment ref="A1" dT="2025-02-04T18:01:12.00" personId="{283cbab7-8785-4d8a-9d80-ae85deef9da8}" id="{8b8a0572-e4a1-475b-ac6b-c182cb8a55dd}" parentId="{e92158b5-1d8c-4816-b123-e96183b8cbf8}">
    <x18tc:text xml:space="preserve">@Alexis @Aileen</x18tc:text>
  </x18tc:threadedComment>
  <x18tc:threadedComment ref="A1" dT="2025-01-07T03:28:12.00" personId="{91ddd612-48c2-41c6-a628-68f42b3a1fa2}" id="{70509bbe-4e45-443f-815d-87be1baa35b2}" done="0">
    <x18tc:text xml:space="preserve">1.6 App extended from 1.8 to 1.16 as per ETA.</x18tc:text>
  </x18tc:threadedComment>
  <x18tc:threadedComment ref="A1" dT="2025-03-18T12:58:14.00" personId="{91ddd612-48c2-41c6-a628-68f42b3a1fa2}" id="{3104fa43-8d5e-428b-9484-93ef945cd688}" done="0">
    <x18tc:text xml:space="preserve">AM verified.
@isabel@coryhometeam.com 
@kenia@coryhometeam.com 
3.18 CI sent to Escrow.
Assigned to isabel@coryhometeam.com</x18tc:text>
    <x18tc:mentions>
      <x18tc:mention mentionpersonId="{7d00647f-be2a-4639-a5f7-08a67118a5cf}" mentionId="{508397c8-e9a5-4faa-be38-2dd1078ecf84}" startIndex="13" length="24"/>
      <x18tc:mention mentionpersonId="{c2b0de28-3b31-4aa3-82a3-f8aba187b3e9}" mentionId="{6b629595-51f9-4442-992f-f773cc2a0b83}" startIndex="39" length="23"/>
    </x18tc:mentions>
  </x18tc:threadedComment>
  <x18tc:threadedComment ref="A1" dT="2025-01-16T17:33:34.00" personId="{91ddd612-48c2-41c6-a628-68f42b3a1fa2}" id="{fcc3a908-9170-4c12-bdd5-48573f21c1f2}" done="0">
    <x18tc:text xml:space="preserve">AM verified.
@isabel@coryhometeam.com 
@kenia@coryhometeam.com 
1.16 REVISED CI sent to Escrow.
Assigned to isabel@coryhometeam.com</x18tc:text>
    <x18tc:mentions>
      <x18tc:mention mentionpersonId="{7d00647f-be2a-4639-a5f7-08a67118a5cf}" mentionId="{30726c74-52e4-4626-b0bd-0d8ec4ea10f0}" startIndex="13" length="24"/>
      <x18tc:mention mentionpersonId="{c2b0de28-3b31-4aa3-82a3-f8aba187b3e9}" mentionId="{4c53c529-ba70-4e96-b9a0-006d3efcd797}" startIndex="39" length="23"/>
    </x18tc:mentions>
  </x18tc:threadedComment>
  <x18tc:threadedComment ref="A1" dT="2025-02-12T19:07:25.00" personId="{91ddd612-48c2-41c6-a628-68f42b3a1fa2}" id="{d5b6298c-0f2c-4292-bef6-816094e8c5d6}" parentId="{fcc3a908-9170-4c12-bdd5-48573f21c1f2}">
    <x18tc:text xml:space="preserve">AM verified.
@isabel@coryhometeam.com 
@kenia@coryhometeam.com 
2.12 CI form send to Escrow.
Isabel, I have BCC you in the email.</x18tc:text>
    <x18tc:mentions>
      <x18tc:mention mentionpersonId="{7d00647f-be2a-4639-a5f7-08a67118a5cf}" mentionId="{442c8871-4e9c-4e5e-afcd-1a2233196314}" startIndex="13" length="24"/>
      <x18tc:mention mentionpersonId="{c2b0de28-3b31-4aa3-82a3-f8aba187b3e9}" mentionId="{f90fe9c1-6791-4e95-bf05-ce19983298c9}" startIndex="39" length="23"/>
    </x18tc:mentions>
  </x18tc:threadedComment>
  <x18tc:threadedComment ref="W32" dT="2026-05-26T23:40:30.00" personId="{d4b03686-3bed-491a-bd12-3b942153f8f5}" id="{0ea398c3-d574-4713-92d2-739f261f3776}" done="0">
    <x18tc:text xml:space="preserve">All timelines under this agreement shall commence the day after the Seller delivers written notice to the Buyer removing the Finding Replacement Property Contingency specified in Paragraph 1A.</x18tc:text>
  </x18tc:threadedComment>
  <x18tc:threadedComment ref="A1" dT="2025-10-21T16:27:15.00" personId="{91ddd612-48c2-41c6-a628-68f42b3a1fa2}" id="{f37bf4ec-5100-4875-8945-3052937fbdfc}" done="0">
    <x18tc:text xml:space="preserve">45389 Via Jaca
AM verified.
@isabel@coryhometeam.com
@kenia@coryhometeam.com
10.21 CI sent to Escrow.
Assigned to isabel@coryhometeam.com</x18tc:text>
    <x18tc:mentions>
      <x18tc:mention mentionpersonId="{7d00647f-be2a-4639-a5f7-08a67118a5cf}" mentionId="{0603eec7-bb3b-4bbf-b7ae-4d24105aea0a}" startIndex="28" length="24"/>
      <x18tc:mention mentionpersonId="{c2b0de28-3b31-4aa3-82a3-f8aba187b3e9}" mentionId="{1975f9bd-9334-4109-a386-689358dc59cd}" startIndex="53" length="23"/>
    </x18tc:mentions>
  </x18tc:threadedComment>
  <x18tc:threadedComment ref="A1" dT="2025-07-15T17:33:07.00" personId="{283cbab7-8785-4d8a-9d80-ae85deef9da8}" id="{766d5390-88ad-4162-af7b-4ac2aefd6b81}" done="0">
    <x18tc:text xml:space="preserve">@isabel@coryhometeam.com @dana@coryhometeam.com 
*Special instructions From Bridget
Buyers are my husband Ron and I.
Please draft an addendum giving a buyer credit to the buyer from buyer brokerage commission. Total commission is 3% or $15,450
personal escrows I have to pay $1500,
so $15450-1500=$13,950 credit from CHT/eXp to buyer.
Assigned to isabel@coryhometeam.com</x18tc:text>
    <x18tc:mentions>
      <x18tc:mention mentionpersonId="{7d00647f-be2a-4639-a5f7-08a67118a5cf}" mentionId="{694968bb-186c-42d1-aa74-09762f989863}" startIndex="0" length="24"/>
      <x18tc:mention mentionpersonId="{97a5b354-94ec-4750-87c3-99cebe208b41}" mentionId="{2696014b-41ca-477e-82d1-915a24f17c87}" startIndex="25" length="22"/>
    </x18tc:mentions>
  </x18tc:threadedComment>
  <x18tc:threadedComment ref="A1" dT="2025-05-16T19:31:08.00" personId="{283cbab7-8785-4d8a-9d80-ae85deef9da8}" id="{fa399b80-99e8-48b7-b5d6-4275fa252cb2}" done="0">
    <x18tc:text xml:space="preserve">CHT to cover GOD plan 
$725.00 for Home Warranty Plan w ORHP</x18tc:text>
  </x18tc:threadedComment>
  <x18tc:threadedComment ref="A1" dT="2025-01-28T21:02:53.00" personId="{283cbab7-8785-4d8a-9d80-ae85deef9da8}" id="{940925d6-b990-4d48-ae08-7fc4601fc2b3}" done="0">
    <x18tc:text xml:space="preserve">Escrow #: RCO 7208684
Escrow company:
Monique Little
First American Title
951-256-5800
DR Horton Rep:
Tiffany Kate Shelton
951-707-9026
Tkshelton@drhorton.com</x18tc:text>
  </x18tc:threadedComment>
  <x18tc:threadedComment ref="A1" dT="2025-05-01T19:58:50.00" personId="{e9fc873c-1c43-4e02-b893-c88033c9c8f6}" id="{98a7bf2e-cf65-47ad-8493-795501e7d99a}" done="0">
    <x18tc:text xml:space="preserve">Cabela- payoff demand sent to escrow 5/1/25</x18tc:text>
  </x18tc:threadedComment>
  <x18tc:threadedComment ref="A1" dT="2025-09-23T19:42:31.00" personId="{91ddd612-48c2-41c6-a628-68f42b3a1fa2}" id="{3c0059fc-e277-45b6-9214-c522e6e2eb22}" done="0">
    <x18tc:text xml:space="preserve">2160 W Rialto Ave # 122
9.23 Loan contingency extended to 10.6 as per ETA.</x18tc:text>
  </x18tc:threadedComment>
  <x18tc:threadedComment ref="A1" dT="2025-10-08T17:06:49.00" personId="{91ddd612-48c2-41c6-a628-68f42b3a1fa2}" id="{e6518080-009f-42b7-8c43-561c6fd00e7e}" parentId="{3c0059fc-e277-45b6-9214-c522e6e2eb22}">
    <x18tc:text xml:space="preserve">CR Loan moved to 10.13 as per ETA</x18tc:text>
  </x18tc:threadedComment>
  <x18tc:threadedComment ref="A1" dT="2025-10-13T18:55:09.00" personId="{c7fad490-24e0-4859-bb84-4307c52d4768}" id="{f3177327-456a-4bc4-b645-0d36ee8b8479}" done="0">
    <x18tc:text xml:space="preserve">REF 1045 E Vista Way #2 - splits now in SS, Stephanie Carson's EA 60/40 split</x18tc:text>
  </x18tc:threadedComment>
  <x18tc:threadedComment ref="A1" dT="2025-04-11T19:38:50.00" personId="{d4b03686-3bed-491a-bd12-3b942153f8f5}" id="{5a30357b-a982-4bc4-ae4d-773a81bb9a85}" done="0">
    <x18tc:text xml:space="preserve">GREEN FOREST DR @isabel@coryhometeam.com VERIFIED
Assigned to isabel@coryhometeam.com</x18tc:text>
    <x18tc:mentions>
      <x18tc:mention mentionpersonId="{7d00647f-be2a-4639-a5f7-08a67118a5cf}" mentionId="{bb5f0dc9-3893-4602-b0ce-9ceb8b407c99}" startIndex="16" length="24"/>
    </x18tc:mentions>
  </x18tc:threadedComment>
  <x18tc:threadedComment ref="A1" dT="2025-08-26T06:02:23.00" personId="{2c0b40a3-d34a-4e30-997b-e7e5451e40bb}" id="{fa8ca91b-4677-4c82-a524-efd15a402f63}" done="1">
    <x18tc:text xml:space="preserve">@alexis@coryhometeam.com @aileen@coryhometeam.com Not found in the CHT Listing Board
Assigned to alexis@coryhometeam.com</x18tc:text>
    <x18tc:mentions>
      <x18tc:mention mentionpersonId="{e0ede1ef-7aee-4904-9f47-62fb26fea2cd}" mentionId="{5c81a9f6-620c-48ff-b962-1832eceeed68}" startIndex="0" length="24"/>
      <x18tc:mention mentionpersonId="{d84aad15-fe10-4ace-a111-49c543015ec6}" mentionId="{256076b4-19a9-4a29-b074-050b1c812730}" startIndex="25" length="24"/>
    </x18tc:mentions>
  </x18tc:threadedComment>
  <x18tc:threadedComment ref="A1" dT="2025-08-26T15:31:31.00" personId="{686b49bf-83f4-411b-b0f1-f0e341680f5a}" id="{0ff775da-b747-4922-9268-422c4e588135}" parentId="{fa8ca91b-4677-4c82-a524-efd15a402f63}">
    <x18tc:text xml:space="preserve">Hi Remy -
I see it, Line 42 on the Listing Board and Line 52 on the Agent Listing Board</x18tc:text>
  </x18tc:threadedComment>
  <x18tc:threadedComment ref="A1" dT="2025-01-02T04:17:51.00" personId="{bd81d93e-be55-44dd-b62e-6a2b19efdd84}" id="{1c4f305f-3ddc-4614-b3f6-b971145f827f}" done="0">
    <x18tc:text xml:space="preserve">@rafael@coryhometeam.com 
7.31 Per agent closing is around March 2025
Assigned to rafael@coryhometeam.com</x18tc:text>
    <x18tc:mentions>
      <x18tc:mention mentionpersonId="{9bdf134a-8804-4ab3-a81d-c648bae0f1b8}" mentionId="{2621c48a-80e5-4bcb-b4b1-9b14fb9a034d}" startIndex="0" length="24"/>
    </x18tc:mentions>
  </x18tc:threadedComment>
  <x18tc:threadedComment ref="A1" dT="2025-01-28T19:14:30.00" personId="{91ddd612-48c2-41c6-a628-68f42b3a1fa2}" id="{477b8aad-06b0-4ee1-8a69-c9674c13274e}" done="0">
    <x18tc:text xml:space="preserve">AM verified.
@isabel@coryhometeam.com 
@kenia@coryhometeam.com 
1.28 CI sent to Escrow.
Assigned to isabel@coryhometeam.com</x18tc:text>
    <x18tc:mentions>
      <x18tc:mention mentionpersonId="{7d00647f-be2a-4639-a5f7-08a67118a5cf}" mentionId="{ef2320bf-1984-41a5-a732-bf7aedd817ed}" startIndex="13" length="24"/>
      <x18tc:mention mentionpersonId="{c2b0de28-3b31-4aa3-82a3-f8aba187b3e9}" mentionId="{9bfdf23b-2cb4-4bcb-ba40-4e2b81358922}" startIndex="39" length="23"/>
    </x18tc:mentions>
  </x18tc:threadedComment>
  <x18tc:threadedComment ref="A1" dT="2025-12-19T20:16:26.00" personId="{e9fc873c-1c43-4e02-b893-c88033c9c8f6}" id="{b5d2a961-d9f4-4287-88a6-baeef9dead4f}" done="0">
    <x18tc:text xml:space="preserve">not collected; agent pay</x18tc:text>
  </x18tc:threadedComment>
  <x18tc:threadedComment ref="A1" dT="2025-01-28T18:58:45.00" personId="{d4b03686-3bed-491a-bd12-3b942153f8f5}" id="{c056c2de-167e-43cb-9bf1-a9d8c616b688}" done="0">
    <x18tc:text xml:space="preserve">HEATHER LN @isabel@coryhometeam.com VERIFIED
Assigned to isabel@coryhometeam.com</x18tc:text>
    <x18tc:mentions>
      <x18tc:mention mentionpersonId="{7d00647f-be2a-4639-a5f7-08a67118a5cf}" mentionId="{c7681707-1dcf-48c3-b8aa-304cf03842b5}" startIndex="11" length="24"/>
    </x18tc:mentions>
  </x18tc:threadedComment>
  <x18tc:threadedComment ref="A1" dT="2025-01-02T05:40:24.00" personId="{bd81d93e-be55-44dd-b62e-6a2b19efdd84}" id="{c006c171-0910-4c9b-9f03-45140e3b50e9}" done="0">
    <x18tc:text xml:space="preserve">@rafael@coryhometeam.com 
12.18 
AM verified.
@isabel@coryhometeam.com @kenia@coryhometeam.com 
12.18 CI sent to Escrow.</x18tc:text>
    <x18tc:mentions>
      <x18tc:mention mentionpersonId="{9bdf134a-8804-4ab3-a81d-c648bae0f1b8}" mentionId="{1b7898c3-fdc8-49f6-9ecf-8d236545a72c}" startIndex="0" length="24"/>
      <x18tc:mention mentionpersonId="{7d00647f-be2a-4639-a5f7-08a67118a5cf}" mentionId="{41d55398-de5c-4139-b0b0-6d32901f9ce1}" startIndex="46" length="24"/>
      <x18tc:mention mentionpersonId="{c2b0de28-3b31-4aa3-82a3-f8aba187b3e9}" mentionId="{054ccdb2-7008-42c5-8723-80c7f9871805}" startIndex="71" length="23"/>
    </x18tc:mentions>
  </x18tc:threadedComment>
  <x18tc:threadedComment ref="A1" dT="2025-04-11T19:39:48.00" personId="{91ddd612-48c2-41c6-a628-68f42b3a1fa2}" id="{0d769449-f7f0-4655-9fae-9855cf7dc02b}" done="0">
    <x18tc:text xml:space="preserve">AM verified.
@isabel@coryhometeam.com 
@kenia@coryhometeam.com 
4.11 CI sent to Escrow.
Assigned to isabel@coryhometeam.com</x18tc:text>
    <x18tc:mentions>
      <x18tc:mention mentionpersonId="{7d00647f-be2a-4639-a5f7-08a67118a5cf}" mentionId="{0710e740-7f3e-4ff6-9f57-a707c6bbaee9}" startIndex="13" length="24"/>
      <x18tc:mention mentionpersonId="{c2b0de28-3b31-4aa3-82a3-f8aba187b3e9}" mentionId="{492e5524-4c73-4be6-b16b-7bd447a0153d}" startIndex="39" length="23"/>
    </x18tc:mentions>
  </x18tc:threadedComment>
  <x18tc:threadedComment ref="A1" dT="2025-12-19T20:15:03.00" personId="{e9fc873c-1c43-4e02-b893-c88033c9c8f6}" id="{328e32a4-63c8-49c4-bdba-1326ea3b642b}" done="0">
    <x18tc:text xml:space="preserve">collected from client</x18tc:text>
  </x18tc:threadedComment>
  <x18tc:threadedComment ref="A1" dT="2025-11-07T19:27:17.00" personId="{d4b03686-3bed-491a-bd12-3b942153f8f5}" id="{95748453-88eb-4c27-aae9-34f478cb61d5}" done="0">
    <x18tc:text xml:space="preserve">$100.00</x18tc:text>
  </x18tc:threadedComment>
  <x18tc:threadedComment ref="A1" dT="2025-12-19T20:22:37.00" personId="{e9fc873c-1c43-4e02-b893-c88033c9c8f6}" id="{876f5503-1a60-413f-94cf-4f057faafb60}" done="0">
    <x18tc:text xml:space="preserve">seller credit to buyer for repairs</x18tc:text>
  </x18tc:threadedComment>
  <x18tc:threadedComment ref="A1" dT="2025-06-02T17:16:43.00" personId="{91ddd612-48c2-41c6-a628-68f42b3a1fa2}" id="{4094519b-a073-4f23-ae37-a4dcb49ab432}" done="0">
    <x18tc:text xml:space="preserve">36778 Boxwood Way
6.2 As per ETA3 the new COE is 6.5 or sooner.</x18tc:text>
  </x18tc:threadedComment>
  <x18tc:threadedComment ref="A1" dT="2025-01-28T21:00:36.00" personId="{283cbab7-8785-4d8a-9d80-ae85deef9da8}" id="{cfbd493f-f2e7-4e67-95e4-00a054147532}" done="0">
    <x18tc:text xml:space="preserve">2.00% paid by Seller 
.5% paid by Buyer</x18tc:text>
  </x18tc:threadedComment>
  <x18tc:threadedComment ref="A1" dT="2025-11-07T23:45:49.00" personId="{d4b03686-3bed-491a-bd12-3b942153f8f5}" id="{e4305af2-9270-4ca5-9f9b-937e023df818}" done="0">
    <x18tc:text xml:space="preserve">ROSSMONT DR @isabel@coryhometeam.com VERIFIED
Assigned to isabel@coryhometeam.com</x18tc:text>
    <x18tc:mentions>
      <x18tc:mention mentionpersonId="{7d00647f-be2a-4639-a5f7-08a67118a5cf}" mentionId="{f3200e21-8143-4f83-a072-bd572780d19e}" startIndex="12" length="24"/>
    </x18tc:mentions>
  </x18tc:threadedComment>
  <x18tc:threadedComment ref="A1" dT="2025-01-02T04:08:25.00" personId="{bd81d93e-be55-44dd-b62e-6a2b19efdd84}" id="{48cf288c-1ffa-4f19-a893-d17f8195fc75}" done="0">
    <x18tc:text xml:space="preserve">By @rafael@coryhometeam.com 12.18 New COE date per ETA1.
Assigned to rafael@coryhometeam.com</x18tc:text>
    <x18tc:mentions>
      <x18tc:mention mentionpersonId="{9bdf134a-8804-4ab3-a81d-c648bae0f1b8}" mentionId="{9544b3f8-d993-44cd-b532-2af0d3c06ff9}" startIndex="3" length="24"/>
    </x18tc:mentions>
  </x18tc:threadedComment>
  <x18tc:threadedComment ref="A1" dT="2025-01-02T04:09:05.00" personId="{bd81d93e-be55-44dd-b62e-6a2b19efdd84}" id="{e7ff2227-97d5-4f3a-b0d5-307fecb57875}" parentId="{48cf288c-1ffa-4f19-a893-d17f8195fc75}">
    <x18tc:text xml:space="preserve">By @alexis@coryhometeam.com 12.31 
Previous Note on wrong property:
12/31/24 - Jennifer has advised the Buyer for the Sale Property funded and will close today but due to the holiday funds won't reach the New Build until 01/02 soonest.
Reassigned to alexis@coryhometeam.com</x18tc:text>
    <x18tc:mentions>
      <x18tc:mention mentionpersonId="{e0ede1ef-7aee-4904-9f47-62fb26fea2cd}" mentionId="{5b2cad0d-1ab9-4673-9335-2c0adda2a4db}" startIndex="3" length="24"/>
    </x18tc:mentions>
  </x18tc:threadedComment>
  <x18tc:threadedComment ref="A1" dT="2025-11-07T21:28:01.00" personId="{91ddd612-48c2-41c6-a628-68f42b3a1fa2}" id="{9ef73855-fd5e-49c7-b299-6f4d37ee2ff1}" done="0">
    <x18tc:text xml:space="preserve">34798 Lyn Ave
AM verified.
@isabel@coryhometeam.com
@kenia@coryhometeam.com
11.7 CI sent to Escrow.
Assigned to isabel@coryhometeam.com</x18tc:text>
    <x18tc:mentions>
      <x18tc:mention mentionpersonId="{7d00647f-be2a-4639-a5f7-08a67118a5cf}" mentionId="{b117a076-570f-4f0a-aeec-0d41e5cad541}" startIndex="27" length="24"/>
      <x18tc:mention mentionpersonId="{c2b0de28-3b31-4aa3-82a3-f8aba187b3e9}" mentionId="{3359da78-48d0-493a-b359-9ab97d2975ef}" startIndex="52" length="23"/>
    </x18tc:mentions>
  </x18tc:threadedComment>
  <x18tc:threadedComment ref="A1" dT="2025-09-12T14:37:57.00" personId="{91ddd612-48c2-41c6-a628-68f42b3a1fa2}" id="{c130c8cd-be08-4386-9719-09f53b9dd71e}" done="0">
    <x18tc:text xml:space="preserve">901 S Pacific St #101
AM verified.
@isabel@coryhometeam.com
@kenia@coryhometeam.com
9.11 CI sent to Escrow.
Assigned to isabel@coryhometeam.com</x18tc:text>
    <x18tc:mentions>
      <x18tc:mention mentionpersonId="{7d00647f-be2a-4639-a5f7-08a67118a5cf}" mentionId="{adc60670-967b-499c-824d-74ad705b2fb4}" startIndex="35" length="24"/>
      <x18tc:mention mentionpersonId="{c2b0de28-3b31-4aa3-82a3-f8aba187b3e9}" mentionId="{d08acf5e-872b-4fd9-9fb9-e86fa36060fa}" startIndex="60" length="23"/>
    </x18tc:mentions>
  </x18tc:threadedComment>
  <x18tc:threadedComment ref="A1" dT="2025-01-28T18:56:55.00" personId="{d4b03686-3bed-491a-bd12-3b942153f8f5}" id="{ffe1b57b-2b0d-46a6-a519-9030a1da19d1}" done="0">
    <x18tc:text xml:space="preserve">A AVENUE @isabel@coryhometeam.com VERIFIED
Assigned to isabel@coryhometeam.com</x18tc:text>
    <x18tc:mentions>
      <x18tc:mention mentionpersonId="{7d00647f-be2a-4639-a5f7-08a67118a5cf}" mentionId="{fd0ce251-31dd-40d7-b704-39652205e2ef}" startIndex="9" length="24"/>
    </x18tc:mentions>
  </x18tc:threadedComment>
  <x18tc:threadedComment ref="A1" dT="2025-03-20T15:29:22.00" personId="{d4b03686-3bed-491a-bd12-3b942153f8f5}" id="{7c6ef333-f528-4b38-a42b-b47913ede479}" done="0">
    <x18tc:text xml:space="preserve">BELLA ROSA DRIVE @isabel@coryhometeam.com VERIFIED
Assigned to isabel@coryhometeam.com</x18tc:text>
    <x18tc:mentions>
      <x18tc:mention mentionpersonId="{7d00647f-be2a-4639-a5f7-08a67118a5cf}" mentionId="{239b8099-f1d9-4be9-9d3e-a73565f7c0b5}" startIndex="17" length="24"/>
    </x18tc:mentions>
  </x18tc:threadedComment>
  <x18tc:threadedComment ref="A1" dT="2026-01-22T21:38:57.00" personId="{2c0b40a3-d34a-4e30-997b-e7e5451e40bb}" id="{64ade26b-456e-482e-819d-e87f311adea4}" done="1">
    <x18tc:text xml:space="preserve">@alexis@coryhometeam.com not found on the CHT Agent ListingBoard yet
Assigned to alexis@coryhometeam.com</x18tc:text>
    <x18tc:mentions>
      <x18tc:mention mentionpersonId="{e0ede1ef-7aee-4904-9f47-62fb26fea2cd}" mentionId="{5d306910-f4bd-4341-8502-dbe73d83ff8c}" startIndex="0" length="24"/>
    </x18tc:mentions>
  </x18tc:threadedComment>
  <x18tc:threadedComment ref="A1" dT="2026-01-22T21:49:08.00" personId="{686b49bf-83f4-411b-b0f1-f0e341680f5a}" id="{ef60690a-1796-4525-be98-ed97d29cf5fe}" parentId="{64ade26b-456e-482e-819d-e87f311adea4}">
    <x18tc:text xml:space="preserve">Hi Remy
Yes it is, please see line #40 o the Agent Board.</x18tc:text>
  </x18tc:threadedComment>
  <x18tc:threadedComment ref="A1" dT="2025-10-16T18:24:32.00" personId="{d4b03686-3bed-491a-bd12-3b942153f8f5}" id="{0bc767f5-3c41-4da0-bc2d-7ed1710e1d7d}" done="0">
    <x18tc:text xml:space="preserve">All time periods shall commence upon the buyer’s delivery of property evidence or the removal of the Contingency of Purchase (COP 11.A).</x18tc:text>
  </x18tc:threadedComment>
  <x18tc:threadedComment ref="A1" dT="2025-04-02T23:27:32.00" personId="{91ddd612-48c2-41c6-a628-68f42b3a1fa2}" id="{b2897a6b-c147-4d33-9483-72a064f0e016}" done="0">
    <x18tc:text xml:space="preserve">Nothing to input at this time. This is contingent to SPRP.</x18tc:text>
  </x18tc:threadedComment>
  <x18tc:threadedComment ref="A1" dT="2025-10-16T18:25:50.00" personId="{d4b03686-3bed-491a-bd12-3b942153f8f5}" id="{369ad0c5-456b-4dc3-8caa-f231091a03de}" done="0">
    <x18tc:text xml:space="preserve">All time periods shall commence upon the buyer’s delivery of property evidence or the removal of the Contingency of Purchase (COP 11.A).</x18tc:text>
  </x18tc:threadedComment>
  <x18tc:threadedComment ref="A1" dT="2025-07-25T20:09:04.00" personId="{d4b03686-3bed-491a-bd12-3b942153f8f5}" id="{1f42ae67-1308-4110-930e-9693af4088f3}" done="0">
    <x18tc:text xml:space="preserve">17 Days after the Seller delivers written notice removing the SPRP</x18tc:text>
  </x18tc:threadedComment>
  <x18tc:threadedComment ref="A1" dT="2025-04-02T23:26:25.00" personId="{91ddd612-48c2-41c6-a628-68f42b3a1fa2}" id="{d30e9311-9ed0-4daa-8854-64109ca11e19}" done="0">
    <x18tc:text xml:space="preserve">4.2 This transaction is contingent to SPRP.</x18tc:text>
  </x18tc:threadedComment>
  <x18tc:threadedComment ref="A1" dT="2025-05-16T12:42:33.00" personId="{91ddd612-48c2-41c6-a628-68f42b3a1fa2}" id="{25d56e77-b60b-4373-8fac-4fc119366ce9}" parentId="{d30e9311-9ed0-4daa-8854-64109ca11e19}">
    <x18tc:text xml:space="preserve">5.16 COE extended from 5.15 to 5.19 per ETA.</x18tc:text>
  </x18tc:threadedComment>
  <x18tc:threadedComment ref="A1" dT="2025-07-25T20:09:08.00" personId="{d4b03686-3bed-491a-bd12-3b942153f8f5}" id="{c1e93a73-8d41-4a6f-9d11-1d0be61c4b8c}" done="0">
    <x18tc:text xml:space="preserve">17 Days after the Seller delivers written notice removing the SPRP</x18tc:text>
  </x18tc:threadedComment>
  <x18tc:threadedComment ref="A1" dT="2026-02-24T23:31:48.00" personId="{d4b03686-3bed-491a-bd12-3b942153f8f5}" id="{c13b1606-107e-48b7-8d41-152013a8e042}" done="0">
    <x18tc:text xml:space="preserve">OAK VIEW LN @isabel@coryhometeam.com
VERIFIED
Assigned to isabel@coryhometeam.com</x18tc:text>
    <x18tc:mentions>
      <x18tc:mention mentionpersonId="{7d00647f-be2a-4639-a5f7-08a67118a5cf}" mentionId="{e9f5c590-7873-4f1e-8874-07b9419b556b}" startIndex="12" length="24"/>
    </x18tc:mentions>
  </x18tc:threadedComment>
  <x18tc:threadedComment ref="A1" dT="2025-03-17T04:54:11.00" personId="{91ddd612-48c2-41c6-a628-68f42b3a1fa2}" id="{a315f166-b771-488c-aeb5-ee5b921c2a2e}" done="0">
    <x18tc:text xml:space="preserve">AM verified.
@isabel@coryhometeam.com 
@kenia@coryhometeam.com 
3.17 CI sent to Escrow.
Assigned to isabel@coryhometeam.com</x18tc:text>
    <x18tc:mentions>
      <x18tc:mention mentionpersonId="{7d00647f-be2a-4639-a5f7-08a67118a5cf}" mentionId="{42888df3-d684-4f31-8bb7-fadb0a3479e7}" startIndex="13" length="24"/>
      <x18tc:mention mentionpersonId="{c2b0de28-3b31-4aa3-82a3-f8aba187b3e9}" mentionId="{7bfa7533-da30-4e25-b9b1-6f05d2d501a3}" startIndex="39" length="23"/>
    </x18tc:mentions>
  </x18tc:threadedComment>
  <x18tc:threadedComment ref="A1" dT="2025-11-20T17:27:24.00" personId="{91ddd612-48c2-41c6-a628-68f42b3a1fa2}" id="{f2499d80-800d-4b18-a53d-2924a3b2cf96}" done="0">
    <x18tc:text xml:space="preserve">11.20 As per ETA3 new COE is 11.26</x18tc:text>
  </x18tc:threadedComment>
  <x18tc:threadedComment ref="A1" dT="2025-12-01T18:32:55.00" personId="{91ddd612-48c2-41c6-a628-68f42b3a1fa2}" id="{e38992ce-516a-4e00-ad5b-898e420275e1}" parentId="{f2499d80-800d-4b18-a53d-2924a3b2cf96}">
    <x18tc:text xml:space="preserve">12.1 New ETA4 to close Dec 1.</x18tc:text>
  </x18tc:threadedComment>
  <x18tc:threadedComment ref="A1" dT="2025-10-23T22:29:38.00" personId="{d4b03686-3bed-491a-bd12-3b942153f8f5}" id="{2d20252a-bee3-47d5-87a6-311ef127a9f8}" done="0">
    <x18tc:text xml:space="preserve">HATTIE AVE @isabel@coryhometeam.com VERIFIED
Assigned to isabel@coryhometeam.com</x18tc:text>
    <x18tc:mentions>
      <x18tc:mention mentionpersonId="{7d00647f-be2a-4639-a5f7-08a67118a5cf}" mentionId="{251c3889-1276-458d-b923-762fd897d098}" startIndex="11" length="24"/>
    </x18tc:mentions>
  </x18tc:threadedComment>
  <x18tc:threadedComment ref="A1" dT="2025-08-01T16:20:20.00" personId="{91ddd612-48c2-41c6-a628-68f42b3a1fa2}" id="{df636135-c8f8-49a9-a750-b25f7d94a65c}" done="0">
    <x18tc:text xml:space="preserve">3911 Bryce Ct 
8.1 Per BA: We waiting for seller to provide termite Report then send RR.</x18tc:text>
  </x18tc:threadedComment>
  <x18tc:threadedComment ref="A1" dT="2026-04-20T12:51:24.00" personId="{91ddd612-48c2-41c6-a628-68f42b3a1fa2}" id="{db097d03-9427-457d-a394-004f924a5022}" done="0">
    <x18tc:text xml:space="preserve">16667 Snowdrop Ln #2
AM verified.
@isabel@coryhometeam.com
@kenia@coryhometeam.com
4.20 CI sent to Escrow.
Assigned to isabel@coryhometeam.com</x18tc:text>
    <x18tc:mentions>
      <x18tc:mention mentionpersonId="{7d00647f-be2a-4639-a5f7-08a67118a5cf}" mentionId="{f2a080ff-bf63-46df-96cd-4302d3887a20}" startIndex="34" length="24"/>
      <x18tc:mention mentionpersonId="{c2b0de28-3b31-4aa3-82a3-f8aba187b3e9}" mentionId="{bb178784-19ab-40d0-a8b2-37c35cd27edf}" startIndex="59" length="23"/>
    </x18tc:mentions>
  </x18tc:threadedComment>
  <x18tc:threadedComment ref="A1" dT="2025-08-01T16:17:52.00" personId="{91ddd612-48c2-41c6-a628-68f42b3a1fa2}" id="{357af2ef-330e-4dad-afd2-819026d1d855}" done="0">
    <x18tc:text xml:space="preserve">201 S Pennsylvania
8.1 Per BA TC an ETA COE 8.11 or sooner will follow.</x18tc:text>
  </x18tc:threadedComment>
  <x18tc:threadedComment ref="A1" dT="2025-08-07T16:21:31.00" personId="{91ddd612-48c2-41c6-a628-68f42b3a1fa2}" id="{01fea302-7398-4f37-aeaa-3c2d22493659}" parentId="{357af2ef-330e-4dad-afd2-819026d1d855}">
    <x18tc:text xml:space="preserve">8.7 New COE per ETA is 8.15</x18tc:text>
  </x18tc:threadedComment>
  <x18tc:threadedComment ref="A1" dT="2025-02-03T22:44:00.00" personId="{d4b03686-3bed-491a-bd12-3b942153f8f5}" id="{eb4e3355-36b1-4880-be6b-2665263376a3}" done="0">
    <x18tc:text xml:space="preserve">All parties agree purchase price to be $800K as per ADM #1</x18tc:text>
  </x18tc:threadedComment>
  <x18tc:threadedComment ref="A1" dT="2025-08-26T21:38:49.00" personId="{686b49bf-83f4-411b-b0f1-f0e341680f5a}" id="{964f55a8-322f-4032-a34c-75b7240d3f72}" done="0">
    <x18tc:text xml:space="preserve">Buyer lender on the sale property (Oakland #42) needs 2-3 days to review before funding. Docs were received 08/25.</x18tc:text>
  </x18tc:threadedComment>
  <x18tc:threadedComment ref="A1" dT="2025-08-28T23:18:55.00" personId="{686b49bf-83f4-411b-b0f1-f0e341680f5a}" id="{d1bcc056-0fd5-4f3a-b710-ac134fe26c35}" parentId="{964f55a8-322f-4032-a34c-75b7240d3f72}">
    <x18tc:text xml:space="preserve">Delays with the Buyers on the sale property (Oakland #42). Docs were incorrect and they need to redraw docs.</x18tc:text>
  </x18tc:threadedComment>
  <x18tc:threadedComment ref="A1" dT="2025-11-11T21:50:14.00" personId="{686b49bf-83f4-411b-b0f1-f0e341680f5a}" id="{1d9d10eb-8a65-4830-9b50-40e0f5ae1ba1}" done="0">
    <x18tc:text xml:space="preserve">Off the top - Difference in guaranteed Home Warranty coverage.</x18tc:text>
  </x18tc:threadedComment>
  <x18tc:threadedComment ref="A1" dT="2025-05-30T22:13:49.00" personId="{91ddd612-48c2-41c6-a628-68f42b3a1fa2}" id="{b5380456-2873-4940-a22a-fecf0aa9316a}" done="0">
    <x18tc:text xml:space="preserve">5.30 I'm not sure why it went missing from the TS. I was notified by Isabel and have re-entered the information as of 5/30.
@isabel@coryhometeam.com</x18tc:text>
    <x18tc:mentions>
      <x18tc:mention mentionpersonId="{7d00647f-be2a-4639-a5f7-08a67118a5cf}" mentionId="{9e273f93-8cb3-4d5e-956e-6995e66dfe00}" startIndex="124" length="24"/>
    </x18tc:mentions>
  </x18tc:threadedComment>
  <x18tc:threadedComment ref="A1" dT="2025-07-25T20:09:29.00" personId="{d4b03686-3bed-491a-bd12-3b942153f8f5}" id="{439d4237-8d80-4ea4-8a26-14a14eda995a}" done="0">
    <x18tc:text xml:space="preserve">17 Days after the Seller delivers written notice removing the SPRP</x18tc:text>
  </x18tc:threadedComment>
  <x18tc:threadedComment ref="A1" dT="2025-10-11T00:04:27.00" personId="{d4b03686-3bed-491a-bd12-3b942153f8f5}" id="{40032895-658c-4115-97aa-14fdfcb431f4}" done="0">
    <x18tc:text xml:space="preserve">COSMO WAY @isabel@coryhometeam.com VERIFIED
Assigned to isabel@coryhometeam.com</x18tc:text>
    <x18tc:mentions>
      <x18tc:mention mentionpersonId="{7d00647f-be2a-4639-a5f7-08a67118a5cf}" mentionId="{0f9e7d7b-bf93-4e44-9d95-b36e54a3cd54}" startIndex="10" length="24"/>
    </x18tc:mentions>
  </x18tc:threadedComment>
  <x18tc:threadedComment ref="A1" dT="2025-07-25T20:09:32.00" personId="{d4b03686-3bed-491a-bd12-3b942153f8f5}" id="{01e236b3-793a-4f6f-9d43-ff8f9b06ed9d}" done="0">
    <x18tc:text xml:space="preserve">17 Days after the Seller delivers written notice removing the SPRP</x18tc:text>
  </x18tc:threadedComment>
  <x18tc:threadedComment ref="C35" dT="2026-06-09T21:56:21.00" personId="{5a7b7df7-22eb-4b3a-a492-7d9d82a49202}" id="{fcec030e-eebc-4045-9b4f-23d1a0129b02}" done="1">
    <x18tc:text xml:space="preserve">@alexis@coryhometeam.com commission adjustment to $20k FLAT
Assigned to alexis@coryhometeam.com</x18tc:text>
    <x18tc:mentions>
      <x18tc:mention mentionpersonId="{e0ede1ef-7aee-4904-9f47-62fb26fea2cd}" mentionId="{08a71f11-00d5-452a-a289-a7ae0056e867}" startIndex="0" length="24"/>
    </x18tc:mentions>
  </x18tc:threadedComment>
  <x18tc:threadedComment ref="C35" dT="2026-06-10T06:03:01.00" personId="{686b49bf-83f4-411b-b0f1-f0e341680f5a}" id="{eff12e48-1a0f-44ae-a6a1-f80685073f63}" parentId="{fcec030e-eebc-4045-9b4f-23d1a0129b02}">
    <x18tc:text xml:space="preserve">@blake@coryhometeam.com I have a MT prepared to send in the morning. I want to explain it to Ryan and Grace before I send it.</x18tc:text>
    <x18tc:mentions>
      <x18tc:mention mentionpersonId="{692ffb8d-e972-4767-8b2a-269aef06e0df}" mentionId="{c4634195-e766-469e-a36e-cffe2986ccf7}" startIndex="0" length="23"/>
    </x18tc:mentions>
  </x18tc:threadedComment>
  <x18tc:threadedComment ref="C35" dT="2026-06-10T13:13:53.00" personId="{5a7b7df7-22eb-4b3a-a492-7d9d82a49202}" id="{edef0d02-e3a0-44c9-9750-907b599b9626}" parentId="{fcec030e-eebc-4045-9b4f-23d1a0129b02}">
    <x18tc:text xml:space="preserve">@alexis
Marked as done</x18tc:text>
  </x18tc:threadedComment>
  <x18tc:threadedComment ref="A1" dT="2025-10-16T16:54:02.00" personId="{91ddd612-48c2-41c6-a628-68f42b3a1fa2}" id="{0cf39054-b208-419b-8c17-c8f42d86b299}" done="0">
    <x18tc:text xml:space="preserve">10.16 The buyer had changed lender from Chase to Rocket Mortgage.</x18tc:text>
  </x18tc:threadedComment>
  <x18tc:threadedComment ref="A1" dT="2025-10-11T00:02:18.00" personId="{d4b03686-3bed-491a-bd12-3b942153f8f5}" id="{1c2f146a-aafa-4ec3-bee3-5bff6cadda3d}" done="0">
    <x18tc:text xml:space="preserve">ROYLENE DR @isabel@coryhometeam.com VERIFIED
Assigned to isabel@coryhometeam.com</x18tc:text>
    <x18tc:mentions>
      <x18tc:mention mentionpersonId="{7d00647f-be2a-4639-a5f7-08a67118a5cf}" mentionId="{8726cd39-02aa-4311-b014-43fdeea95053}" startIndex="11" length="24"/>
    </x18tc:mentions>
  </x18tc:threadedComment>
  <x18tc:threadedComment ref="A1" dT="2025-07-25T20:09:36.00" personId="{d4b03686-3bed-491a-bd12-3b942153f8f5}" id="{de08e637-dcf3-426b-9adb-b9c1edcc8aa6}" done="0">
    <x18tc:text xml:space="preserve">17 Days after the Seller delivers written notice removing the SPRP</x18tc:text>
  </x18tc:threadedComment>
  <x18tc:threadedComment ref="A1" dT="2025-05-30T22:21:58.00" personId="{d4b03686-3bed-491a-bd12-3b942153f8f5}" id="{d3b7b323-49d4-4958-a6dc-149213efbec2}" done="0">
    <x18tc:text xml:space="preserve">VIA FANAL @isabel@coryhometeam.com VERIFIED
Assigned to isabel@coryhometeam.com</x18tc:text>
    <x18tc:mentions>
      <x18tc:mention mentionpersonId="{7d00647f-be2a-4639-a5f7-08a67118a5cf}" mentionId="{a28020e3-5a0c-4d76-b499-68b28beca329}" startIndex="10" length="24"/>
    </x18tc:mentions>
  </x18tc:threadedComment>
  <x18tc:threadedComment ref="A1" dT="2025-08-01T18:54:24.00" personId="{91ddd612-48c2-41c6-a628-68f42b3a1fa2}" id="{60ecc1d3-c641-45bc-8b7b-934188eeebce}" done="0">
    <x18tc:text xml:space="preserve">16702 Canoe Cove
AM verified.
8.1 CI sent to Escrow.
@isabel@coryhometeam.com 
@kenia@coryhometeam.com
Assigned to isabel@coryhometeam.com</x18tc:text>
    <x18tc:mentions>
      <x18tc:mention mentionpersonId="{7d00647f-be2a-4639-a5f7-08a67118a5cf}" mentionId="{5bee5354-9745-49d9-a0f9-51ad5e9ff057}" startIndex="53" length="24"/>
      <x18tc:mention mentionpersonId="{c2b0de28-3b31-4aa3-82a3-f8aba187b3e9}" mentionId="{86892c6e-e694-4614-87a6-fe933be09f9e}" startIndex="79" length="23"/>
    </x18tc:mentions>
  </x18tc:threadedComment>
  <x18tc:threadedComment ref="A1" dT="2025-03-06T18:47:53.00" personId="{d4b03686-3bed-491a-bd12-3b942153f8f5}" id="{d8e0077f-335d-4ee3-8995-9f5385dd1dc3}" done="0">
    <x18tc:text xml:space="preserve">KNOLLWOOD ST @isabel@coryhometeam.com VERIFIED
Assigned to isabel@coryhometeam.com</x18tc:text>
    <x18tc:mentions>
      <x18tc:mention mentionpersonId="{7d00647f-be2a-4639-a5f7-08a67118a5cf}" mentionId="{39538f17-9634-422f-be96-84db13ccf70e}" startIndex="13" length="24"/>
    </x18tc:mentions>
  </x18tc:threadedComment>
  <x18tc:threadedComment ref="A1" dT="2025-07-25T16:26:10.00" personId="{91ddd612-48c2-41c6-a628-68f42b3a1fa2}" id="{eae2ebe9-d09a-411b-858b-4325d2a1fbc2}" done="0">
    <x18tc:text xml:space="preserve">3911 Bryce Ct 
AM verified.
@isabel@coryhometeam.com 
@kenia@coryhometeam.com 
7.25 CI sent to Escrow.
Assigned to isabel@coryhometeam.com</x18tc:text>
    <x18tc:mentions>
      <x18tc:mention mentionpersonId="{7d00647f-be2a-4639-a5f7-08a67118a5cf}" mentionId="{be9b8525-7bde-4367-98f7-c092b5b6b37a}" startIndex="28" length="24"/>
      <x18tc:mention mentionpersonId="{c2b0de28-3b31-4aa3-82a3-f8aba187b3e9}" mentionId="{aaf91204-8de8-4ed9-b72e-df4d93ff2943}" startIndex="54" length="23"/>
    </x18tc:mentions>
  </x18tc:threadedComment>
  <x18tc:threadedComment ref="A1" dT="2025-07-15T17:34:10.00" personId="{91ddd612-48c2-41c6-a628-68f42b3a1fa2}" id="{57a376f7-6542-4d40-bc74-2b7925287fe2}" done="0">
    <x18tc:text xml:space="preserve">7.15 Except mobile park.</x18tc:text>
  </x18tc:threadedComment>
  <x18tc:threadedComment ref="A1" dT="2025-04-01T00:37:25.00" personId="{686b49bf-83f4-411b-b0f1-f0e341680f5a}" id="{7fab7eb0-2af7-43ca-b4c0-4ca09738170d}" done="0">
    <x18tc:text xml:space="preserve">Per Alexandra 03/31/25
The underwriter called the loan officer and will not accept some type of payment arrangement on a collection of theirs. They are trying to work through this but it’s definitely going to be pushed out a bit.</x18tc:text>
  </x18tc:threadedComment>
  <x18tc:threadedComment ref="A1" dT="2025-10-10T23:57:39.00" personId="{d4b03686-3bed-491a-bd12-3b942153f8f5}" id="{d2a867de-8b98-4226-9ed7-5169879da3cb}" done="0">
    <x18tc:text xml:space="preserve">DELFINA WAY @isabel@coryhometeam.com VERIFIED
Assigned to isabel@coryhometeam.com</x18tc:text>
    <x18tc:mentions>
      <x18tc:mention mentionpersonId="{7d00647f-be2a-4639-a5f7-08a67118a5cf}" mentionId="{7b49dea4-aa48-4901-aab1-1d2340d919f1}" startIndex="12" length="24"/>
    </x18tc:mentions>
  </x18tc:threadedComment>
  <x18tc:threadedComment ref="A1" dT="2025-07-15T18:12:07.00" personId="{91ddd612-48c2-41c6-a628-68f42b3a1fa2}" id="{c8b4c131-4871-4b5b-8506-c11c3da8afa1}" done="0">
    <x18tc:text xml:space="preserve">HELOC</x18tc:text>
  </x18tc:threadedComment>
  <x18tc:threadedComment ref="A1" dT="2025-03-06T17:47:09.00" personId="{91ddd612-48c2-41c6-a628-68f42b3a1fa2}" id="{880680b8-d6b1-41d6-831d-f031e611f3e7}" done="0">
    <x18tc:text xml:space="preserve">AM verified.
@isabel@coryhometeam.com 
@kenia@coryhometeam.com 
3.6 CI sent to Escrow.
Assigned to isabel@coryhometeam.com</x18tc:text>
    <x18tc:mentions>
      <x18tc:mention mentionpersonId="{7d00647f-be2a-4639-a5f7-08a67118a5cf}" mentionId="{d8e133b9-40fa-40d4-85a1-cdcd75f9bbc1}" startIndex="13" length="24"/>
      <x18tc:mention mentionpersonId="{c2b0de28-3b31-4aa3-82a3-f8aba187b3e9}" mentionId="{68906297-2f5f-44a7-aadf-ba7d1b39afef}" startIndex="39" length="23"/>
    </x18tc:mentions>
  </x18tc:threadedComment>
  <x18tc:threadedComment ref="A1" dT="2025-06-25T16:56:02.00" personId="{70ef93c1-8205-4a4b-b2d2-ae0f451d890c}" id="{8336db16-7c5b-45d5-803a-e631821f97fb}" done="0">
    <x18tc:text xml:space="preserve">6/22-6/24</x18tc:text>
  </x18tc:threadedComment>
  <x18tc:threadedComment ref="A1" dT="2025-06-25T17:01:38.00" personId="{70ef93c1-8205-4a4b-b2d2-ae0f451d890c}" id="{963b6f90-0a31-414f-a5a4-6f798e90f472}" done="0">
    <x18tc:text xml:space="preserve">6/19</x18tc:text>
  </x18tc:threadedComment>
  <x18tc:threadedComment ref="A1" dT="2025-08-27T18:50:45.00" personId="{686b49bf-83f4-411b-b0f1-f0e341680f5a}" id="{1de62b0a-2cfd-4875-a756-fdadbeef09aa}" done="0">
    <x18tc:text xml:space="preserve">A second solar loan was found just before contract COE and it is still being negotiated to resolve.</x18tc:text>
  </x18tc:threadedComment>
  <x18tc:threadedComment ref="A1" dT="2025-06-25T17:03:06.00" personId="{70ef93c1-8205-4a4b-b2d2-ae0f451d890c}" id="{aa686980-40e6-48a0-b297-27ad7ed0eca6}" done="0">
    <x18tc:text xml:space="preserve">5/31/2025</x18tc:text>
  </x18tc:threadedComment>
  <x18tc:threadedComment ref="A1" dT="2025-12-18T23:05:17.00" personId="{91ddd612-48c2-41c6-a628-68f42b3a1fa2}" id="{b2c6b757-de1a-4e33-80d4-57e655e84f51}" done="0">
    <x18tc:text xml:space="preserve">12.18 CR2 except Solar and HOA.</x18tc:text>
  </x18tc:threadedComment>
  <x18tc:threadedComment ref="A1" dT="2025-06-25T17:04:43.00" personId="{70ef93c1-8205-4a4b-b2d2-ae0f451d890c}" id="{87515cec-3d8b-4279-b000-577a8ad4f938}" done="0">
    <x18tc:text xml:space="preserve">7/2/2025</x18tc:text>
  </x18tc:threadedComment>
  <x18tc:threadedComment ref="A1" dT="2025-04-23T16:01:01.00" personId="{91ddd612-48c2-41c6-a628-68f42b3a1fa2}" id="{0a24af61-2764-48cf-bc85-0bf77489b853}" done="0">
    <x18tc:text xml:space="preserve">AM verified.
@isabel@coryhometeam.com 
@kenia@coryhometeam.com 
4.23 CI sent to Escrow.
Assigned to isabel@coryhometeam.com</x18tc:text>
    <x18tc:mentions>
      <x18tc:mention mentionpersonId="{7d00647f-be2a-4639-a5f7-08a67118a5cf}" mentionId="{4259e249-e3d3-4fc6-9f47-80886442c0b7}" startIndex="13" length="24"/>
      <x18tc:mention mentionpersonId="{c2b0de28-3b31-4aa3-82a3-f8aba187b3e9}" mentionId="{926fac40-5c40-407c-b284-d307810bc002}" startIndex="39" length="23"/>
    </x18tc:mentions>
  </x18tc:threadedComment>
  <x18tc:threadedComment ref="A1" dT="2025-04-14T18:27:10.00" personId="{91ddd612-48c2-41c6-a628-68f42b3a1fa2}" id="{c1bc3ffe-f564-40e4-8ac4-3dbe33ab8c57}" done="0">
    <x18tc:text xml:space="preserve">4.14 Price increased from 25k to $28,500 as per ADM2.</x18tc:text>
  </x18tc:threadedComment>
  <x18tc:threadedComment ref="A1" dT="2025-04-21T05:28:37.00" personId="{91ddd612-48c2-41c6-a628-68f42b3a1fa2}" id="{a87378c1-5569-4ed5-b2b1-927dd3c2ddbc}" parentId="{c1bc3ffe-f564-40e4-8ac4-3dbe33ab8c57}">
    <x18tc:text xml:space="preserve">4.20 New purchase price at 35K per ADM3.</x18tc:text>
  </x18tc:threadedComment>
  <x18tc:threadedComment ref="AT10" dT="2026-06-05T16:49:07.00" personId="{91ddd612-48c2-41c6-a628-68f42b3a1fa2}" id="{2ac18436-e0f8-468e-9d51-d818e70184d2}" done="0">
    <x18tc:text xml:space="preserve">1040 Sapphire Ln
AM verified.
@isabel@coryhometeam.com
@kenia@coryhometeam.com
6.5 CI sent to Escrow.</x18tc:text>
    <x18tc:mentions>
      <x18tc:mention mentionpersonId="{7d00647f-be2a-4639-a5f7-08a67118a5cf}" mentionId="{eb2e973f-a974-4cc5-ad68-314dd26f26e1}" startIndex="30" length="24"/>
      <x18tc:mention mentionpersonId="{c2b0de28-3b31-4aa3-82a3-f8aba187b3e9}" mentionId="{5f890c4b-b9a5-4daa-9661-b66a4e6a74be}" startIndex="55" length="23"/>
    </x18tc:mentions>
  </x18tc:threadedComment>
  <x18tc:threadedComment ref="A1" dT="2025-11-03T20:25:51.00" personId="{283cbab7-8785-4d8a-9d80-ae85deef9da8}" id="{2291253f-2182-403b-8e36-ac476c59717f}" done="0">
    <x18tc:text xml:space="preserve">RE: Sierra Seneca / Buyer Loan Docs / 42590-JW
External
Inbox
Jacquie Williams
11:00 AM (1 hour ago)
to Kendra, me, Taylor, Isela
Good morning Ladies –
I need a new CDA with Kendra covering the Seller coverage on the HW as stated below. Seller Coverage is $84.76. 
Thanks!</x18tc:text>
  </x18tc:threadedComment>
  <x18tc:threadedComment ref="A1" dT="2025-08-26T16:58:21.00" personId="{91ddd612-48c2-41c6-a628-68f42b3a1fa2}" id="{70c6ce8f-7d4e-4142-ba07-08fa0d07a19e}" done="0">
    <x18tc:text xml:space="preserve">125 Moneda Court
AM verified.
@isabel@coryhometeam.com
@kenia@coryhometeam.com
8.26 CI sent to Escrow.
Assigned to isabel@coryhometeam.com</x18tc:text>
    <x18tc:mentions>
      <x18tc:mention mentionpersonId="{7d00647f-be2a-4639-a5f7-08a67118a5cf}" mentionId="{485f5eed-99fa-4101-85d5-e96f65072912}" startIndex="30" length="24"/>
      <x18tc:mention mentionpersonId="{c2b0de28-3b31-4aa3-82a3-f8aba187b3e9}" mentionId="{d3f480b5-ed55-420f-ae1f-2f2e01b3f4a3}" startIndex="55" length="23"/>
    </x18tc:mentions>
  </x18tc:threadedComment>
  <x18tc:threadedComment ref="A1" dT="2025-06-25T21:46:25.00" personId="{91ddd612-48c2-41c6-a628-68f42b3a1fa2}" id="{90da4224-2b02-44c7-80f3-889829b2a120}" done="0">
    <x18tc:text xml:space="preserve">1920 Calle Buena Ventura
AM verified.
@isabel@coryhometeam.com 
@kenia@coryhometeam.com 
6.25 CI sent to Escrow.
Assigned to isabel@coryhometeam.com</x18tc:text>
    <x18tc:mentions>
      <x18tc:mention mentionpersonId="{7d00647f-be2a-4639-a5f7-08a67118a5cf}" mentionId="{6fe0fcaa-6c1a-4c42-a86a-596dda064b74}" startIndex="38" length="24"/>
      <x18tc:mention mentionpersonId="{c2b0de28-3b31-4aa3-82a3-f8aba187b3e9}" mentionId="{4ab39bbe-dca0-4959-898a-ccc536fb07bc}" startIndex="64" length="23"/>
    </x18tc:mentions>
  </x18tc:threadedComment>
  <x18tc:threadedComment ref="A1" dT="2025-06-25T23:38:03.00" personId="{91ddd612-48c2-41c6-a628-68f42b3a1fa2}" id="{6ef426a2-83cd-470f-ab70-7b22db06cf1e}" done="0">
    <x18tc:text xml:space="preserve">0 Nandina
AM verified.
@isabel@coryhometeam.com 
@kenia@coryhometeam.com 
6.25 CI sent to Escrow.
Assigned to isabel@coryhometeam.com</x18tc:text>
    <x18tc:mentions>
      <x18tc:mention mentionpersonId="{7d00647f-be2a-4639-a5f7-08a67118a5cf}" mentionId="{e1fe4b58-f960-40b5-9b7e-3633c7bae229}" startIndex="23" length="24"/>
      <x18tc:mention mentionpersonId="{c2b0de28-3b31-4aa3-82a3-f8aba187b3e9}" mentionId="{3557fd1d-079b-43dd-9b51-692b0a601821}" startIndex="49" length="23"/>
    </x18tc:mentions>
  </x18tc:threadedComment>
  <x18tc:threadedComment ref="A1" dT="2025-08-26T19:02:03.00" personId="{91ddd612-48c2-41c6-a628-68f42b3a1fa2}" id="{3f000262-339b-477c-85ff-affa3218e9ec}" done="0">
    <x18tc:text xml:space="preserve">33340 Gisborne Way
8.26 COE extended to 8.29 as per ETA.</x18tc:text>
  </x18tc:threadedComment>
  <x18tc:threadedComment ref="A1" dT="2025-09-02T22:51:18.00" personId="{91ddd612-48c2-41c6-a628-68f42b3a1fa2}" id="{b8011c77-fcd3-4e64-bdb1-47398ab0b414}" parentId="{3f000262-339b-477c-85ff-affa3218e9ec}">
    <x18tc:text xml:space="preserve">9.2 New COE is 9.4. Please see new ETA2 form.</x18tc:text>
  </x18tc:threadedComment>
  <x18tc:threadedComment ref="A1" dT="2025-08-26T20:09:35.00" personId="{686b49bf-83f4-411b-b0f1-f0e341680f5a}" id="{d288d736-842c-480c-a006-6e15230cd969}" done="0">
    <x18tc:text xml:space="preserve">CD went out 08/25, docs are expected on 08/28 for signing to fund and close 08/29.</x18tc:text>
  </x18tc:threadedComment>
  <x18tc:threadedComment ref="A1" dT="2025-08-28T23:03:23.00" personId="{686b49bf-83f4-411b-b0f1-f0e341680f5a}" id="{94933fe7-0b65-4c35-aacf-f8783c2ff08b}" parentId="{d288d736-842c-480c-a006-6e15230cd969}">
    <x18tc:text xml:space="preserve">Per escrow email 08/28/25
Just heard back from the lender on this one –
The file was randomly selected fo QC review byt the lender. Once that is completed I will have an idea on the docs.</x18tc:text>
  </x18tc:threadedComment>
  <x18tc:threadedComment ref="A1" dT="2025-08-05T19:00:43.00" personId="{91ddd612-48c2-41c6-a628-68f42b3a1fa2}" id="{2196055e-d631-4329-9fc2-83da9f618e68}" done="0">
    <x18tc:text xml:space="preserve">16022 Cascade Dr
AM verified.
@isabel@coryhometeam.com 
@kenia@coryhometeam.com 
8.5 CI sent to Escrow.
Assigned to isabel@coryhometeam.com</x18tc:text>
    <x18tc:mentions>
      <x18tc:mention mentionpersonId="{7d00647f-be2a-4639-a5f7-08a67118a5cf}" mentionId="{69bae954-1da3-43d4-9354-b8bbf5ff1299}" startIndex="30" length="24"/>
      <x18tc:mention mentionpersonId="{c2b0de28-3b31-4aa3-82a3-f8aba187b3e9}" mentionId="{d5e14c4f-de8c-4cb1-9fc2-bd61f5b2a112}" startIndex="56" length="23"/>
    </x18tc:mentions>
  </x18tc:threadedComment>
  <x18tc:threadedComment ref="A1" dT="2025-03-06T23:56:45.00" personId="{d4b03686-3bed-491a-bd12-3b942153f8f5}" id="{c3b74751-fa3e-4091-8bab-726999af5860}" done="0">
    <x18tc:text xml:space="preserve">CLOVIS ST @isabel@coryhometeam.com VERIFIED
Assigned to isabel@coryhometeam.com</x18tc:text>
    <x18tc:mentions>
      <x18tc:mention mentionpersonId="{7d00647f-be2a-4639-a5f7-08a67118a5cf}" mentionId="{9bed20b7-8277-4b46-bc36-13afdd7078db}" startIndex="10" length="24"/>
    </x18tc:mentions>
  </x18tc:threadedComment>
  <x18tc:threadedComment ref="A1" dT="2025-07-15T15:53:43.00" personId="{91ddd612-48c2-41c6-a628-68f42b3a1fa2}" id="{6db99e66-392f-410f-8edd-cf5fd46ccf93}" done="0">
    <x18tc:text xml:space="preserve">0 Spring Creek Rd
7.15 ETA COE 7.18 or sooner.</x18tc:text>
  </x18tc:threadedComment>
  <x18tc:threadedComment ref="A1" dT="2025-07-23T20:35:43.00" personId="{91ddd612-48c2-41c6-a628-68f42b3a1fa2}" id="{b685b635-7637-4e93-b330-03938f411c52}" parentId="{6db99e66-392f-410f-8edd-cf5fd46ccf93}">
    <x18tc:text xml:space="preserve">7.23 New COE per ETA2 COE 7.25.</x18tc:text>
  </x18tc:threadedComment>
  <x18tc:threadedComment ref="A1" dT="2025-07-25T16:16:18.00" personId="{686b49bf-83f4-411b-b0f1-f0e341680f5a}" id="{364a8ede-df38-443b-987d-0fa0ad8784e2}" done="0">
    <x18tc:text xml:space="preserve">This is off the top. Home Warranty Coverage for Seller coverage.</x18tc:text>
  </x18tc:threadedComment>
  <x18tc:threadedComment ref="A1" dT="2025-07-15T16:26:11.00" personId="{91ddd612-48c2-41c6-a628-68f42b3a1fa2}" id="{ac01cc1d-f46a-4f80-b2ee-4402636c83b3}" done="0">
    <x18tc:text xml:space="preserve">16568 San Juan Ct
AM verified.
@isabel@coryhometeam.com 
@kenia@coryhometeam.com 
7.15 CI sent to Escrow.
Assigned to isabel@coryhometeam.com</x18tc:text>
    <x18tc:mentions>
      <x18tc:mention mentionpersonId="{7d00647f-be2a-4639-a5f7-08a67118a5cf}" mentionId="{2ad0b1c5-7679-488c-8192-e686a20ce001}" startIndex="31" length="24"/>
      <x18tc:mention mentionpersonId="{c2b0de28-3b31-4aa3-82a3-f8aba187b3e9}" mentionId="{4b181602-6b8d-45f2-b2b9-7b3fbcc3e99c}" startIndex="57" length="23"/>
    </x18tc:mentions>
  </x18tc:threadedComment>
  <x18tc:threadedComment ref="A1" dT="2025-07-25T16:20:36.00" personId="{91ddd612-48c2-41c6-a628-68f42b3a1fa2}" id="{413f6bef-0ef5-4c9d-8b22-127ee6afa104}" done="0">
    <x18tc:text xml:space="preserve">67470 Quijo Rd
AM verified.
@isabel@coryhometeam.com 
@kenia@coryhometeam.com 
7.25 CI sent to Escrow.
Assigned to isabel@coryhometeam.com</x18tc:text>
    <x18tc:mentions>
      <x18tc:mention mentionpersonId="{7d00647f-be2a-4639-a5f7-08a67118a5cf}" mentionId="{ff76eaa0-c781-4380-8a72-422aabd25fed}" startIndex="28" length="24"/>
      <x18tc:mention mentionpersonId="{c2b0de28-3b31-4aa3-82a3-f8aba187b3e9}" mentionId="{60c5aa5f-f969-402e-845e-574f8cc653bb}" startIndex="54" length="23"/>
    </x18tc:mentions>
  </x18tc:threadedComment>
  <x18tc:threadedComment ref="A1" dT="2025-06-25T20:16:19.00" personId="{91ddd612-48c2-41c6-a628-68f42b3a1fa2}" id="{846933b9-9b24-48dd-8f7c-e71aed5b8064}" done="0">
    <x18tc:text xml:space="preserve">901 S Sixth Ave # 195
AM verified.
@isabel@coryhometeam.com 
@kenia@coryhometeam.com 
6.25 CI sent to Escrow.
Assigned to isabel@coryhometeam.com</x18tc:text>
    <x18tc:mentions>
      <x18tc:mention mentionpersonId="{7d00647f-be2a-4639-a5f7-08a67118a5cf}" mentionId="{cf51210c-34b2-4bd1-ae2a-247b4aa7c01b}" startIndex="35" length="24"/>
      <x18tc:mention mentionpersonId="{c2b0de28-3b31-4aa3-82a3-f8aba187b3e9}" mentionId="{c72600fc-08ee-4a6b-9ecb-2ab15ecaa291}" startIndex="61" length="23"/>
    </x18tc:mentions>
  </x18tc:threadedComment>
  <x18tc:threadedComment ref="A1" dT="2025-04-23T20:19:15.00" personId="{686b49bf-83f4-411b-b0f1-f0e341680f5a}" id="{2153d942-f64d-420f-9286-562b5d4dac82}" done="1">
    <x18tc:text xml:space="preserve">@remy@coryhometeam.com This is a SOI for Mario. I updated it here, please let him know if he needs to do anything with FUB.
Assigned to remy@coryhometeam.com</x18tc:text>
    <x18tc:mentions>
      <x18tc:mention mentionpersonId="{5fc4901b-b525-40a8-b626-e780cd452fac}" mentionId="{f1602d51-ab75-484b-9ff0-6cc72ca0c0ba}" startIndex="0" length="22"/>
    </x18tc:mentions>
  </x18tc:threadedComment>
  <x18tc:threadedComment ref="A1" dT="2025-04-23T21:30:42.00" personId="{2c0b40a3-d34a-4e30-997b-e7e5451e40bb}" id="{ddc1cef2-219f-4d7c-896a-ca146d31bf13}" parentId="{2153d942-f64d-420f-9286-562b5d4dac82}">
    <x18tc:text xml:space="preserve">@alexis@coryhometeam.com 
Thanks for the heads-up.I already updated this in FUB.
Reassigned to alexis@coryhometeam.com</x18tc:text>
    <x18tc:mentions>
      <x18tc:mention mentionpersonId="{e0ede1ef-7aee-4904-9f47-62fb26fea2cd}" mentionId="{40223659-d8f0-41e2-8b14-53b0cbd628b5}" startIndex="0" length="24"/>
    </x18tc:mentions>
  </x18tc:threadedComment>
  <x18tc:threadedComment ref="A1" dT="2025-11-21T17:10:51.00" personId="{91ddd612-48c2-41c6-a628-68f42b3a1fa2}" id="{033a0ace-e63f-4a46-8e1a-633eea965339}" done="0">
    <x18tc:text xml:space="preserve">22813 Mirileste Dr
AM verified.
@isabel@coryhometeam.com
@kenia@coryhometeam.com
11.21 CI sent to Escrow.
Assigned to isabel@coryhometeam.com</x18tc:text>
    <x18tc:mentions>
      <x18tc:mention mentionpersonId="{7d00647f-be2a-4639-a5f7-08a67118a5cf}" mentionId="{b406d856-9002-437d-b05c-2410d7602cc4}" startIndex="32" length="24"/>
      <x18tc:mention mentionpersonId="{c2b0de28-3b31-4aa3-82a3-f8aba187b3e9}" mentionId="{1a9d4411-6a6a-444b-9ed3-12bdf9c97113}" startIndex="57" length="23"/>
    </x18tc:mentions>
  </x18tc:threadedComment>
  <x18tc:threadedComment ref="A1" dT="2025-04-28T17:21:45.00" personId="{d4b03686-3bed-491a-bd12-3b942153f8f5}" id="{b37447b5-631d-400e-9de2-d8ed97ba8d62}" done="0">
    <x18tc:text xml:space="preserve">JARVIS ST @isabel@coryhometeam.com VERIFIED
Assigned to isabel@coryhometeam.com</x18tc:text>
    <x18tc:mentions>
      <x18tc:mention mentionpersonId="{7d00647f-be2a-4639-a5f7-08a67118a5cf}" mentionId="{b13b03dc-2938-4b7c-8581-4d1961ec37e3}" startIndex="10" length="24"/>
    </x18tc:mentions>
  </x18tc:threadedComment>
  <x18tc:threadedComment ref="A1" dT="2025-03-06T21:38:12.00" personId="{686b49bf-83f4-411b-b0f1-f0e341680f5a}" id="{70072293-ddb4-4699-9bb3-6afb93582629}" done="0">
    <x18tc:text xml:space="preserve">Pending park approval.</x18tc:text>
  </x18tc:threadedComment>
  <x18tc:threadedComment ref="A1" dT="2025-07-25T16:22:29.00" personId="{91ddd612-48c2-41c6-a628-68f42b3a1fa2}" id="{501f8f21-252e-4142-92ce-1afeabb85c7a}" done="0">
    <x18tc:text xml:space="preserve">13133 4th Ave
AM verified.
@isabel@coryhometeam.com 
@kenia@coryhometeam.com 
7.25 CI sent to Escrow.
Assigned to isabel@coryhometeam.com</x18tc:text>
    <x18tc:mentions>
      <x18tc:mention mentionpersonId="{7d00647f-be2a-4639-a5f7-08a67118a5cf}" mentionId="{be15130b-8674-45e8-89f6-eb64f50209b1}" startIndex="27" length="24"/>
      <x18tc:mention mentionpersonId="{c2b0de28-3b31-4aa3-82a3-f8aba187b3e9}" mentionId="{bc786cdd-6c3e-449b-b342-46c4a9f9f742}" startIndex="53" length="23"/>
    </x18tc:mentions>
  </x18tc:threadedComment>
  <x18tc:threadedComment ref="A1" dT="2025-04-23T19:24:40.00" personId="{91ddd612-48c2-41c6-a628-68f42b3a1fa2}" id="{d0e7b6dd-b63b-484f-8975-e51a7cde7ea3}" done="0">
    <x18tc:text xml:space="preserve">4.23 Price decreased from $585,000 to $568,500 as per ADM1.</x18tc:text>
  </x18tc:threadedComment>
  <x18tc:threadedComment ref="A1" dT="2025-08-07T00:33:21.00" personId="{d4b03686-3bed-491a-bd12-3b942153f8f5}" id="{e0f0579c-06e2-4ae4-a35a-eaec9fa75326}" done="0">
    <x18tc:text xml:space="preserve">WASHINGTON DR. @isabel@coryhometeam.com VERIFIED
Assigned to isabel@coryhometeam.com</x18tc:text>
    <x18tc:mentions>
      <x18tc:mention mentionpersonId="{7d00647f-be2a-4639-a5f7-08a67118a5cf}" mentionId="{2432fcde-0d77-40c6-974a-800972d4d75b}" startIndex="15" length="24"/>
    </x18tc:mentions>
  </x18tc:threadedComment>
  <x18tc:threadedComment ref="A1" dT="2025-08-06T21:22:13.00" personId="{d4b03686-3bed-491a-bd12-3b942153f8f5}" id="{9787af80-b9d7-46f3-b898-6629a12d05b8}" done="0">
    <x18tc:text xml:space="preserve">SUNSET DR @isabel@coryhometeam.com VERIFIED
Assigned to isabel@coryhometeam.com</x18tc:text>
    <x18tc:mentions>
      <x18tc:mention mentionpersonId="{7d00647f-be2a-4639-a5f7-08a67118a5cf}" mentionId="{53941bc9-8685-4106-b4e2-c759dbfd0e63}" startIndex="10" length="24"/>
    </x18tc:mentions>
  </x18tc:threadedComment>
  <x18tc:threadedComment ref="A1" dT="2025-07-07T23:47:32.00" personId="{91ddd612-48c2-41c6-a628-68f42b3a1fa2}" id="{a0b07931-84df-4e45-bd26-08e19f34a746}" done="0">
    <x18tc:text xml:space="preserve">16425 Trailblazer Ave
AM verified.
@isabel@coryhometeam.com 
@kenia@coryhometeam.com 
7.7 CI sent to Escrow.
Assigned to isabel@coryhometeam.com</x18tc:text>
    <x18tc:mentions>
      <x18tc:mention mentionpersonId="{7d00647f-be2a-4639-a5f7-08a67118a5cf}" mentionId="{77c5b8c2-4ecc-400a-9e75-e0eb6ac79b93}" startIndex="35" length="24"/>
      <x18tc:mention mentionpersonId="{c2b0de28-3b31-4aa3-82a3-f8aba187b3e9}" mentionId="{f4b2262a-c6b9-4fe9-8ae1-8f3090ef13d5}" startIndex="61" length="23"/>
    </x18tc:mentions>
  </x18tc:threadedComment>
  <x18tc:threadedComment ref="A1" dT="2025-07-07T23:47:39.00" personId="{91ddd612-48c2-41c6-a628-68f42b3a1fa2}" id="{e790496a-8cf5-4c30-8a41-b80d4391d7e2}" done="0">
    <x18tc:text xml:space="preserve">16425 Trailblazer Ave
AM verified.
@isabel@coryhometeam.com 
@kenia@coryhometeam.com 
7.7 CI sent to Escrow.
Assigned to isabel@coryhometeam.com</x18tc:text>
    <x18tc:mentions>
      <x18tc:mention mentionpersonId="{7d00647f-be2a-4639-a5f7-08a67118a5cf}" mentionId="{1969b19c-6ed1-41cf-a5fd-98e3a0a0afb1}" startIndex="35" length="24"/>
      <x18tc:mention mentionpersonId="{c2b0de28-3b31-4aa3-82a3-f8aba187b3e9}" mentionId="{6f01f54d-794c-4f45-b6ff-f015321f9fde}" startIndex="61" length="23"/>
    </x18tc:mentions>
  </x18tc:threadedComment>
  <x18tc:threadedComment ref="A1" dT="2025-09-22T14:26:27.00" personId="{91ddd612-48c2-41c6-a628-68f42b3a1fa2}" id="{7c972c01-482a-4eeb-a574-505d79654330}" done="0">
    <x18tc:text xml:space="preserve">26561 Sun City Blvd
AM verified.
@isabel@coryhometeam.com
@kenia@coryhometeam.com
9.22 CI sent to Escrow.
Assigned to isabel@coryhometeam.com</x18tc:text>
    <x18tc:mentions>
      <x18tc:mention mentionpersonId="{7d00647f-be2a-4639-a5f7-08a67118a5cf}" mentionId="{a3610359-a05a-490d-bd8c-0454a172cd07}" startIndex="33" length="24"/>
      <x18tc:mention mentionpersonId="{c2b0de28-3b31-4aa3-82a3-f8aba187b3e9}" mentionId="{3488c578-46bc-4801-9a16-68b4f34db8ba}" startIndex="58" length="23"/>
    </x18tc:mentions>
  </x18tc:threadedComment>
  <x18tc:threadedComment ref="A1" dT="2025-06-03T14:08:04.00" personId="{91ddd612-48c2-41c6-a628-68f42b3a1fa2}" id="{1708a9c6-150c-42ae-96ca-cb32522def44}" done="0">
    <x18tc:text xml:space="preserve">6.3 Ana Espino removed from this transaction as per AOAA.</x18tc:text>
  </x18tc:threadedComment>
  <x18tc:threadedComment ref="A1" dT="2025-09-22T14:12:29.00" personId="{91ddd612-48c2-41c6-a628-68f42b3a1fa2}" id="{2e50b025-c690-4296-8696-8cc1425fe23e}" done="0">
    <x18tc:text xml:space="preserve">2160 W Rialto Ave #122
AM verified.
@isabel@coryhometeam.com
@kenia@coryhometeam.com
9.22 CI sent to Escrow.
Assigned to isabel@coryhometeam.com</x18tc:text>
    <x18tc:mentions>
      <x18tc:mention mentionpersonId="{7d00647f-be2a-4639-a5f7-08a67118a5cf}" mentionId="{cdee5e93-1639-42d6-87ab-7e5e7fe5aae7}" startIndex="36" length="24"/>
      <x18tc:mention mentionpersonId="{c2b0de28-3b31-4aa3-82a3-f8aba187b3e9}" mentionId="{a4312595-9591-4450-8beb-71f265c6bbbb}" startIndex="61" length="23"/>
    </x18tc:mentions>
  </x18tc:threadedComment>
  <x18tc:threadedComment ref="A1" dT="2025-06-19T17:46:54.00" personId="{283cbab7-8785-4d8a-9d80-ae85deef9da8}" id="{854ef886-4a6d-4c87-b11a-061b17e65816}" done="0">
    <x18tc:text xml:space="preserve">@aileen@coryhometeam.com 
When we got to market, this is not SHOWCASE so we will use CRMLS
Assigned to aileen@coryhometeam.com</x18tc:text>
    <x18tc:mentions>
      <x18tc:mention mentionpersonId="{d84aad15-fe10-4ace-a111-49c543015ec6}" mentionId="{3322ca2c-5716-4970-839e-dd6f88a8217a}" startIndex="0" length="24"/>
    </x18tc:mentions>
  </x18tc:threadedComment>
  <x18tc:threadedComment ref="A1" dT="2025-02-14T19:46:45.00" personId="{d4b03686-3bed-491a-bd12-3b942153f8f5}" id="{2eb3a6b0-fbd9-4ffb-90d5-65390eb8a4a9}" done="0">
    <x18tc:text xml:space="preserve">DERBY DR. @isabel@coryhometeam.com VERIFIED
Assigned to isabel@coryhometeam.com</x18tc:text>
    <x18tc:mentions>
      <x18tc:mention mentionpersonId="{7d00647f-be2a-4639-a5f7-08a67118a5cf}" mentionId="{8388dd2b-4694-46c5-956c-b440e7e8d415}" startIndex="10" length="24"/>
    </x18tc:mentions>
  </x18tc:threadedComment>
  <x18tc:threadedComment ref="A1" dT="2025-01-30T20:32:15.00" personId="{283cbab7-8785-4d8a-9d80-ae85deef9da8}" id="{77adf335-dff2-49b4-bd02-19049e18cd27}" done="0">
    <x18tc:text xml:space="preserve">1.30.25 Per Mario, please put on hold.
Reason: Family Emergency</x18tc:text>
  </x18tc:threadedComment>
  <x18tc:threadedComment ref="A1" dT="2025-08-07T00:39:34.00" personId="{d4b03686-3bed-491a-bd12-3b942153f8f5}" id="{65c1d451-1023-4b1b-9ba3-4ba5be1c14a1}" done="0">
    <x18tc:text xml:space="preserve">SENNA CT @isabel@coryhometeam.com VERIFIED
Assigned to isabel@coryhometeam.com</x18tc:text>
    <x18tc:mentions>
      <x18tc:mention mentionpersonId="{7d00647f-be2a-4639-a5f7-08a67118a5cf}" mentionId="{281091a3-0867-4769-bda0-40e43cb53ec2}" startIndex="9" length="24"/>
    </x18tc:mentions>
  </x18tc:threadedComment>
  <x18tc:threadedComment ref="A1" dT="2025-06-03T13:54:38.00" personId="{91ddd612-48c2-41c6-a628-68f42b3a1fa2}" id="{f0409f86-2b69-4b28-b8ca-95f9217a1fda}" done="0">
    <x18tc:text xml:space="preserve">23894 Sierra Dr
AM Verified.
@isabel@coryhometeam.com 
@kenia@coryhometeam.com 
6.3 CI sent to Escrow.
Assigned to isabel@coryhometeam.com</x18tc:text>
    <x18tc:mentions>
      <x18tc:mention mentionpersonId="{7d00647f-be2a-4639-a5f7-08a67118a5cf}" mentionId="{af6fb68e-2fda-4daa-aa58-f0d310724037}" startIndex="29" length="24"/>
      <x18tc:mention mentionpersonId="{c2b0de28-3b31-4aa3-82a3-f8aba187b3e9}" mentionId="{ef63ec36-58f5-4281-8080-50ad6e63748c}" startIndex="55" length="23"/>
    </x18tc:mentions>
  </x18tc:threadedComment>
  <x18tc:threadedComment ref="A1" dT="2025-11-19T18:52:21.00" personId="{91ddd612-48c2-41c6-a628-68f42b3a1fa2}" id="{a56274fb-24a2-44d6-83e4-772c57aafb7b}" done="0">
    <x18tc:text xml:space="preserve">11.9 Hi Kenia, I found out on Monday that 21st mortgage will not be doing the loan for Radford. She was approved for the loan but underwriting wanted a letter on park letterhead stating that Derek is park approved. Derek is not park approved as he is 48 years old. He is however occupant approved. The worry of underwriting is that if Andria passes away, Derek is not approved to live in the park and would have to sell. So therefore, they would not write the loan. I spoke with the listing agent, Sherrie Goldby and she is ok with Andria switching lenders. However, Sherrie had to get approval from the power of attorney for the seller. Sherrie also said there is a cash backup offer on the property. I left a message for Sherrie on Tuesday to check the status and I didn't hear back from her. I'm hoping I will hear from her today. I'll keep you posted.</x18tc:text>
  </x18tc:threadedComment>
  <x18tc:threadedComment ref="A1" dT="2025-11-20T17:13:00.00" personId="{91ddd612-48c2-41c6-a628-68f42b3a1fa2}" id="{480f9833-2d24-4245-aa42-999c47c2e978}" parentId="{a56274fb-24a2-44d6-83e4-772c57aafb7b}">
    <x18tc:text xml:space="preserve">11.20 Clay Dickens is the new lender per agent. Waiting on the pre-approval letter to be provided to all.</x18tc:text>
  </x18tc:threadedComment>
  <x18tc:threadedComment ref="A1" dT="2025-08-25T23:12:03.00" personId="{91ddd612-48c2-41c6-a628-68f42b3a1fa2}" id="{68fecf6d-abfc-47c2-909f-53249a806af3}" done="0">
    <x18tc:text xml:space="preserve">4000 Shepherd Road
8.25 Loan extended to 8.29. ETA form is for signature.</x18tc:text>
  </x18tc:threadedComment>
  <x18tc:threadedComment ref="A1" dT="2025-09-05T18:24:11.00" personId="{91ddd612-48c2-41c6-a628-68f42b3a1fa2}" id="{0a2cfbc6-f637-4161-a9de-ae27bbd06658}" parentId="{68fecf6d-abfc-47c2-909f-53249a806af3}">
    <x18tc:text xml:space="preserve">9.5 An ETA form extending COE to 9/11 is out for signature.</x18tc:text>
  </x18tc:threadedComment>
  <x18tc:threadedComment ref="A1" dT="2025-08-07T00:51:10.00" personId="{2c0b40a3-d34a-4e30-997b-e7e5451e40bb}" id="{43de3e26-39d1-4d66-ba90-6db0c544b9f6}" done="1">
    <x18tc:text xml:space="preserve">@kenia@coryhometeam.com @isabel@coryhometeam.com Closed Seller but not found on the Closed Transaction tab
Assigned to kenia@coryhometeam.com</x18tc:text>
    <x18tc:mentions>
      <x18tc:mention mentionpersonId="{c2b0de28-3b31-4aa3-82a3-f8aba187b3e9}" mentionId="{3f13a919-644d-42dc-becb-44f1162c815b}" startIndex="0" length="23"/>
      <x18tc:mention mentionpersonId="{7d00647f-be2a-4639-a5f7-08a67118a5cf}" mentionId="{d8071103-bfb7-4c61-ba3e-aafa3602d178}" startIndex="24" length="24"/>
    </x18tc:mentions>
  </x18tc:threadedComment>
  <x18tc:threadedComment ref="A1" dT="2025-07-29T12:45:07.00" personId="{91ddd612-48c2-41c6-a628-68f42b3a1fa2}" id="{7d4ee238-2455-408d-a04d-4ee4d638622a}" done="0">
    <x18tc:text xml:space="preserve">7.29 Per ETA new COE date is 8.4</x18tc:text>
  </x18tc:threadedComment>
  <x18tc:threadedComment ref="A1" dT="2025-08-06T15:47:00.00" personId="{91ddd612-48c2-41c6-a628-68f42b3a1fa2}" id="{05ea9008-8c4d-4191-bd13-c37b56c9675c}" parentId="{7d4ee238-2455-408d-a04d-4ee4d638622a}">
    <x18tc:text xml:space="preserve">8.6 Per ETA2 new COE is 8.13.</x18tc:text>
  </x18tc:threadedComment>
  <x18tc:threadedComment ref="A1" dT="2025-10-28T22:31:33.00" personId="{d4b03686-3bed-491a-bd12-3b942153f8f5}" id="{48188836-ee21-4867-840f-62a8d245aab2}" done="0">
    <x18tc:text xml:space="preserve">HORATIO AVE @isabel@coryhometeam.com VERIFIED</x18tc:text>
    <x18tc:mentions>
      <x18tc:mention mentionpersonId="{7d00647f-be2a-4639-a5f7-08a67118a5cf}" mentionId="{b4cd3230-2971-43c0-8955-784cc5156931}" startIndex="12" length="24"/>
    </x18tc:mentions>
  </x18tc:threadedComment>
  <x18tc:threadedComment ref="A1" dT="2025-09-22T14:28:50.00" personId="{91ddd612-48c2-41c6-a628-68f42b3a1fa2}" id="{827e1ff9-f83b-4dcb-8e0b-d17979bf466f}" done="0">
    <x18tc:text xml:space="preserve">913 S Grand Ave #41
AM verified.
@isabel@coryhometeam.com
@kenia@coryhometeam.com
9.22 CI sent to Escrow.
Assigned to isabel@coryhometeam.com</x18tc:text>
    <x18tc:mentions>
      <x18tc:mention mentionpersonId="{7d00647f-be2a-4639-a5f7-08a67118a5cf}" mentionId="{4ed7c59d-dd2b-4c81-bd27-4bf0ba99e5d9}" startIndex="33" length="24"/>
      <x18tc:mention mentionpersonId="{c2b0de28-3b31-4aa3-82a3-f8aba187b3e9}" mentionId="{22dc02d9-fbdf-4085-9352-3436682c5020}" startIndex="58" length="23"/>
    </x18tc:mentions>
  </x18tc:threadedComment>
  <x18tc:threadedComment ref="A1" dT="2025-01-30T18:20:17.00" personId="{686b49bf-83f4-411b-b0f1-f0e341680f5a}" id="{b6d89d69-8dad-4058-9173-e6d525a0d1c4}" done="0">
    <x18tc:text xml:space="preserve">$1,127 Credit to Buyer for cost or Per Diem for Seller to rent back at COE</x18tc:text>
  </x18tc:threadedComment>
  <x18tc:threadedComment ref="A1" dT="2025-02-21T19:15:34.00" personId="{686b49bf-83f4-411b-b0f1-f0e341680f5a}" id="{5183c8b5-22b2-49d9-be9f-0b2f9f69f8af}" parentId="{b6d89d69-8dad-4058-9173-e6d525a0d1c4}">
    <x18tc:text xml:space="preserve">Seller advised she will be out on time, Per Diem not needed.
Breakdown of this deduction is:
$2,000 credit to the Buyer for carpet from commission and $2,029 credit to vendor who completed work paid via check direct to vendor.</x18tc:text>
  </x18tc:threadedComment>
  <x18tc:threadedComment ref="A1" dT="2025-02-27T20:52:16.00" personId="{686b49bf-83f4-411b-b0f1-f0e341680f5a}" id="{b810bdd5-d093-46be-abe1-2c873707ae6f}" parentId="{b6d89d69-8dad-4058-9173-e6d525a0d1c4}">
    <x18tc:text xml:space="preserve">Additional credit of $800 approved by Mel via text 02/26 for stove repairs not completed by Seller and Cleaning.</x18tc:text>
  </x18tc:threadedComment>
  <x18tc:threadedComment ref="A1" dT="2025-10-28T22:31:29.00" personId="{d4b03686-3bed-491a-bd12-3b942153f8f5}" id="{029da55e-aade-40df-ab7f-15ec07394f24}" done="0">
    <x18tc:text xml:space="preserve">HORATIO AVE @isabel@coryhometeam.com VERIFIED
Assigned to isabel@coryhometeam.com</x18tc:text>
    <x18tc:mentions>
      <x18tc:mention mentionpersonId="{7d00647f-be2a-4639-a5f7-08a67118a5cf}" mentionId="{223565c9-f54a-4eb7-8a36-53a7b207867c}" startIndex="12" length="24"/>
    </x18tc:mentions>
  </x18tc:threadedComment>
  <x18tc:threadedComment ref="A1" dT="2025-04-07T17:41:05.00" personId="{91ddd612-48c2-41c6-a628-68f42b3a1fa2}" id="{6126128b-3bdf-46d1-9347-15ce1ed568d5}" done="0">
    <x18tc:text xml:space="preserve">4.7 Per ETA the CR FULL is extended to 4.3.</x18tc:text>
  </x18tc:threadedComment>
  <x18tc:threadedComment ref="A1" dT="2025-01-30T17:39:25.00" personId="{91ddd612-48c2-41c6-a628-68f42b3a1fa2}" id="{8a2391bd-6682-4319-88e2-e5ed818a402d}" done="0">
    <x18tc:text xml:space="preserve">AM verified.
@isabel@coryhometeam.com 
@kenia@coryhometeam.com 
1.30 CI sent to Escrow.
Assigned to isabel@coryhometeam.com</x18tc:text>
    <x18tc:mentions>
      <x18tc:mention mentionpersonId="{7d00647f-be2a-4639-a5f7-08a67118a5cf}" mentionId="{e54e4fa4-7bfc-475a-b160-c1b5780778e1}" startIndex="13" length="24"/>
      <x18tc:mention mentionpersonId="{c2b0de28-3b31-4aa3-82a3-f8aba187b3e9}" mentionId="{2ec85be3-ef7e-4cde-ae43-f669b0d1e3e5}" startIndex="39" length="23"/>
    </x18tc:mentions>
  </x18tc:threadedComment>
  <x18tc:threadedComment ref="A1" dT="2025-02-05T16:04:22.00" personId="{91ddd612-48c2-41c6-a628-68f42b3a1fa2}" id="{f71dee8a-9f87-41f8-bba2-c879da1720d9}" parentId="{8a2391bd-6682-4319-88e2-e5ed818a402d}">
    <x18tc:text xml:space="preserve">AM verified.
@isabel@coryhometeam.com 
@kenia@coryhometeam.com 
2.5 REVISED CI sent to Escrow.</x18tc:text>
    <x18tc:mentions>
      <x18tc:mention mentionpersonId="{7d00647f-be2a-4639-a5f7-08a67118a5cf}" mentionId="{efc1b9b6-66a5-480b-a478-6f7f8537de8c}" startIndex="13" length="24"/>
      <x18tc:mention mentionpersonId="{c2b0de28-3b31-4aa3-82a3-f8aba187b3e9}" mentionId="{fca5fd8f-7aa9-4b9d-9956-f078557bb7c5}" startIndex="39" length="23"/>
    </x18tc:mentions>
  </x18tc:threadedComment>
  <x18tc:threadedComment ref="A1" dT="2026-01-02T21:44:33.00" personId="{e9fc873c-1c43-4e02-b893-c88033c9c8f6}" id="{d770f360-90f2-44b1-87f0-e3341d3f29ab}" done="0">
    <x18tc:text xml:space="preserve">source per agent; needs to be verified</x18tc:text>
  </x18tc:threadedComment>
  <x18tc:threadedComment ref="A1" dT="2025-12-29T22:40:02.00" personId="{91ddd612-48c2-41c6-a628-68f42b3a1fa2}" id="{57224220-dcce-4c3b-a5f3-c9267d5dda38}" done="0">
    <x18tc:text xml:space="preserve">2739 Calle Colima #102
AM verified.
@isabel@coryhometeam.com
@kenia@coryhometeam.com
12.29 CI sent to Escrow.
Assigned to isabel@coryhometeam.com</x18tc:text>
    <x18tc:mentions>
      <x18tc:mention mentionpersonId="{7d00647f-be2a-4639-a5f7-08a67118a5cf}" mentionId="{9e4f27fa-ef20-4fb6-8ee6-94b776663bf8}" startIndex="36" length="24"/>
      <x18tc:mention mentionpersonId="{c2b0de28-3b31-4aa3-82a3-f8aba187b3e9}" mentionId="{cbd9bf3e-1d17-432a-8a84-80c6fb84d632}" startIndex="61" length="23"/>
    </x18tc:mentions>
  </x18tc:threadedComment>
  <x18tc:threadedComment ref="AT3" dT="2026-04-21T14:11:45.00" personId="{91ddd612-48c2-41c6-a628-68f42b3a1fa2}" id="{a940e6e3-80dc-436c-931b-2895fcf1df57}" done="0">
    <x18tc:text xml:space="preserve">32359 Peters Street
AM verified.
@isabel@coryhometeam.com
@kenia@coryhometeam.com
4.21 CI sent to Escrow.
Assigned to isabel@coryhometeam.com</x18tc:text>
    <x18tc:mentions>
      <x18tc:mention mentionpersonId="{7d00647f-be2a-4639-a5f7-08a67118a5cf}" mentionId="{3b60b733-188a-4521-a4f4-4184ae741f63}" startIndex="33" length="24"/>
      <x18tc:mention mentionpersonId="{c2b0de28-3b31-4aa3-82a3-f8aba187b3e9}" mentionId="{84496bad-8227-4812-8f24-a6fcd983599c}" startIndex="58" length="23"/>
    </x18tc:mentions>
  </x18tc:threadedComment>
  <x18tc:threadedComment ref="AJ8" dT="2026-06-03T21:23:22.00" personId="{283cbab7-8785-4d8a-9d80-ae85deef9da8}" id="{30b7f26e-6a5e-4d41-86ce-26752777a61f}" done="0">
    <x18tc:text xml:space="preserve">6.1.26 Rachele's commission is now 4.5%.
see AEA1, which reflects a 0.5% credit ($3,250) to the buyer from Rachele.
I also have AEA2 out for revision of BAC to 2.5%
I am also in the process of sending a revised eXp commission reduction form. This confirms that Rachele is requesting a 0.5% ($3,250) from her commission to be applied to BAC</x18tc:text>
  </x18tc:threadedComment>
  <x18tc:threadedComment ref="A1" dT="2025-06-12T15:47:58.00" personId="{d4b03686-3bed-491a-bd12-3b942153f8f5}" id="{2e3d55ea-e115-45da-9b01-1f92238547ae}" done="0">
    <x18tc:text xml:space="preserve">SILVER SADDLE @isabel@coryhometeam.com VERIFIED
Assigned to isabel@coryhometeam.com</x18tc:text>
    <x18tc:mentions>
      <x18tc:mention mentionpersonId="{7d00647f-be2a-4639-a5f7-08a67118a5cf}" mentionId="{9c7637b6-266a-48ec-9389-3819b31b9a2b}" startIndex="14" length="24"/>
    </x18tc:mentions>
  </x18tc:threadedComment>
  <x18tc:threadedComment ref="A1" dT="2025-01-02T05:42:54.00" personId="{bd81d93e-be55-44dd-b62e-6a2b19efdd84}" id="{926f2943-f44c-4581-8db1-31051bc7d29b}" done="0">
    <x18tc:text xml:space="preserve">@jamesa@coryhometeam.com 
11.15 SUMMER DAY @isabel@coryhometeam.com VERIFIED</x18tc:text>
    <x18tc:mentions>
      <x18tc:mention mentionpersonId="{2e62d27e-283c-4022-9a11-29871798bb74}" mentionId="{53ea9b82-ebad-42d6-a477-04cc48919875}" startIndex="0" length="24"/>
      <x18tc:mention mentionpersonId="{7d00647f-be2a-4639-a5f7-08a67118a5cf}" mentionId="{5b6cce7e-0e71-4aad-8893-c6c3963b6b68}" startIndex="43" length="24"/>
    </x18tc:mentions>
  </x18tc:threadedComment>
  <x18tc:threadedComment ref="A1" dT="2025-01-02T05:43:24.00" personId="{bd81d93e-be55-44dd-b62e-6a2b19efdd84}" id="{28763276-c52a-43ed-a00e-7719a2f22a2f}" done="0">
    <x18tc:text xml:space="preserve">@rafael@coryhometeam.com 
12.27 AM Verified.
@isabel@coryhometeam.com 
@kenia@coryhometeam.com 
12.9 CI sent to Escrow.</x18tc:text>
    <x18tc:mentions>
      <x18tc:mention mentionpersonId="{9bdf134a-8804-4ab3-a81d-c648bae0f1b8}" mentionId="{45bbaff3-946e-4abd-ac92-a29c092252fc}" startIndex="0" length="24"/>
      <x18tc:mention mentionpersonId="{7d00647f-be2a-4639-a5f7-08a67118a5cf}" mentionId="{800e6028-de8c-4b2b-8d4a-1c85c2111d3e}" startIndex="45" length="24"/>
      <x18tc:mention mentionpersonId="{c2b0de28-3b31-4aa3-82a3-f8aba187b3e9}" mentionId="{b70d2bd7-d482-4307-986a-4320019172b7}" startIndex="71" length="23"/>
    </x18tc:mentions>
  </x18tc:threadedComment>
  <x18tc:threadedComment ref="A1" dT="2025-11-14T18:43:44.00" personId="{91ddd612-48c2-41c6-a628-68f42b3a1fa2}" id="{2e44f74b-be54-470a-9db1-2d50ed2a39c1}" done="0">
    <x18tc:text xml:space="preserve">11.4 COE extended to 11.21 per ETA2.</x18tc:text>
  </x18tc:threadedComment>
  <x18tc:threadedComment ref="A1" dT="2025-06-27T19:55:22.00" personId="{283cbab7-8785-4d8a-9d80-ae85deef9da8}" id="{5999b149-ca4a-4abb-b1f9-8d7690d1da71}" done="0">
    <x18tc:text xml:space="preserve">RE: 901 S Sixth Ave # 195, Hacienda Heights, CA 91745/ Re: ITEMS NEEDED: Julio Armando Rodriguez #141406
External
Inbox
Daisy Garcia
12:50 PM (1 minute ago)
to me, Eddie, Julio, Eevelyn_Flawbless, Miriam
No, we will not close on the 30th. Buyer still doesn’t have park approval.
Also, we have a problem with the title. The lender wants the lienholder removed completely from the title because they are on their banned list.
Escrow is trying to reach out to them directly for an exception because they aren’t giving me the exception.</x18tc:text>
  </x18tc:threadedComment>
  <x18tc:threadedComment ref="A1" dT="2025-08-07T14:30:14.00" personId="{91ddd612-48c2-41c6-a628-68f42b3a1fa2}" id="{b68a6ae5-b8ee-4334-b0f4-155925456704}" parentId="{5999b149-ca4a-4abb-b1f9-8d7690d1da71}">
    <x18tc:text xml:space="preserve">8.7 New COE date per ETA 8.29.</x18tc:text>
  </x18tc:threadedComment>
  <x18tc:threadedComment ref="A1" dT="2025-04-03T03:35:21.00" personId="{2c0b40a3-d34a-4e30-997b-e7e5451e40bb}" id="{e7ee8fc1-c639-4db2-8b9a-6105990efe0f}" done="0">
    <x18tc:text xml:space="preserve">@nichole@coryhometeam.com Please advise ISA to submit appt form. Not found in our 2025 Spreadsheet
Assigned to nichole@coryhometeam.com</x18tc:text>
    <x18tc:mentions>
      <x18tc:mention mentionpersonId="{a4b6a030-b93b-465f-bdbe-7ee04f6a5719}" mentionId="{b746b767-d364-4ce4-b0ca-1edf5545ac0b}" startIndex="0" length="25"/>
    </x18tc:mentions>
  </x18tc:threadedComment>
  <x18tc:threadedComment ref="A1" dT="2025-12-10T17:45:03.00" personId="{d4b03686-3bed-491a-bd12-3b942153f8f5}" id="{c28d0bba-369d-4df7-91d4-341e585d5b5f}" done="0">
    <x18tc:text xml:space="preserve">PEIRSON BOULEVARD @isabel@coryhometeam.com VERIFIED
Assigned to isabel@coryhometeam.com</x18tc:text>
    <x18tc:mentions>
      <x18tc:mention mentionpersonId="{7d00647f-be2a-4639-a5f7-08a67118a5cf}" mentionId="{025d4d74-2e06-496d-8058-8024d0c7f7a0}" startIndex="18" length="24"/>
    </x18tc:mentions>
  </x18tc:threadedComment>
  <x18tc:threadedComment ref="A1" dT="2025-06-12T15:58:48.00" personId="{d4b03686-3bed-491a-bd12-3b942153f8f5}" id="{b8159950-13e4-4afb-9062-b26e431e813a}" done="0">
    <x18tc:text xml:space="preserve">PONTO DR @isabel@coryhometeam.com VERIFIED
Assigned to isabel@coryhometeam.com</x18tc:text>
    <x18tc:mentions>
      <x18tc:mention mentionpersonId="{7d00647f-be2a-4639-a5f7-08a67118a5cf}" mentionId="{8ed3a3c7-bde4-4e26-b769-b56b9250f19f}" startIndex="9" length="24"/>
    </x18tc:mentions>
  </x18tc:threadedComment>
  <x18tc:threadedComment ref="A1" dT="2025-12-10T17:41:40.00" personId="{d4b03686-3bed-491a-bd12-3b942153f8f5}" id="{d3ee9593-34b8-4de0-b79d-e878e7566bc2}" done="0">
    <x18tc:text xml:space="preserve">IVY SPRINGS COURT @isabel@coryhometeam.com VERIFIED
Assigned to isabel@coryhometeam.com</x18tc:text>
    <x18tc:mentions>
      <x18tc:mention mentionpersonId="{7d00647f-be2a-4639-a5f7-08a67118a5cf}" mentionId="{fbbd7667-1642-43c0-bc1a-5a6190e21ea3}" startIndex="18" length="24"/>
    </x18tc:mentions>
  </x18tc:threadedComment>
  <x18tc:threadedComment ref="A1" dT="2025-05-28T16:27:01.00" personId="{91ddd612-48c2-41c6-a628-68f42b3a1fa2}" id="{0a62db3d-1fa4-48ac-993e-32660a1ec519}" done="0">
    <x18tc:text xml:space="preserve">18071 Sycamore St
AM verified.
@isabel@coryhometeam.com 
@kenia@coryhometeam.com 
5.28 CI sent to Escrow.
Assigned to isabel@coryhometeam.com</x18tc:text>
    <x18tc:mentions>
      <x18tc:mention mentionpersonId="{7d00647f-be2a-4639-a5f7-08a67118a5cf}" mentionId="{5f79df47-2275-4033-aa83-41ac08cc97f2}" startIndex="31" length="24"/>
      <x18tc:mention mentionpersonId="{c2b0de28-3b31-4aa3-82a3-f8aba187b3e9}" mentionId="{1b805158-cb62-42fe-b3d7-2b6adcff89e8}" startIndex="57" length="23"/>
    </x18tc:mentions>
  </x18tc:threadedComment>
  <x18tc:threadedComment ref="A1" dT="2025-01-02T06:07:35.00" personId="{bd81d93e-be55-44dd-b62e-6a2b19efdd84}" id="{89036c23-ca58-4a47-8797-0c5c02f32551}" done="0">
    <x18tc:text xml:space="preserve">@rafael@coryhometeam.com 
12.19 Order pending due to warranty info incomplete. An AEA will follow.</x18tc:text>
    <x18tc:mentions>
      <x18tc:mention mentionpersonId="{9bdf134a-8804-4ab3-a81d-c648bae0f1b8}" mentionId="{499d18e5-ef8a-45ec-907c-00c166ab0614}" startIndex="0" length="24"/>
    </x18tc:mentions>
  </x18tc:threadedComment>
  <x18tc:threadedComment ref="A1" dT="2025-06-27T21:28:05.00" personId="{686b49bf-83f4-411b-b0f1-f0e341680f5a}" id="{e4de6881-fcb9-410b-9652-844f8ddc7491}" done="0">
    <x18tc:text xml:space="preserve">Seller is in another country and is waiting on the US Embassy to schedule his signing with a notary.</x18tc:text>
  </x18tc:threadedComment>
  <x18tc:threadedComment ref="A1" dT="2025-07-28T15:07:37.00" personId="{91ddd612-48c2-41c6-a628-68f42b3a1fa2}" id="{50774a9c-90dc-48d0-adfd-17b435f2f18c}" done="0">
    <x18tc:text xml:space="preserve">Waiting on the removed of the SPRP contingency.</x18tc:text>
  </x18tc:threadedComment>
  <x18tc:threadedComment ref="A1" dT="2025-01-02T06:09:00.00" personId="{bd81d93e-be55-44dd-b62e-6a2b19efdd84}" id="{dd339b9c-3b27-4e1e-b9e3-8d24ae7558bb}" done="0">
    <x18tc:text xml:space="preserve">@alexis@coryhometeam.com 
12.19 Off the top cost to cover GOLD HW for Buyer.</x18tc:text>
    <x18tc:mentions>
      <x18tc:mention mentionpersonId="{e0ede1ef-7aee-4904-9f47-62fb26fea2cd}" mentionId="{d1ee0964-e4a2-4559-8378-620f2566bd93}" startIndex="0" length="24"/>
    </x18tc:mentions>
  </x18tc:threadedComment>
  <x18tc:threadedComment ref="A1" dT="2025-03-17T18:38:59.00" personId="{d4b03686-3bed-491a-bd12-3b942153f8f5}" id="{8bdfc535-4c32-4032-a04d-4f255527411b}" done="0">
    <x18tc:text xml:space="preserve">BAUTISTA ROAD @isabel@coryhometeam.com VERIFIED
Assigned to isabel@coryhometeam.com</x18tc:text>
    <x18tc:mentions>
      <x18tc:mention mentionpersonId="{7d00647f-be2a-4639-a5f7-08a67118a5cf}" mentionId="{22753395-01dd-4cf8-9651-9aa1ff687365}" startIndex="14" length="24"/>
    </x18tc:mentions>
  </x18tc:threadedComment>
  <x18tc:threadedComment ref="A1" dT="2025-06-27T21:53:55.00" personId="{686b49bf-83f4-411b-b0f1-f0e341680f5a}" id="{481d6299-d781-482c-a0a6-abb1e79db425}" done="0">
    <x18tc:text xml:space="preserve">Sending ETA for COP, Buyer needs more time to get his home under contract.</x18tc:text>
  </x18tc:threadedComment>
  <x18tc:threadedComment ref="A1" dT="2025-10-01T07:03:07.00" personId="{91ddd612-48c2-41c6-a628-68f42b3a1fa2}" id="{5be3f76c-b2f5-4ab4-a55d-ba918983cf92}" done="0">
    <x18tc:text xml:space="preserve">3360 Hopi Pl
AM verified.
@isabel@coryhometeam.com
@kenia@coryhometeam.com
10.1 CI sent to Escrow.
Assigned to isabel@coryhometeam.com</x18tc:text>
    <x18tc:mentions>
      <x18tc:mention mentionpersonId="{7d00647f-be2a-4639-a5f7-08a67118a5cf}" mentionId="{330c4adf-e4fe-4aae-9056-185961bfac9a}" startIndex="26" length="24"/>
      <x18tc:mention mentionpersonId="{c2b0de28-3b31-4aa3-82a3-f8aba187b3e9}" mentionId="{157ab4be-dfd4-47c8-8227-0480824f1fdc}" startIndex="51" length="23"/>
    </x18tc:mentions>
  </x18tc:threadedComment>
  <x18tc:threadedComment ref="A1" dT="2025-01-02T06:05:48.00" personId="{bd81d93e-be55-44dd-b62e-6a2b19efdd84}" id="{d098b398-e8e4-4c1c-b5fe-6d081eed2e28}" done="0">
    <x18tc:text xml:space="preserve">@jamesa@coryhometeam.com 
12.30 PALM SPRINGS @isabel@coryhometeam.com VERIFIED</x18tc:text>
    <x18tc:mentions>
      <x18tc:mention mentionpersonId="{2e62d27e-283c-4022-9a11-29871798bb74}" mentionId="{fe75a348-1502-406c-9ed8-36b8f7771bba}" startIndex="0" length="24"/>
      <x18tc:mention mentionpersonId="{7d00647f-be2a-4639-a5f7-08a67118a5cf}" mentionId="{bb2889dc-d3e2-41cf-afb3-9491272687b1}" startIndex="45" length="24"/>
    </x18tc:mentions>
  </x18tc:threadedComment>
  <x18tc:threadedComment ref="A1" dT="2025-06-27T21:37:27.00" personId="{686b49bf-83f4-411b-b0f1-f0e341680f5a}" id="{f7c29625-c8a3-486f-8ad3-f03661165415}" done="0">
    <x18tc:text xml:space="preserve">Solar could not transfer. All parties needed to work on agreement to keep the deal in place.</x18tc:text>
  </x18tc:threadedComment>
  <x18tc:threadedComment ref="A1" dT="2025-07-25T20:09:16.00" personId="{d4b03686-3bed-491a-bd12-3b942153f8f5}" id="{38883a00-6db4-4559-93af-1992b05892af}" done="0">
    <x18tc:text xml:space="preserve">17 Days after the Seller delivers written notice removing the SPRP</x18tc:text>
  </x18tc:threadedComment>
  <x18tc:threadedComment ref="A1" dT="2025-05-28T17:06:38.00" personId="{91ddd612-48c2-41c6-a628-68f42b3a1fa2}" id="{0ed44129-f956-498a-937f-79b95c6ba7c4}" done="0">
    <x18tc:text xml:space="preserve">4901 Green River Road #275
AM verified.
@isabel@coryhometeam.com 
@kenia@coryhometeam.com 
5.28 CI sent to Escrow.
Assigned to isabel@coryhometeam.com</x18tc:text>
    <x18tc:mentions>
      <x18tc:mention mentionpersonId="{7d00647f-be2a-4639-a5f7-08a67118a5cf}" mentionId="{3c1acdee-6422-4512-9e02-f4886c0662da}" startIndex="40" length="24"/>
      <x18tc:mention mentionpersonId="{c2b0de28-3b31-4aa3-82a3-f8aba187b3e9}" mentionId="{b1637abb-12f3-4716-975e-b666d97c9854}" startIndex="66" length="23"/>
    </x18tc:mentions>
  </x18tc:threadedComment>
  <x18tc:threadedComment ref="A1" dT="2025-07-16T11:11:32.00" personId="{91ddd612-48c2-41c6-a628-68f42b3a1fa2}" id="{9461e97a-58a6-4c7c-84a7-129db2573103}" done="0">
    <x18tc:text xml:space="preserve">7.16 New COE as per ETA.</x18tc:text>
  </x18tc:threadedComment>
  <x18tc:threadedComment ref="A1" dT="2025-07-21T13:51:05.00" personId="{91ddd612-48c2-41c6-a628-68f42b3a1fa2}" id="{3e40333b-69c3-4049-a2f0-20f30f7c0e50}" parentId="{9461e97a-58a6-4c7c-84a7-129db2573103}">
    <x18tc:text xml:space="preserve">7.21 New COE as per ETA2 to be 7.22</x18tc:text>
  </x18tc:threadedComment>
  <x18tc:threadedComment ref="A1" dT="2025-05-14T21:44:10.00" personId="{d4b03686-3bed-491a-bd12-3b942153f8f5}" id="{f6a6c779-fe72-4c9b-a0bf-b45c624d56c2}" done="0">
    <x18tc:text xml:space="preserve">COUR MEYNEY @isabel@coryhometeam.com VERIFIED
Assigned to isabel@coryhometeam.com</x18tc:text>
    <x18tc:mentions>
      <x18tc:mention mentionpersonId="{7d00647f-be2a-4639-a5f7-08a67118a5cf}" mentionId="{94d53a1b-f794-4c6a-890b-d6121e7a9c6c}" startIndex="12" length="24"/>
    </x18tc:mentions>
  </x18tc:threadedComment>
  <x18tc:threadedComment ref="A1" dT="2025-07-25T20:09:21.00" personId="{d4b03686-3bed-491a-bd12-3b942153f8f5}" id="{2c932b67-cc08-4d27-b9d1-d003a5fc5d41}" done="0">
    <x18tc:text xml:space="preserve">17 Days after the Seller delivers written notice removing the SPRP</x18tc:text>
  </x18tc:threadedComment>
  <x18tc:threadedComment ref="A1" dT="2025-05-28T17:09:32.00" personId="{91ddd612-48c2-41c6-a628-68f42b3a1fa2}" id="{5cbe3938-fec3-4341-855e-8377e91d6e61}" done="0">
    <x18tc:text xml:space="preserve">41527 Blue Canyon Avenue #3
AM verified.
@isabel@coryhometeam.com 
@kenia@coryhometeam.com 
5.28 CI sent to Escrow.
Assigned to isabel@coryhometeam.com</x18tc:text>
    <x18tc:mentions>
      <x18tc:mention mentionpersonId="{7d00647f-be2a-4639-a5f7-08a67118a5cf}" mentionId="{71874ce7-63df-4ffb-acef-2311ed3c0673}" startIndex="41" length="24"/>
      <x18tc:mention mentionpersonId="{c2b0de28-3b31-4aa3-82a3-f8aba187b3e9}" mentionId="{a4424699-8b10-4186-aff2-27884636129d}" startIndex="67" length="23"/>
    </x18tc:mentions>
  </x18tc:threadedComment>
  <x18tc:threadedComment ref="A1" dT="2025-01-02T05:43:58.00" personId="{bd81d93e-be55-44dd-b62e-6a2b19efdd84}" id="{cd99ca28-1ce7-4787-94a1-445db10c1c38}" done="0">
    <x18tc:text xml:space="preserve">@jamesa@coryhometeam.com 
12.12 DIEGO SPRINGS @isabel@coryhometeam.com VERIFIED</x18tc:text>
    <x18tc:mentions>
      <x18tc:mention mentionpersonId="{2e62d27e-283c-4022-9a11-29871798bb74}" mentionId="{1098c871-30af-4847-8cb0-8f5cb6656ffc}" startIndex="0" length="24"/>
      <x18tc:mention mentionpersonId="{7d00647f-be2a-4639-a5f7-08a67118a5cf}" mentionId="{52737c32-9925-4df5-be12-d6e6a8f7e964}" startIndex="46" length="24"/>
    </x18tc:mentions>
  </x18tc:threadedComment>
  <x18tc:threadedComment ref="A1" dT="2025-07-25T20:09:25.00" personId="{d4b03686-3bed-491a-bd12-3b942153f8f5}" id="{6a82f562-c882-4132-9684-ca6c1b16cfa9}" done="0">
    <x18tc:text xml:space="preserve">17 Days after the Seller delivers written notice removing the SPRP</x18tc:text>
  </x18tc:threadedComment>
  <x18tc:threadedComment ref="A1" dT="2025-08-06T17:21:25.00" personId="{d4b03686-3bed-491a-bd12-3b942153f8f5}" id="{d5fa9324-ab43-4d0b-b971-c8a8a89abec6}" done="0">
    <x18tc:text xml:space="preserve">Commission is 20,000</x18tc:text>
  </x18tc:threadedComment>
  <x18tc:threadedComment ref="A1" dT="2025-01-02T06:01:38.00" personId="{bd81d93e-be55-44dd-b62e-6a2b19efdd84}" id="{d4a5236c-becb-4532-8264-34d3ff554e66}" done="0">
    <x18tc:text xml:space="preserve">@jamesa@coryhometeam.com 
12.19 WAALEW RD @isabel@coryhometeam.com VERIFIED</x18tc:text>
    <x18tc:mentions>
      <x18tc:mention mentionpersonId="{2e62d27e-283c-4022-9a11-29871798bb74}" mentionId="{33793816-9e18-45c9-b7ad-4b73e1fb14cd}" startIndex="0" length="24"/>
      <x18tc:mention mentionpersonId="{7d00647f-be2a-4639-a5f7-08a67118a5cf}" mentionId="{d285e953-fddb-4a9b-aaf9-68c9400cf4b8}" startIndex="42" length="24"/>
    </x18tc:mentions>
  </x18tc:threadedComment>
  <x18tc:threadedComment ref="AD10" dT="2026-06-03T20:26:26.00" personId="{283cbab7-8785-4d8a-9d80-ae85deef9da8}" id="{867821ed-acb6-4a8f-b189-9e7c9e7837cf}" done="0">
    <x18tc:text xml:space="preserve">6.3 Kiona advised she reduced commission from 3% to 2% 
@dana@coryhometeam.com
Assigned to dana@coryhometeam.com</x18tc:text>
    <x18tc:mentions>
      <x18tc:mention mentionpersonId="{97a5b354-94ec-4750-87c3-99cebe208b41}" mentionId="{593b3053-9844-41e9-8995-abeb9ee8222d}" startIndex="56" length="22"/>
    </x18tc:mentions>
  </x18tc:threadedComment>
  <x18tc:threadedComment ref="A1" dT="2025-02-03T18:45:14.00" personId="{91ddd612-48c2-41c6-a628-68f42b3a1fa2}" id="{3992469f-8fd6-4078-b2f6-636eae4d0e96}" done="0">
    <x18tc:text xml:space="preserve">AM verified.
@isabel@coryhometeam.com 
@kenia@coryhometeam.com 
2.3 CI sent to Escrow.
Assigned to isabel@coryhometeam.com</x18tc:text>
    <x18tc:mentions>
      <x18tc:mention mentionpersonId="{7d00647f-be2a-4639-a5f7-08a67118a5cf}" mentionId="{e7e64d69-ac34-4eaa-9043-98f89d42f742}" startIndex="13" length="24"/>
      <x18tc:mention mentionpersonId="{c2b0de28-3b31-4aa3-82a3-f8aba187b3e9}" mentionId="{86b83972-574a-43e4-8a8f-1b763b16211d}" startIndex="39" length="23"/>
    </x18tc:mentions>
  </x18tc:threadedComment>
  <x18tc:threadedComment ref="A1" dT="2025-01-02T06:02:43.00" personId="{bd81d93e-be55-44dd-b62e-6a2b19efdd84}" id="{53c10b0d-ed64-4f69-a566-1bdb880c6edf}" done="0">
    <x18tc:text xml:space="preserve">@jamesa@coryhometeam.com 
12.12 W HEATHER ST @isabel@coryhometeam.com VERIFIED</x18tc:text>
    <x18tc:mentions>
      <x18tc:mention mentionpersonId="{2e62d27e-283c-4022-9a11-29871798bb74}" mentionId="{844f0842-2a5f-4ee8-9160-c66dc7014c74}" startIndex="0" length="24"/>
      <x18tc:mention mentionpersonId="{7d00647f-be2a-4639-a5f7-08a67118a5cf}" mentionId="{c6e712cb-3ef6-4793-a0a5-d93956357b25}" startIndex="45" length="24"/>
    </x18tc:mentions>
  </x18tc:threadedComment>
  <x18tc:threadedComment ref="AT19" dT="2026-06-03T20:34:03.00" personId="{91ddd612-48c2-41c6-a628-68f42b3a1fa2}" id="{b988e857-8d5c-4399-8cc5-44087ae2cefb}" done="0">
    <x18tc:text xml:space="preserve">15128 Versailles St
AM verified.
@isabel@coryhometeam.com
@kenia@coryhometeam.com
6.3 CI sent to Escrow.
Assigned to isabel@coryhometeam.com</x18tc:text>
    <x18tc:mentions>
      <x18tc:mention mentionpersonId="{7d00647f-be2a-4639-a5f7-08a67118a5cf}" mentionId="{e1b73568-481a-4f75-b632-bfd9f38b7d12}" startIndex="33" length="24"/>
      <x18tc:mention mentionpersonId="{c2b0de28-3b31-4aa3-82a3-f8aba187b3e9}" mentionId="{ddbba86a-0018-4da9-a70f-7359b0a84502}" startIndex="58" length="23"/>
    </x18tc:mentions>
  </x18tc:threadedComment>
  <x18tc:threadedComment ref="A1" dT="2025-02-19T02:00:55.00" personId="{686b49bf-83f4-411b-b0f1-f0e341680f5a}" id="{b17af604-fa7e-4a6a-b32e-54fe31ba99ec}" done="0">
    <x18tc:text xml:space="preserve">Kiona approved off the top for pool coverage on the Home Warranty</x18tc:text>
  </x18tc:threadedComment>
  <x18tc:threadedComment ref="A1" dT="2025-03-31T15:29:31.00" personId="{c7fad490-24e0-4859-bb84-4307c52d4768}" id="{6504ee6c-bf2e-49ee-8c73-19d6d4a62318}" parentId="{b17af604-fa7e-4a6a-b32e-54fe31ba99ec}">
    <x18tc:text xml:space="preserve">$200 -disregarded, final check do not reflect this commission reduction</x18tc:text>
  </x18tc:threadedComment>
  <x18tc:threadedComment ref="A1" dT="2025-11-14T17:34:08.00" personId="{d4b03686-3bed-491a-bd12-3b942153f8f5}" id="{44029d52-d807-43c4-aabd-2784513aaf0a}" done="0">
    <x18tc:text xml:space="preserve">W 4TH ST @isabel@coryhometeam.com VERIFIED
Assigned to isabel@coryhometeam.com</x18tc:text>
    <x18tc:mentions>
      <x18tc:mention mentionpersonId="{7d00647f-be2a-4639-a5f7-08a67118a5cf}" mentionId="{134d20b5-b84e-43fb-a31a-9a20aeeb92b0}" startIndex="9" length="24"/>
    </x18tc:mentions>
  </x18tc:threadedComment>
  <x18tc:threadedComment ref="A1" dT="2025-01-02T06:00:40.00" personId="{bd81d93e-be55-44dd-b62e-6a2b19efdd84}" id="{143d1a70-fc91-4ca2-b882-5bf26aa9a974}" done="1">
    <x18tc:text xml:space="preserve">@rafael@coryhometeam.com 
11.21 AM verified.
@isabel@coryhometeam.com 
@kenia@coryhometeam.com 
11.21 CI sent to Escrow.</x18tc:text>
    <x18tc:mentions>
      <x18tc:mention mentionpersonId="{9bdf134a-8804-4ab3-a81d-c648bae0f1b8}" mentionId="{fbec3bf0-388c-4ffc-96da-f243d2ce861a}" startIndex="0" length="24"/>
      <x18tc:mention mentionpersonId="{7d00647f-be2a-4639-a5f7-08a67118a5cf}" mentionId="{f82dc031-4e9c-45e2-809e-b7e2e48a6d1b}" startIndex="45" length="24"/>
      <x18tc:mention mentionpersonId="{c2b0de28-3b31-4aa3-82a3-f8aba187b3e9}" mentionId="{3ed36d33-80b8-40e7-affe-ecaa44cfaf52}" startIndex="71" length="23"/>
    </x18tc:mentions>
  </x18tc:threadedComment>
  <x18tc:threadedComment ref="A1" dT="2025-07-07T18:21:12.00" personId="{91ddd612-48c2-41c6-a628-68f42b3a1fa2}" id="{38d2b4da-f1d4-4464-99d6-ce50548a11b2}" done="0">
    <x18tc:text xml:space="preserve">3830 Cougar Canyon Rd
7.7 An ETA is out extending the CR Loan from 6.16 to 7.8.</x18tc:text>
  </x18tc:threadedComment>
  <x18tc:threadedComment ref="A1" dT="2025-11-14T17:34:14.00" personId="{d4b03686-3bed-491a-bd12-3b942153f8f5}" id="{93f14cbd-0185-41e3-8106-0c8e3114c2ea}" done="0">
    <x18tc:text xml:space="preserve">W 4TH ST @isabel@coryhometeam.com VERIFIED
Assigned to isabel@coryhometeam.com</x18tc:text>
    <x18tc:mentions>
      <x18tc:mention mentionpersonId="{7d00647f-be2a-4639-a5f7-08a67118a5cf}" mentionId="{50712a21-4b59-49f0-8186-bfcdcc996db6}" startIndex="9" length="24"/>
    </x18tc:mentions>
  </x18tc:threadedComment>
  <x18tc:threadedComment ref="A1" dT="2025-01-02T06:01:06.00" personId="{bd81d93e-be55-44dd-b62e-6a2b19efdd84}" id="{7e305c0d-a522-42ee-bd1c-2ec50c6a1fff}" done="0">
    <x18tc:text xml:space="preserve">@jamesa@coryhometeam.com 
12.4 POPPY FIELD CT @isabel@coryhometeam.com VERIFIED</x18tc:text>
    <x18tc:mentions>
      <x18tc:mention mentionpersonId="{2e62d27e-283c-4022-9a11-29871798bb74}" mentionId="{2c8e7ea0-e985-4a8c-abcd-042de6a862ec}" startIndex="0" length="24"/>
      <x18tc:mention mentionpersonId="{7d00647f-be2a-4639-a5f7-08a67118a5cf}" mentionId="{eeb87699-0c74-408b-af64-4f5c843a5e0e}" startIndex="46" length="24"/>
    </x18tc:mentions>
  </x18tc:threadedComment>
  <x18tc:threadedComment ref="A1" dT="2025-06-03T17:11:57.00" personId="{d4b03686-3bed-491a-bd12-3b942153f8f5}" id="{05646f1a-69ee-42e4-b29c-b0cf01fd4cbb}" done="0">
    <x18tc:text xml:space="preserve">SCARLET OAK DR @isabel@coryhometeam.com VERIFIED
Assigned to isabel@coryhometeam.com</x18tc:text>
    <x18tc:mentions>
      <x18tc:mention mentionpersonId="{7d00647f-be2a-4639-a5f7-08a67118a5cf}" mentionId="{eb531173-50fa-466e-a463-76f45f71f5c7}" startIndex="15" length="24"/>
    </x18tc:mentions>
  </x18tc:threadedComment>
  <x18tc:threadedComment ref="A1" dT="2025-06-27T22:10:02.00" personId="{686b49bf-83f4-411b-b0f1-f0e341680f5a}" id="{a73c2ed1-361e-4f58-ab9a-1d8e9ae9dee3}" done="0">
    <x18tc:text xml:space="preserve">CD was just sent to Buyer on 06/27/25, escrow is balancing but docs can't be ordered until after the 3rd business day following the CD.</x18tc:text>
  </x18tc:threadedComment>
  <x18tc:threadedComment ref="A1" dT="2025-01-02T05:59:37.00" personId="{bd81d93e-be55-44dd-b62e-6a2b19efdd84}" id="{a75dc635-2ae0-4c64-8d95-31bf6afd6000}" done="0">
    <x18tc:text xml:space="preserve">@jamesa@coryhometeam.com 
12.18 NORMA LN @isabel@coryhometeam.com VERIFIED</x18tc:text>
    <x18tc:mentions>
      <x18tc:mention mentionpersonId="{2e62d27e-283c-4022-9a11-29871798bb74}" mentionId="{6939ea79-e789-4912-840a-4c17792b6c15}" startIndex="0" length="24"/>
      <x18tc:mention mentionpersonId="{7d00647f-be2a-4639-a5f7-08a67118a5cf}" mentionId="{2e10dffc-5d94-4142-b5ed-05b8aabb827c}" startIndex="41" length="24"/>
    </x18tc:mentions>
  </x18tc:threadedComment>
  <x18tc:threadedComment ref="A1" dT="2025-07-16T22:02:17.00" personId="{91ddd612-48c2-41c6-a628-68f42b3a1fa2}" id="{b99fd052-b79c-4cb4-b652-153a013c7882}" done="0">
    <x18tc:text xml:space="preserve">7.16 As per ADM3 the closing date is 7.20.</x18tc:text>
  </x18tc:threadedComment>
  <x18tc:threadedComment ref="A1" dT="2025-02-03T19:36:30.00" personId="{686b49bf-83f4-411b-b0f1-f0e341680f5a}" id="{01c345c2-6db8-47a1-aead-3e44dfdd5429}" done="0">
    <x18tc:text xml:space="preserve">$450 to be deducted from Mark's commission to reimburse 10X for photos completed on his personal listing. Mark requested this in a text 02/03/25.</x18tc:text>
  </x18tc:threadedComment>
  <x18tc:threadedComment ref="A1" dT="2025-06-03T17:08:14.00" personId="{d4b03686-3bed-491a-bd12-3b942153f8f5}" id="{d24ef50c-00b3-4a66-a291-1133ac720873}" done="0">
    <x18tc:text xml:space="preserve">CURTIS AVE @isabel@coryhometeam.com VERIFIED
Assigned to isabel@coryhometeam.com</x18tc:text>
    <x18tc:mentions>
      <x18tc:mention mentionpersonId="{7d00647f-be2a-4639-a5f7-08a67118a5cf}" mentionId="{bc98934c-9269-4550-88ce-e2c87856382e}" startIndex="11" length="24"/>
    </x18tc:mentions>
  </x18tc:threadedComment>
  <x18tc:threadedComment ref="A1" dT="2025-06-27T22:08:14.00" personId="{91ddd612-48c2-41c6-a628-68f42b3a1fa2}" id="{9ff62d17-aff1-4ff0-84ef-d05fde8600ad}" done="0">
    <x18tc:text xml:space="preserve">31750 Machado St. #83
6.27 NEW COE 7.3 or sooner as per ETA.</x18tc:text>
  </x18tc:threadedComment>
  <x18tc:threadedComment ref="A1" dT="2025-01-02T06:00:09.00" personId="{bd81d93e-be55-44dd-b62e-6a2b19efdd84}" id="{7637ed8e-6f12-477f-a6b2-0bca23738c14}" done="1">
    <x18tc:text xml:space="preserve">@rafael@coryhometeam.com 
12.17 AM verified.
@isabel@coryhometeam.com 
@kenia@coryhometeam.com 
12.17 CI sent to Escrow.</x18tc:text>
    <x18tc:mentions>
      <x18tc:mention mentionpersonId="{9bdf134a-8804-4ab3-a81d-c648bae0f1b8}" mentionId="{180573f6-43d2-4651-8b06-964b34366f0a}" startIndex="0" length="24"/>
      <x18tc:mention mentionpersonId="{7d00647f-be2a-4639-a5f7-08a67118a5cf}" mentionId="{a6562330-164f-40fa-8ba5-2244be701124}" startIndex="45" length="24"/>
      <x18tc:mention mentionpersonId="{c2b0de28-3b31-4aa3-82a3-f8aba187b3e9}" mentionId="{e3145576-af5b-49a9-8c6b-bcee007c8331}" startIndex="71" length="23"/>
    </x18tc:mentions>
  </x18tc:threadedComment>
  <x18tc:threadedComment ref="A1" dT="2025-11-14T15:37:50.00" personId="{d4b03686-3bed-491a-bd12-3b942153f8f5}" id="{a15015dd-b0b0-4425-8eed-6887817b27b7}" done="0">
    <x18tc:text xml:space="preserve">COUR MEYNEY @isabel@coryhometeam.com VERIFIED
Assigned to isabel@coryhometeam.com</x18tc:text>
    <x18tc:mentions>
      <x18tc:mention mentionpersonId="{7d00647f-be2a-4639-a5f7-08a67118a5cf}" mentionId="{c50e2780-3c48-40f2-9cb4-b701c736a1f9}" startIndex="12" length="24"/>
    </x18tc:mentions>
  </x18tc:threadedComment>
  <x18tc:threadedComment ref="A1" dT="2025-01-15T16:06:35.00" personId="{d4b03686-3bed-491a-bd12-3b942153f8f5}" id="{97b8b87c-dbda-43d2-9494-8cb8df92d786}" done="0">
    <x18tc:text xml:space="preserve">VIA VALDEZ @isabel@coryhometeam.com VERIFIED
Assigned to isabel@coryhometeam.com</x18tc:text>
    <x18tc:mentions>
      <x18tc:mention mentionpersonId="{7d00647f-be2a-4639-a5f7-08a67118a5cf}" mentionId="{5e0ba105-866f-43bd-97ab-7a3ff9bbf178}" startIndex="11" length="24"/>
    </x18tc:mentions>
  </x18tc:threadedComment>
  <x18tc:threadedComment ref="A1" dT="2025-07-31T12:20:12.00" personId="{91ddd612-48c2-41c6-a628-68f42b3a1fa2}" id="{13ba2b28-bfda-42fd-87c3-d8993f1599cf}" done="0">
    <x18tc:text xml:space="preserve">566 Ebbtide Cir
AM verified.
7.31 CI sent to Escrow.
@isabel@coryhometeam.com 
@kenia@coryhometeam.com
Assigned to isabel@coryhometeam.com</x18tc:text>
    <x18tc:mentions>
      <x18tc:mention mentionpersonId="{7d00647f-be2a-4639-a5f7-08a67118a5cf}" mentionId="{945b3344-e77c-43b9-9831-fb604d0931c8}" startIndex="53" length="24"/>
      <x18tc:mention mentionpersonId="{c2b0de28-3b31-4aa3-82a3-f8aba187b3e9}" mentionId="{3bbe4ac6-ea20-4ef7-969a-1d1bd833314d}" startIndex="79" length="23"/>
    </x18tc:mentions>
  </x18tc:threadedComment>
  <x18tc:threadedComment ref="A1" dT="2025-06-26T13:46:59.00" personId="{91ddd612-48c2-41c6-a628-68f42b3a1fa2}" id="{971c3bd5-0d7b-402c-a3a5-f1ef8b6e9af1}" done="0">
    <x18tc:text xml:space="preserve">725 Washington Blvd
6.26 ETA (COE 6.25) Received.</x18tc:text>
  </x18tc:threadedComment>
  <x18tc:threadedComment ref="A1" dT="2025-02-03T19:43:40.00" personId="{d4b03686-3bed-491a-bd12-3b942153f8f5}" id="{8c2b32cd-54e4-411c-97b2-658b6dc49d5f}" done="0">
    <x18tc:text xml:space="preserve">Commission is $10,000.00 Fixed</x18tc:text>
  </x18tc:threadedComment>
  <x18tc:threadedComment ref="C5" dT="2026-03-24T17:50:48.00" personId="{91ddd612-48c2-41c6-a628-68f42b3a1fa2}" id="{265cbd35-c5ef-4820-825d-e845e44863f2}" done="0">
    <x18tc:text xml:space="preserve">3.24 Per Kenia: Heads up I emailed you. This is an offer that was supposed to accepted but our seller backed out. Blake is working with our LA- Spencer on this Compliance is asking us to upload all/Any documents pertaining to acceptance. Please upload to skyslope. 
Only counters are FE- 
RPA &amp; attachments NOT fully executed but we need to upload as is.</x18tc:text>
  </x18tc:threadedComment>
  <x18tc:threadedComment ref="C5" dT="2026-04-17T20:33:17.00" personId="{2c0b40a3-d34a-4e30-997b-e7e5451e40bb}" id="{e0a83304-07c0-4d03-b2fd-2457ccdc9682}" parentId="{265cbd35-c5ef-4820-825d-e845e44863f2}">
    <x18tc:text xml:space="preserve">@kenia@coryhometeam.com not found on CHT ListingBoard</x18tc:text>
    <x18tc:mentions>
      <x18tc:mention mentionpersonId="{c2b0de28-3b31-4aa3-82a3-f8aba187b3e9}" mentionId="{5ed1c204-8234-459a-8a4b-9daff7b0e7ec}" startIndex="0" length="23"/>
    </x18tc:mentions>
  </x18tc:threadedComment>
  <x18tc:threadedComment ref="A1" dT="2025-12-19T17:49:55.00" personId="{91ddd612-48c2-41c6-a628-68f42b3a1fa2}" id="{ffdf608e-a47d-4199-bcde-42465a57c83b}" done="0">
    <x18tc:text xml:space="preserve">12.19 FULL contingency extended to 12.23 as per ETA1.</x18tc:text>
  </x18tc:threadedComment>
  <x18tc:threadedComment ref="A1" dT="2025-01-02T06:04:58.00" personId="{bd81d93e-be55-44dd-b62e-6a2b19efdd84}" id="{c609e3eb-7b25-4af8-9875-b1459d7640c5}" done="0">
    <x18tc:text xml:space="preserve">@jamesa@coryhometeam.com 
12.26 CORTE ZAMORA @isabel@coryhometeam.com VERIFIED</x18tc:text>
    <x18tc:mentions>
      <x18tc:mention mentionpersonId="{2e62d27e-283c-4022-9a11-29871798bb74}" mentionId="{8a05b440-3379-4db7-8d66-faba4634c9ce}" startIndex="0" length="24"/>
      <x18tc:mention mentionpersonId="{7d00647f-be2a-4639-a5f7-08a67118a5cf}" mentionId="{95f256d0-f569-450c-a5d9-6ebe781d3647}" startIndex="45" length="24"/>
    </x18tc:mentions>
  </x18tc:threadedComment>
  <x18tc:threadedComment ref="A1" dT="2025-09-23T19:39:52.00" personId="{91ddd612-48c2-41c6-a628-68f42b3a1fa2}" id="{596d2b19-b1e5-4dc4-b02b-cc6eaeaeaabf}" done="0">
    <x18tc:text xml:space="preserve">2160 W Rialto Ave # 122
9.23 Inspection contingency extended to 10.1 as per ETA.</x18tc:text>
  </x18tc:threadedComment>
  <x18tc:threadedComment ref="A1" dT="2025-11-04T20:18:46.00" personId="{d4b03686-3bed-491a-bd12-3b942153f8f5}" id="{49a9b9e9-c9a5-437c-9f81-88e193c16796}" done="0">
    <x18tc:text xml:space="preserve">STATE ST #251 @isabel@coryhometeam.com VERIFIED
Assigned to isabel@coryhometeam.com</x18tc:text>
    <x18tc:mentions>
      <x18tc:mention mentionpersonId="{7d00647f-be2a-4639-a5f7-08a67118a5cf}" mentionId="{f86d7507-e8ad-4a08-a9bd-b8108698bd40}" startIndex="14" length="24"/>
    </x18tc:mentions>
  </x18tc:threadedComment>
  <x18tc:threadedComment ref="A1" dT="2025-01-02T06:05:18.00" personId="{bd81d93e-be55-44dd-b62e-6a2b19efdd84}" id="{189d8c85-5fa5-414e-aae1-de790ba0aae9}" done="1">
    <x18tc:text xml:space="preserve">@rafael@coryhometeam.com 
12.30 AM verified.
@isabel@coryhometeam.com 
@kenia@coryhometeam.com 
12.30 CI sent to Escrow.</x18tc:text>
    <x18tc:mentions>
      <x18tc:mention mentionpersonId="{9bdf134a-8804-4ab3-a81d-c648bae0f1b8}" mentionId="{9b19ab20-afca-43e6-9c61-f2bd7d970f52}" startIndex="0" length="24"/>
      <x18tc:mention mentionpersonId="{7d00647f-be2a-4639-a5f7-08a67118a5cf}" mentionId="{9ab9c9df-10a4-4cb6-8e97-944a39a55a40}" startIndex="45" length="24"/>
      <x18tc:mention mentionpersonId="{c2b0de28-3b31-4aa3-82a3-f8aba187b3e9}" mentionId="{705d9c83-4112-4193-bd9a-cdccfaf22cd1}" startIndex="71" length="23"/>
    </x18tc:mentions>
  </x18tc:threadedComment>
  <x18tc:threadedComment ref="A1" dT="2025-05-16T14:21:02.00" personId="{91ddd612-48c2-41c6-a628-68f42b3a1fa2}" id="{4ae88ebd-da22-4be2-bdf1-f25c92b5e60d}" done="0">
    <x18tc:text xml:space="preserve">AM verified.
@isabel@coryhometeam.com 
@kenia@coryhometeam.com 
5.16 CI sent to Escrow.
Assigned to isabel@coryhometeam.com</x18tc:text>
    <x18tc:mentions>
      <x18tc:mention mentionpersonId="{7d00647f-be2a-4639-a5f7-08a67118a5cf}" mentionId="{278ab759-45f3-4e4d-a8f1-82bd34613f16}" startIndex="13" length="24"/>
      <x18tc:mention mentionpersonId="{c2b0de28-3b31-4aa3-82a3-f8aba187b3e9}" mentionId="{1e6f097d-5dad-47fa-a031-3e99ee6811d7}" startIndex="39" length="23"/>
    </x18tc:mentions>
  </x18tc:threadedComment>
  <x18tc:threadedComment ref="A1" dT="2025-01-02T06:04:16.00" personId="{bd81d93e-be55-44dd-b62e-6a2b19efdd84}" id="{3163d7c4-6e2a-4281-aca4-4a3b3256c35b}" done="0">
    <x18tc:text xml:space="preserve">@jamesa@coryhometeam.com 
12.30 HEITZ LN @isabel@coryhometeam.com VERIFIED</x18tc:text>
    <x18tc:mentions>
      <x18tc:mention mentionpersonId="{2e62d27e-283c-4022-9a11-29871798bb74}" mentionId="{a9f4be24-53a2-49de-95cb-8114354c19f8}" startIndex="0" length="24"/>
      <x18tc:mention mentionpersonId="{7d00647f-be2a-4639-a5f7-08a67118a5cf}" mentionId="{d2e0c04c-d44d-4bdd-a479-e3836d4adab2}" startIndex="41" length="24"/>
    </x18tc:mentions>
  </x18tc:threadedComment>
  <x18tc:threadedComment ref="A1" dT="2025-11-14T14:59:23.00" personId="{d4b03686-3bed-491a-bd12-3b942153f8f5}" id="{b85a2017-7179-42c5-89b1-ee4cf08a04f7}" done="0">
    <x18tc:text xml:space="preserve">YOSEMITE DR @isabel@coryhometeam.com VERIFIED
Assigned to isabel@coryhometeam.com</x18tc:text>
    <x18tc:mentions>
      <x18tc:mention mentionpersonId="{7d00647f-be2a-4639-a5f7-08a67118a5cf}" mentionId="{fe2718b8-6adf-454a-b864-15c869b9ff2b}" startIndex="12" length="24"/>
    </x18tc:mentions>
  </x18tc:threadedComment>
  <x18tc:threadedComment ref="A1" dT="2025-11-14T16:04:55.00" personId="{91ddd612-48c2-41c6-a628-68f42b3a1fa2}" id="{eb952a2b-8a94-4a10-a047-92c9d85e1d90}" done="0">
    <x18tc:text xml:space="preserve">31250 Comotilo Ct
AM verified.
@isabel@coryhometeam.com
@kenia@coryhometeam.com
11.14 CI sent to Escrow.
Assigned to isabel@coryhometeam.com</x18tc:text>
    <x18tc:mentions>
      <x18tc:mention mentionpersonId="{7d00647f-be2a-4639-a5f7-08a67118a5cf}" mentionId="{8f7f168e-ebba-45e3-a600-a204146f2990}" startIndex="31" length="24"/>
      <x18tc:mention mentionpersonId="{c2b0de28-3b31-4aa3-82a3-f8aba187b3e9}" mentionId="{c1c1b573-b616-4a25-96d0-0e732feac339}" startIndex="56" length="23"/>
    </x18tc:mentions>
  </x18tc:threadedComment>
  <x18tc:threadedComment ref="A1" dT="2025-01-02T06:04:36.00" personId="{bd81d93e-be55-44dd-b62e-6a2b19efdd84}" id="{2deff835-31e9-4378-8cd7-e04d2830b725}" done="1">
    <x18tc:text xml:space="preserve">@rafael@coryhometeam.com  
12.30 AM verified.
@isabel@coryhometeam.com 
@kenia@coryhometeam.com 
12.30 CI sent to Escrow.</x18tc:text>
    <x18tc:mentions>
      <x18tc:mention mentionpersonId="{9bdf134a-8804-4ab3-a81d-c648bae0f1b8}" mentionId="{c1c13066-6239-4030-aa8a-078d9e58bbb8}" startIndex="0" length="24"/>
      <x18tc:mention mentionpersonId="{7d00647f-be2a-4639-a5f7-08a67118a5cf}" mentionId="{36ed91b7-1b99-4078-8da2-f3724ddd39b6}" startIndex="46" length="24"/>
      <x18tc:mention mentionpersonId="{c2b0de28-3b31-4aa3-82a3-f8aba187b3e9}" mentionId="{7beca7ee-26e6-4aec-9b9c-abe36d7c6e86}" startIndex="72" length="23"/>
    </x18tc:mentions>
  </x18tc:threadedComment>
  <x18tc:threadedComment ref="A1" dT="2025-06-03T17:30:45.00" personId="{91ddd612-48c2-41c6-a628-68f42b3a1fa2}" id="{38f6993f-625f-4af5-a70a-4707ee85db69}" done="0">
    <x18tc:text xml:space="preserve">725 Washington Boulevard
AM verified.
@isabel@coryhometeam.com 
@kenia@coryhometeam.com 
6.3 CI sent to Escrow.
Assigned to isabel@coryhometeam.com</x18tc:text>
    <x18tc:mentions>
      <x18tc:mention mentionpersonId="{7d00647f-be2a-4639-a5f7-08a67118a5cf}" mentionId="{bc9d6927-4ca9-4131-8ca6-434fd8fd72d7}" startIndex="38" length="24"/>
      <x18tc:mention mentionpersonId="{c2b0de28-3b31-4aa3-82a3-f8aba187b3e9}" mentionId="{de972a6c-1d6c-4f34-ada6-6e03dc2fbd86}" startIndex="64" length="23"/>
    </x18tc:mentions>
  </x18tc:threadedComment>
  <x18tc:threadedComment ref="A1" dT="2025-11-14T16:07:59.00" personId="{91ddd612-48c2-41c6-a628-68f42b3a1fa2}" id="{a1eac31b-e55b-407b-b714-b9532aac3c60}" done="0">
    <x18tc:text xml:space="preserve">32249 Cour Meyney
AM verified.
@isabel@coryhometeam.com
@kenia@coryhometeam.com
11.14 CI sent to Escrow.
Assigned to isabel@coryhometeam.com</x18tc:text>
    <x18tc:mentions>
      <x18tc:mention mentionpersonId="{7d00647f-be2a-4639-a5f7-08a67118a5cf}" mentionId="{c64aaac0-77de-4e51-9e44-3cf977803ab8}" startIndex="31" length="24"/>
      <x18tc:mention mentionpersonId="{c2b0de28-3b31-4aa3-82a3-f8aba187b3e9}" mentionId="{3a0efcdf-ea95-4cd8-be6e-f22dad3f424a}" startIndex="56" length="23"/>
    </x18tc:mentions>
  </x18tc:threadedComment>
  <x18tc:threadedComment ref="A1" dT="2025-09-22T15:57:19.00" personId="{91ddd612-48c2-41c6-a628-68f42b3a1fa2}" id="{5aaa1888-eb41-48c9-b978-b8c13b95a917}" done="0">
    <x18tc:text xml:space="preserve">9.22 Buyer switched lender from Christian Dahlin to JP Morgan</x18tc:text>
  </x18tc:threadedComment>
  <x18tc:threadedComment ref="A1" dT="2025-01-02T06:03:36.00" personId="{bd81d93e-be55-44dd-b62e-6a2b19efdd84}" id="{6a62197e-973a-4339-bca9-7fcf6cbd0de1}" done="0">
    <x18tc:text xml:space="preserve">@jamesa@coryhometeam.com 
12.23 THORESON ST @isabel@coryhometeam.com VERIFIED</x18tc:text>
    <x18tc:mentions>
      <x18tc:mention mentionpersonId="{2e62d27e-283c-4022-9a11-29871798bb74}" mentionId="{a38373a4-b7d4-42aa-9103-664e110c3bc3}" startIndex="0" length="24"/>
      <x18tc:mention mentionpersonId="{7d00647f-be2a-4639-a5f7-08a67118a5cf}" mentionId="{164114a6-8157-45de-8520-b1393b48d8d2}" startIndex="44" length="24"/>
    </x18tc:mentions>
  </x18tc:threadedComment>
  <x18tc:threadedComment ref="A1" dT="2025-11-20T23:54:44.00" personId="{d4b03686-3bed-491a-bd12-3b942153f8f5}" id="{ab071c2f-2fbe-48d1-a129-be1f606e9a38}" done="0">
    <x18tc:text xml:space="preserve">CYPRESS AVE @isabel@coryhometeam.com VERIFIED</x18tc:text>
    <x18tc:mentions>
      <x18tc:mention mentionpersonId="{7d00647f-be2a-4639-a5f7-08a67118a5cf}" mentionId="{7408ff2a-06c0-443f-8b8b-a59d483bfef0}" startIndex="12" length="24"/>
    </x18tc:mentions>
  </x18tc:threadedComment>
  <x18tc:threadedComment ref="A1" dT="2025-01-02T06:03:56.00" personId="{bd81d93e-be55-44dd-b62e-6a2b19efdd84}" id="{d884d30a-49cb-4533-84f6-c95cafcbe1b9}" done="0">
    <x18tc:text xml:space="preserve">@jamesa@coryhometeam.com 
12.23 WITT AVE @isabel@coryhometeam.com VERIFIED</x18tc:text>
    <x18tc:mentions>
      <x18tc:mention mentionpersonId="{2e62d27e-283c-4022-9a11-29871798bb74}" mentionId="{211a8fe2-e621-45e4-ba97-8e88f8f44643}" startIndex="0" length="24"/>
      <x18tc:mention mentionpersonId="{7d00647f-be2a-4639-a5f7-08a67118a5cf}" mentionId="{d56a1fab-a9c8-45e6-8b6f-a77f25afa5dc}" startIndex="41" length="24"/>
    </x18tc:mentions>
  </x18tc:threadedComment>
  <x18tc:threadedComment ref="A1" dT="2025-05-23T20:41:54.00" personId="{91ddd612-48c2-41c6-a628-68f42b3a1fa2}" id="{b26e19bc-54ce-4f0b-8267-5fd778341f2d}" done="0">
    <x18tc:text xml:space="preserve">1562 Willow Leaf Dr
AM verified.
@isabel@coryhometeam.com 
@kenia@coryhometeam.com 
5.23 CI sent to Escrow.
Assigned to isabel@coryhometeam.com</x18tc:text>
    <x18tc:mentions>
      <x18tc:mention mentionpersonId="{7d00647f-be2a-4639-a5f7-08a67118a5cf}" mentionId="{0ffe1f34-eb75-4ce8-850a-1e2776a5f88a}" startIndex="33" length="24"/>
      <x18tc:mention mentionpersonId="{c2b0de28-3b31-4aa3-82a3-f8aba187b3e9}" mentionId="{30e14743-470d-443c-b1b3-ac40508f814a}" startIndex="59" length="23"/>
    </x18tc:mentions>
  </x18tc:threadedComment>
  <x18tc:threadedComment ref="A1" dT="2025-01-02T06:03:11.00" personId="{bd81d93e-be55-44dd-b62e-6a2b19efdd84}" id="{8440cb31-1312-40c0-8c0f-7232ac126de0}" done="1">
    <x18tc:text xml:space="preserve">@rafael@coryhometeam.com 
12.30 AM verified.
@isabel@coryhometeam.com 
@kenia@coryhometeam.com 
12.30 CI sent to Escrow.</x18tc:text>
    <x18tc:mentions>
      <x18tc:mention mentionpersonId="{9bdf134a-8804-4ab3-a81d-c648bae0f1b8}" mentionId="{888558c6-1e68-4c23-a84d-5a21ed4d7abc}" startIndex="0" length="24"/>
      <x18tc:mention mentionpersonId="{7d00647f-be2a-4639-a5f7-08a67118a5cf}" mentionId="{75663e3d-aa49-43dd-9ce5-9fe561ff20e3}" startIndex="45" length="24"/>
      <x18tc:mention mentionpersonId="{c2b0de28-3b31-4aa3-82a3-f8aba187b3e9}" mentionId="{9e307bdf-f199-4286-ad60-6250acf7da4a}" startIndex="71" length="23"/>
    </x18tc:mentions>
  </x18tc:threadedComment>
  <x18tc:threadedComment ref="A1" dT="2025-01-02T15:09:46.00" personId="{91ddd612-48c2-41c6-a628-68f42b3a1fa2}" id="{da7420b0-fbf9-4760-80d3-7e9a50345377}" parentId="{8440cb31-1312-40c0-8c0f-7232ac126de0}">
    <x18tc:text xml:space="preserve">Marked as resolved</x18tc:text>
  </x18tc:threadedComment>
  <x18tc:threadedComment ref="A1" dT="2025-01-02T06:10:27.00" personId="{bd81d93e-be55-44dd-b62e-6a2b19efdd84}" id="{ec868d9d-cb68-4ec2-b5b7-4be631e4f7c1}" done="0">
    <x18tc:text xml:space="preserve">@rafael@coryhometeam.com 
12.17 Waiting on the confirmation. The 595 fee is missing in the BRBC form.</x18tc:text>
    <x18tc:mentions>
      <x18tc:mention mentionpersonId="{9bdf134a-8804-4ab3-a81d-c648bae0f1b8}" mentionId="{f1f621b7-a471-45fa-ab7f-ae37afd383e1}" startIndex="0" length="24"/>
    </x18tc:mentions>
  </x18tc:threadedComment>
  <x18tc:threadedComment ref="A1" dT="2025-01-02T06:10:51.00" personId="{bd81d93e-be55-44dd-b62e-6a2b19efdd84}" id="{a06f1a9f-ecce-471c-9b5f-885ddda6337e}" parentId="{ec868d9d-cb68-4ec2-b5b7-4be631e4f7c1}">
    <x18tc:text xml:space="preserve">@rafael@coryhometeam.com 
12.18 Per Kenia: I confirmed with the buyer's agent. $595.00 will be paid by the buyer out of the remainder percentage *No additional commission paid buyer.</x18tc:text>
    <x18tc:mentions>
      <x18tc:mention mentionpersonId="{9bdf134a-8804-4ab3-a81d-c648bae0f1b8}" mentionId="{19f1c7b1-cfd1-4771-8a9d-3e4b499a9c09}" startIndex="0" length="24"/>
    </x18tc:mentions>
  </x18tc:threadedComment>
  <x18tc:threadedComment ref="A1" dT="2025-05-23T21:38:11.00" personId="{91ddd612-48c2-41c6-a628-68f42b3a1fa2}" id="{cd4cfe6b-9c17-41e7-98a8-38488a6a216c}" done="0">
    <x18tc:text xml:space="preserve">From CASH to Conventional Loan</x18tc:text>
  </x18tc:threadedComment>
  <x18tc:threadedComment ref="A1" dT="2025-07-31T13:35:17.00" personId="{91ddd612-48c2-41c6-a628-68f42b3a1fa2}" id="{637ef153-a155-4875-83ca-42de384c344b}" done="0">
    <x18tc:text xml:space="preserve">17170, 17162 Grand Ave
AM verified.
7.31 CI sent to Escrow.
@isabel@coryhometeam.com 
@kenia@coryhometeam.com
Assigned to isabel@coryhometeam.com</x18tc:text>
    <x18tc:mentions>
      <x18tc:mention mentionpersonId="{7d00647f-be2a-4639-a5f7-08a67118a5cf}" mentionId="{d35aeaec-4ef5-4bfe-bf86-5062bd7ab996}" startIndex="60" length="24"/>
      <x18tc:mention mentionpersonId="{c2b0de28-3b31-4aa3-82a3-f8aba187b3e9}" mentionId="{e59d862d-96cd-4a5a-a99c-e024cb39f8c9}" startIndex="86" length="23"/>
    </x18tc:mentions>
  </x18tc:threadedComment>
  <x18tc:threadedComment ref="A1" dT="2025-07-07T16:40:46.00" personId="{91ddd612-48c2-41c6-a628-68f42b3a1fa2}" id="{47e841c1-b20d-4ac7-a909-eecf3cc9865a}" done="0">
    <x18tc:text xml:space="preserve">8247 Concord St
Per Kenia LA's commission is $100.</x18tc:text>
  </x18tc:threadedComment>
  <x18tc:threadedComment ref="A1" dT="2026-03-23T22:16:17.00" personId="{d4b03686-3bed-491a-bd12-3b942153f8f5}" id="{44b4a751-45e4-400d-b2b7-640b0659bda7}" done="0">
    <x18tc:text xml:space="preserve">All time periods shall begin upon the Seller’s delivery to the Buyer of a written notice removing the Finding Replacement Property Contingency (SPRP 2.A)</x18tc:text>
  </x18tc:threadedComment>
  <x18tc:threadedComment ref="A1" dT="2025-06-10T19:10:05.00" personId="{91ddd612-48c2-41c6-a628-68f42b3a1fa2}" id="{3ff1b32d-3c0a-42e3-834a-8d7f4002fbfc}" done="0">
    <x18tc:text xml:space="preserve">6.10 Loan extended to 6.10 as per ETA.</x18tc:text>
  </x18tc:threadedComment>
  <x18tc:threadedComment ref="A1" dT="2025-07-31T13:35:22.00" personId="{91ddd612-48c2-41c6-a628-68f42b3a1fa2}" id="{180c20a7-b318-475d-bb6b-7aa1df048689}" done="0">
    <x18tc:text xml:space="preserve">17170, 17162 Grand Ave
AM verified.
7.31 CI sent to Escrow.
@isabel@coryhometeam.com 
@kenia@coryhometeam.com</x18tc:text>
    <x18tc:mentions>
      <x18tc:mention mentionpersonId="{7d00647f-be2a-4639-a5f7-08a67118a5cf}" mentionId="{0179d3d2-86eb-4d0e-bdb3-51154821218e}" startIndex="60" length="24"/>
      <x18tc:mention mentionpersonId="{c2b0de28-3b31-4aa3-82a3-f8aba187b3e9}" mentionId="{75165d5d-ce57-4b1f-8a5a-d4d20da8584b}" startIndex="86" length="23"/>
    </x18tc:mentions>
  </x18tc:threadedComment>
  <x18tc:threadedComment ref="A1" dT="2025-07-07T16:33:22.00" personId="{686b49bf-83f4-411b-b0f1-f0e341680f5a}" id="{fa2152a3-0965-42fb-84ff-534bab17a4e4}" done="0">
    <x18tc:text xml:space="preserve">@aileen@coryhometeam.com Can you get the information on this one completed? Home details are on the MLS sheet.
Assigned to aileen@coryhometeam.com</x18tc:text>
    <x18tc:mentions>
      <x18tc:mention mentionpersonId="{d84aad15-fe10-4ace-a111-49c543015ec6}" mentionId="{978e7360-9e6a-43c1-afbf-af68e2c41e1e}" startIndex="0" length="24"/>
    </x18tc:mentions>
  </x18tc:threadedComment>
  <x18tc:threadedComment ref="A1" dT="2025-06-10T20:58:52.00" personId="{d4b03686-3bed-491a-bd12-3b942153f8f5}" id="{dff79816-8cec-4d59-8974-cff721112252}" done="0">
    <x18tc:text xml:space="preserve">MIRA LOMA @isabel@coryhometeam.com VERIFIED
Assigned to isabel@coryhometeam.com</x18tc:text>
    <x18tc:mentions>
      <x18tc:mention mentionpersonId="{7d00647f-be2a-4639-a5f7-08a67118a5cf}" mentionId="{f5bcb417-78bb-47be-8da5-b36d5c3fd999}" startIndex="10" length="24"/>
    </x18tc:mentions>
  </x18tc:threadedComment>
  <x18tc:threadedComment ref="A1" dT="2025-09-05T18:39:18.00" personId="{91ddd612-48c2-41c6-a628-68f42b3a1fa2}" id="{a4731c2e-97b2-48ef-9792-cc0d5df4df83}" done="0">
    <x18tc:text xml:space="preserve">24450 Malaga Rd
AM verified.
@isabel@coryhometeam.com
@kenia@coryhometeam.com
9.5 CI sent to Escrow.
Assigned to isabel@coryhometeam.com</x18tc:text>
    <x18tc:mentions>
      <x18tc:mention mentionpersonId="{7d00647f-be2a-4639-a5f7-08a67118a5cf}" mentionId="{e6b11245-0d9d-4cb2-9332-629a3f09b631}" startIndex="29" length="24"/>
      <x18tc:mention mentionpersonId="{c2b0de28-3b31-4aa3-82a3-f8aba187b3e9}" mentionId="{f599dbc5-4763-4229-a229-8f2c1c57b3dd}" startIndex="54" length="23"/>
    </x18tc:mentions>
  </x18tc:threadedComment>
  <x18tc:threadedComment ref="A1" dT="2025-07-25T15:23:38.00" personId="{d4b03686-3bed-491a-bd12-3b942153f8f5}" id="{284e7a4e-a5b3-4f16-9409-0e6cbcc5a384}" done="0">
    <x18tc:text xml:space="preserve">OAKWOOD AVE @isabel@coryhometeam.com VERIFIED
Assigned to isabel@coryhometeam.com</x18tc:text>
    <x18tc:mentions>
      <x18tc:mention mentionpersonId="{7d00647f-be2a-4639-a5f7-08a67118a5cf}" mentionId="{ba0ae004-e78e-410a-b3b8-062bbce5bdf4}" startIndex="12" length="24"/>
    </x18tc:mentions>
  </x18tc:threadedComment>
  <x18tc:threadedComment ref="A1" dT="2025-04-18T22:51:18.00" personId="{d4b03686-3bed-491a-bd12-3b942153f8f5}" id="{6dcc3a1c-7e7a-4a70-93ad-de578c5d8cb2}" done="0">
    <x18tc:text xml:space="preserve">NONNIE DRIVE @isabel@coryhometeam.com VERIFIED
Assigned to isabel@coryhometeam.com</x18tc:text>
    <x18tc:mentions>
      <x18tc:mention mentionpersonId="{7d00647f-be2a-4639-a5f7-08a67118a5cf}" mentionId="{37d2683f-5386-484a-85fd-7fceb296ea99}" startIndex="13" length="24"/>
    </x18tc:mentions>
  </x18tc:threadedComment>
  <x18tc:threadedComment ref="A1" dT="2025-06-03T17:24:39.00" personId="{d4b03686-3bed-491a-bd12-3b942153f8f5}" id="{c959d6ba-af93-4bda-b66f-673d908007c3}" done="0">
    <x18tc:text xml:space="preserve">BENEDETTO PT. @isabel@coryhometeam.com VERIFIED
Assigned to isabel@coryhometeam.com</x18tc:text>
    <x18tc:mentions>
      <x18tc:mention mentionpersonId="{7d00647f-be2a-4639-a5f7-08a67118a5cf}" mentionId="{122ccbb0-4996-4e7c-8d2d-93dc361b2a7f}" startIndex="14" length="24"/>
    </x18tc:mentions>
  </x18tc:threadedComment>
  <x18tc:threadedComment ref="A1" dT="2025-04-25T05:49:14.00" personId="{91ddd612-48c2-41c6-a628-68f42b3a1fa2}" id="{bff0f204-4dad-4aeb-a051-670b6f13ca50}" done="0">
    <x18tc:text xml:space="preserve">AM verified. 
@isabel@coryhometeam.com 
@kenia@coryhometeam.com 
4.25 CI sent to Escrow.
Assigned to isabel@coryhometeam.com</x18tc:text>
    <x18tc:mentions>
      <x18tc:mention mentionpersonId="{7d00647f-be2a-4639-a5f7-08a67118a5cf}" mentionId="{79cce645-b79c-4962-a5d7-1aa2d917a25e}" startIndex="14" length="24"/>
      <x18tc:mention mentionpersonId="{c2b0de28-3b31-4aa3-82a3-f8aba187b3e9}" mentionId="{e1110c8c-2ec2-4cdf-8017-64fc07d615e7}" startIndex="40" length="23"/>
    </x18tc:mentions>
  </x18tc:threadedComment>
  <x18tc:threadedComment ref="A1" dT="2025-05-05T12:26:30.00" personId="{91ddd612-48c2-41c6-a628-68f42b3a1fa2}" id="{3f1a0e1c-7966-4eca-8066-e2ea7fb7e141}" parentId="{bff0f204-4dad-4aeb-a051-670b6f13ca50}">
    <x18tc:text xml:space="preserve">5.5 Amended CI sent to escrow.
@isabel@coryhometeam.com</x18tc:text>
    <x18tc:mentions>
      <x18tc:mention mentionpersonId="{7d00647f-be2a-4639-a5f7-08a67118a5cf}" mentionId="{28138a03-c648-436a-a0b3-7aaaeda120b4}" startIndex="31" length="24"/>
    </x18tc:mentions>
  </x18tc:threadedComment>
  <x18tc:threadedComment ref="A1" dT="2025-12-12T22:46:44.00" personId="{d4b03686-3bed-491a-bd12-3b942153f8f5}" id="{f6d9cf9d-510f-4933-9942-bc1f17d27d34}" done="0">
    <x18tc:text xml:space="preserve">$589.00</x18tc:text>
  </x18tc:threadedComment>
  <x18tc:threadedComment ref="A1" dT="2025-07-10T16:52:22.00" personId="{283cbab7-8785-4d8a-9d80-ae85deef9da8}" id="{437da0ed-f51b-4f85-aa5d-1608cc54ca44}" done="0">
    <x18tc:text xml:space="preserve">@aileen@coryhometeam.com 
this was not entered to Agent board
Assigned to aileen@coryhometeam.com</x18tc:text>
    <x18tc:mentions>
      <x18tc:mention mentionpersonId="{d84aad15-fe10-4ace-a111-49c543015ec6}" mentionId="{05f27e03-d993-4c26-8678-896652f85ce5}" startIndex="0" length="24"/>
    </x18tc:mentions>
  </x18tc:threadedComment>
  <x18tc:threadedComment ref="A1" dT="2025-07-10T17:23:49.00" personId="{686b49bf-83f4-411b-b0f1-f0e341680f5a}" id="{c022c9b6-3a75-45f1-bd10-60a80659f971}" parentId="{437da0ed-f51b-4f85-aa5d-1608cc54ca44}">
    <x18tc:text xml:space="preserve">@aileen@coryhometeam.com The RLA was signed on 07/02/25 this needs to be processed immediately.</x18tc:text>
    <x18tc:mentions>
      <x18tc:mention mentionpersonId="{d84aad15-fe10-4ace-a111-49c543015ec6}" mentionId="{07ce049a-edcf-4035-87f2-0d313d067cea}" startIndex="0" length="24"/>
    </x18tc:mentions>
  </x18tc:threadedComment>
  <x18tc:threadedComment ref="A1" dT="2025-06-03T17:22:54.00" personId="{d4b03686-3bed-491a-bd12-3b942153f8f5}" id="{497543da-6e6c-4694-b0e8-5e426836cdbb}" done="0">
    <x18tc:text xml:space="preserve">VISTA RIDGE RD @isabel@coryhometeam.com VERIFIED
Assigned to isabel@coryhometeam.com</x18tc:text>
    <x18tc:mentions>
      <x18tc:mention mentionpersonId="{7d00647f-be2a-4639-a5f7-08a67118a5cf}" mentionId="{a45298dd-8b23-4c8f-9535-9124392e3d73}" startIndex="15" length="24"/>
    </x18tc:mentions>
  </x18tc:threadedComment>
  <x18tc:threadedComment ref="AD59" dT="2026-06-18T23:37:40.00" personId="{d4b03686-3bed-491a-bd12-3b942153f8f5}" id="{05455023-632e-4a88-815c-b8152c34a78e}" done="0">
    <x18tc:text xml:space="preserve">$10,695.00</x18tc:text>
  </x18tc:threadedComment>
  <x18tc:threadedComment ref="A1" dT="2025-04-25T05:46:55.00" personId="{91ddd612-48c2-41c6-a628-68f42b3a1fa2}" id="{3a9def99-6556-4f0d-a198-69cf8eb6cdc4}" done="0">
    <x18tc:text xml:space="preserve">AM verified.
@isabel@coryhometeam.com 
@kenia@coryhometeam.com 
4.25 CI sent to Escrow.
Assigned to isabel@coryhometeam.com</x18tc:text>
    <x18tc:mentions>
      <x18tc:mention mentionpersonId="{7d00647f-be2a-4639-a5f7-08a67118a5cf}" mentionId="{f85e1e14-d3e9-4e38-9ce7-ed58a405bd1c}" startIndex="13" length="24"/>
      <x18tc:mention mentionpersonId="{c2b0de28-3b31-4aa3-82a3-f8aba187b3e9}" mentionId="{26624185-6ca2-4d51-a51d-39e55c5ada72}" startIndex="39" length="23"/>
    </x18tc:mentions>
  </x18tc:threadedComment>
  <x18tc:threadedComment ref="A1" dT="2025-11-04T21:19:50.00" personId="{e9fc873c-1c43-4e02-b893-c88033c9c8f6}" id="{d8017d1c-679d-4052-8331-1019b41a8d7e}" done="0">
    <x18tc:text xml:space="preserve">already with eXp, call scheduled for Tomorrow</x18tc:text>
  </x18tc:threadedComment>
  <x18tc:threadedComment ref="A1" dT="2025-11-06T17:25:28.00" personId="{e9fc873c-1c43-4e02-b893-c88033c9c8f6}" id="{484848f3-f7b7-4717-a45c-4fea0f3ae410}" parentId="{d8017d1c-679d-4052-8331-1019b41a8d7e}">
    <x18tc:text xml:space="preserve">Planning to onboard Monday, exp emailed, license instructions sent to him</x18tc:text>
  </x18tc:threadedComment>
  <x18tc:threadedComment ref="A1" dT="2025-11-12T19:37:56.00" personId="{e9fc873c-1c43-4e02-b893-c88033c9c8f6}" id="{1e1716db-9148-442b-b1b5-2054ddbd9acb}" parentId="{d8017d1c-679d-4052-8331-1019b41a8d7e}">
    <x18tc:text xml:space="preserve">not able to get ahold of, didnt finish exp transfer, Mel also hasnt gotten ahold of</x18tc:text>
  </x18tc:threadedComment>
  <x18tc:threadedComment ref="A1" dT="2025-02-03T17:53:02.00" personId="{91ddd612-48c2-41c6-a628-68f42b3a1fa2}" id="{9f3be519-1124-4660-8055-b2a68a17a437}" done="0">
    <x18tc:text xml:space="preserve">AM verified.
@isabel@coryhometeam.com 
@kenia@coryhometeam.com 
2.3 CI sent to Escrow.
Assigned to isabel@coryhometeam.com</x18tc:text>
    <x18tc:mentions>
      <x18tc:mention mentionpersonId="{7d00647f-be2a-4639-a5f7-08a67118a5cf}" mentionId="{e76010ab-b245-4cfb-b1eb-28a3371a3ee5}" startIndex="13" length="24"/>
      <x18tc:mention mentionpersonId="{c2b0de28-3b31-4aa3-82a3-f8aba187b3e9}" mentionId="{7f1fe272-9141-4e62-9cba-5a313df3f7ad}" startIndex="39" length="23"/>
    </x18tc:mentions>
  </x18tc:threadedComment>
  <x18tc:threadedComment ref="A1" dT="2025-01-31T01:41:53.00" personId="{686b49bf-83f4-411b-b0f1-f0e341680f5a}" id="{39d44032-2441-4089-b9d1-319069eaf843}" done="0">
    <x18tc:text xml:space="preserve">Per Mel text on 01.30.25
Do not send MT for Commission correction.</x18tc:text>
  </x18tc:threadedComment>
  <x18tc:threadedComment ref="A1" dT="2025-04-25T06:10:42.00" personId="{91ddd612-48c2-41c6-a628-68f42b3a1fa2}" id="{08c0c49d-bd66-4430-aeb6-81f6febcedb9}" done="0">
    <x18tc:text xml:space="preserve">4.24 App &amp; Loan Contingences extended to to 4.28 as per ETA1.</x18tc:text>
  </x18tc:threadedComment>
  <x18tc:threadedComment ref="A1" dT="2025-09-08T19:54:37.00" personId="{686b49bf-83f4-411b-b0f1-f0e341680f5a}" id="{e74e1d5a-7da4-4d42-a065-d8b99dd201d5}" done="0">
    <x18tc:text xml:space="preserve">Seller needed to close concurrently with the replacement home on 09/08.</x18tc:text>
  </x18tc:threadedComment>
  <x18tc:threadedComment ref="A1" dT="2025-07-07T22:42:54.00" personId="{d4b03686-3bed-491a-bd12-3b942153f8f5}" id="{fcca6a6e-7b47-4f2e-93bc-88b828cc5b1a}" done="0">
    <x18tc:text xml:space="preserve">2.0% from Seller .5% from Buyer</x18tc:text>
  </x18tc:threadedComment>
  <x18tc:threadedComment ref="A1" dT="2025-03-02T00:01:35.00" personId="{91ddd612-48c2-41c6-a628-68f42b3a1fa2}" id="{cb972610-d972-4ca6-97aa-02b8babfea35}" done="0">
    <x18tc:text xml:space="preserve">3.1 Waiting on the agents take sheet. We need the info of the lender and the complete buyers information (Email Address)</x18tc:text>
  </x18tc:threadedComment>
  <x18tc:threadedComment ref="A1" dT="2025-07-07T19:50:04.00" personId="{91ddd612-48c2-41c6-a628-68f42b3a1fa2}" id="{6cee146b-76d4-42a2-a0f0-869ba7191db9}" done="0">
    <x18tc:text xml:space="preserve">Carla Harper 
7.7 ETA extending COE from 7.1 to 7.10 out for signature.</x18tc:text>
  </x18tc:threadedComment>
  <x18tc:threadedComment ref="A1" dT="2025-02-03T18:32:55.00" personId="{91ddd612-48c2-41c6-a628-68f42b3a1fa2}" id="{07fac7ca-6ef1-404b-a83f-729ef2aeeb61}" done="0">
    <x18tc:text xml:space="preserve">2.3 Please see price reduction as per ADM2.</x18tc:text>
  </x18tc:threadedComment>
  <x18tc:threadedComment ref="A1" dT="2025-05-09T16:07:55.00" personId="{d4b03686-3bed-491a-bd12-3b942153f8f5}" id="{f9e77ea2-c396-4b93-9954-66c86771aabf}" done="0">
    <x18tc:text xml:space="preserve">DEVONSHIRE LN @isabel@coryhometeam.com VERIFIED
Assigned to isabel@coryhometeam.com</x18tc:text>
    <x18tc:mentions>
      <x18tc:mention mentionpersonId="{7d00647f-be2a-4639-a5f7-08a67118a5cf}" mentionId="{b75c93c0-473d-4d3a-a095-90111b89cbfa}" startIndex="14" length="24"/>
    </x18tc:mentions>
  </x18tc:threadedComment>
  <x18tc:threadedComment ref="A1" dT="2025-04-16T23:51:02.00" personId="{91ddd612-48c2-41c6-a628-68f42b3a1fa2}" id="{19c62d5d-616b-4538-a209-e54b90d18e07}" done="0">
    <x18tc:text xml:space="preserve">4.16 Per Jenna's take sheet her commission is $16,840.</x18tc:text>
  </x18tc:threadedComment>
  <x18tc:threadedComment ref="A1" dT="2025-04-18T23:17:40.00" personId="{d4b03686-3bed-491a-bd12-3b942153f8f5}" id="{696fd0de-bd73-4224-8515-b83d246f2db9}" done="0">
    <x18tc:text xml:space="preserve">ORION ST @isabel@coryhometeam.com VERIFIED
Assigned to isabel@coryhometeam.com</x18tc:text>
    <x18tc:mentions>
      <x18tc:mention mentionpersonId="{7d00647f-be2a-4639-a5f7-08a67118a5cf}" mentionId="{6948d7c6-3236-45ad-abdd-9f220d973c36}" startIndex="9" length="24"/>
    </x18tc:mentions>
  </x18tc:threadedComment>
  <x18tc:threadedComment ref="A1" dT="2025-09-16T19:43:25.00" personId="{91ddd612-48c2-41c6-a628-68f42b3a1fa2}" id="{f249335c-3325-403c-8073-6e84ddb219f6}" done="0">
    <x18tc:text xml:space="preserve">4400 W Florida Avenue #254
AM verified.
@isabel@coryhometeam.com
@kenia@coryhometeam.com
9.16 CI sent to Escrow.
Assigned to isabel@coryhometeam.com</x18tc:text>
    <x18tc:mentions>
      <x18tc:mention mentionpersonId="{7d00647f-be2a-4639-a5f7-08a67118a5cf}" mentionId="{cbfd51c8-0956-4bc8-b254-63ef8903f293}" startIndex="40" length="24"/>
      <x18tc:mention mentionpersonId="{c2b0de28-3b31-4aa3-82a3-f8aba187b3e9}" mentionId="{ad4e27f3-5983-47b3-a965-25c224d1b0ea}" startIndex="65" length="23"/>
    </x18tc:mentions>
  </x18tc:threadedComment>
  <x18tc:threadedComment ref="A1" dT="2025-09-08T18:25:46.00" personId="{d4b03686-3bed-491a-bd12-3b942153f8f5}" id="{e449afb4-840b-406f-a696-6ec6521a8dad}" done="0">
    <x18tc:text xml:space="preserve">TULLEY RANCH RD @isabel@coryhometeam.com VERIFIED
Assigned to isabel@coryhometeam.com</x18tc:text>
    <x18tc:mentions>
      <x18tc:mention mentionpersonId="{7d00647f-be2a-4639-a5f7-08a67118a5cf}" mentionId="{dd05a5e5-578f-48ec-80fa-487cd76cecb6}" startIndex="16" length="24"/>
    </x18tc:mentions>
  </x18tc:threadedComment>
  <x18tc:threadedComment ref="A1" dT="2025-11-21T22:34:46.00" personId="{d4b03686-3bed-491a-bd12-3b942153f8f5}" id="{68342b4a-273a-492a-a261-bdbc8494a020}" done="0">
    <x18tc:text xml:space="preserve">$100.00</x18tc:text>
  </x18tc:threadedComment>
  <x18tc:threadedComment ref="A1" dT="2025-06-12T01:54:54.00" personId="{686b49bf-83f4-411b-b0f1-f0e341680f5a}" id="{c48f6d48-9e0f-4d5f-a651-a0e7484e3d5e}" done="0">
    <x18tc:text xml:space="preserve">$595 to be paid by Myrna out of her commission</x18tc:text>
  </x18tc:threadedComment>
  <x18tc:threadedComment ref="A1" dT="2025-06-23T16:30:48.00" personId="{e9fc873c-1c43-4e02-b893-c88033c9c8f6}" id="{193b7082-5ba9-4f4b-98e7-cf11e8450410}" parentId="{c48f6d48-9e0f-4d5f-a651-a0e7484e3d5e}">
    <x18tc:text xml:space="preserve">Myrna spoke with Mel and received approval for this to be waived @isabel@coryhometeam.com</x18tc:text>
    <x18tc:mentions>
      <x18tc:mention mentionpersonId="{7d00647f-be2a-4639-a5f7-08a67118a5cf}" mentionId="{e1bd087e-4e57-46d5-9f0b-ffbc079482e8}" startIndex="65" length="24"/>
    </x18tc:mentions>
  </x18tc:threadedComment>
  <x18tc:threadedComment ref="A1" dT="2026-01-14T21:18:45.00" personId="{e9fc873c-1c43-4e02-b893-c88033c9c8f6}" id="{5fa62132-998e-4ec5-8157-f203d13da3e9}" done="0">
    <x18tc:text xml:space="preserve">finishing her last deal with her past broker</x18tc:text>
  </x18tc:threadedComment>
  <x18tc:threadedComment ref="A1" dT="2025-04-16T17:17:01.00" personId="{70ef93c1-8205-4a4b-b2d2-ae0f451d890c}" id="{2dab4bcc-135f-4300-b24b-659e204cd4f7}" done="0">
    <x18tc:text xml:space="preserve">4/4-4/6/2025</x18tc:text>
  </x18tc:threadedComment>
  <x18tc:threadedComment ref="AT18" dT="2026-05-28T23:31:21.00" personId="{91ddd612-48c2-41c6-a628-68f42b3a1fa2}" id="{26474206-b0bc-4e48-ac9f-09d6e59af22a}" done="0">
    <x18tc:text xml:space="preserve">738 E 5Th Ave
AM verified.
@isabel@coryhometeam.com
@kenia@coryhometeam.com
5.28 CI sent to Escrow.
Assigned to isabel@coryhometeam.com</x18tc:text>
    <x18tc:mentions>
      <x18tc:mention mentionpersonId="{7d00647f-be2a-4639-a5f7-08a67118a5cf}" mentionId="{107008de-8cf1-43db-9d6a-6cc523b08bc2}" startIndex="27" length="24"/>
      <x18tc:mention mentionpersonId="{c2b0de28-3b31-4aa3-82a3-f8aba187b3e9}" mentionId="{4a422ac0-da63-490b-8696-95a6a929b043}" startIndex="52" length="23"/>
    </x18tc:mentions>
  </x18tc:threadedComment>
  <x18tc:threadedComment ref="A1" dT="2025-01-22T17:17:59.00" personId="{d4b03686-3bed-491a-bd12-3b942153f8f5}" id="{780db042-d6d5-4516-851e-823b192f6938}" done="0">
    <x18tc:text xml:space="preserve">PRIMROSE LN @isabel@coryhometeam.com VERIFIED
Assigned to isabel@coryhometeam.com</x18tc:text>
    <x18tc:mentions>
      <x18tc:mention mentionpersonId="{7d00647f-be2a-4639-a5f7-08a67118a5cf}" mentionId="{7302f450-3807-4a0d-831e-b444f610ef16}" startIndex="12" length="24"/>
    </x18tc:mentions>
  </x18tc:threadedComment>
  <x18tc:threadedComment ref="A1" dT="2025-06-25T16:43:07.00" personId="{70ef93c1-8205-4a4b-b2d2-ae0f451d890c}" id="{0bd5cce0-2e5d-4974-a729-d43c4bddeb8f}" done="0">
    <x18tc:text xml:space="preserve">6/25/25-6/27/25</x18tc:text>
  </x18tc:threadedComment>
  <x18tc:threadedComment ref="A1" dT="2025-02-20T20:41:53.00" personId="{c7fad490-24e0-4859-bb84-4307c52d4768}" id="{202cfd23-878f-40af-bb09-73d1039f0332}" done="0">
    <x18tc:text xml:space="preserve">we received $595 on final check, and CDA has $595. I changed this from $0 (NewBuild) to $595 @kenia@coryhometeam.com</x18tc:text>
    <x18tc:mentions>
      <x18tc:mention mentionpersonId="{c2b0de28-3b31-4aa3-82a3-f8aba187b3e9}" mentionId="{630f1bb8-0c14-4cf3-bced-3a78cbf6af5a}" startIndex="93" length="23"/>
    </x18tc:mentions>
  </x18tc:threadedComment>
  <x18tc:threadedComment ref="A1" dT="2025-02-20T20:42:39.00" personId="{283cbab7-8785-4d8a-9d80-ae85deef9da8}" id="{43729034-e50e-4f31-b509-6e818a4797e2}" parentId="{202cfd23-878f-40af-bb09-73d1039f0332}">
    <x18tc:text xml:space="preserve">ok 👌 I mean If they paid it</x18tc:text>
  </x18tc:threadedComment>
  <x18tc:threadedComment ref="A1" dT="2025-11-22T01:07:15.00" personId="{686b49bf-83f4-411b-b0f1-f0e341680f5a}" id="{fc943304-4e8c-4851-ac7b-df9e522c37b3}" done="1">
    <x18tc:text xml:space="preserve">@rafael@coryhometeam.com @kenia@coryhometeam.com Can you please update this Monday for next weeks reporting. 11/28/25 is a holiday so will this be Wed 11/26 or Mon 12/01</x18tc:text>
    <x18tc:mentions>
      <x18tc:mention mentionpersonId="{9bdf134a-8804-4ab3-a81d-c648bae0f1b8}" mentionId="{d87e696d-d62a-47f9-a715-7a1d1b98599a}" startIndex="0" length="24"/>
      <x18tc:mention mentionpersonId="{c2b0de28-3b31-4aa3-82a3-f8aba187b3e9}" mentionId="{db7e4ee2-7488-4723-929b-e31219bb8757}" startIndex="25" length="23"/>
    </x18tc:mentions>
  </x18tc:threadedComment>
  <x18tc:threadedComment ref="A1" dT="2025-01-22T15:54:39.00" personId="{91ddd612-48c2-41c6-a628-68f42b3a1fa2}" id="{89d1311d-b0eb-4a2a-8449-f0e914689e79}" done="0">
    <x18tc:text xml:space="preserve">AM verified.
@isabel@coryhometeam.com 
@kenia@coryhometeam.com 
1.22 CI sent to Escrow.
Assigned to isabel@coryhometeam.com</x18tc:text>
    <x18tc:mentions>
      <x18tc:mention mentionpersonId="{7d00647f-be2a-4639-a5f7-08a67118a5cf}" mentionId="{dd30ef77-397f-4c08-aee2-f4c19828efc0}" startIndex="13" length="24"/>
      <x18tc:mention mentionpersonId="{c2b0de28-3b31-4aa3-82a3-f8aba187b3e9}" mentionId="{654492ba-4514-4475-a181-79981083d096}" startIndex="39" length="23"/>
    </x18tc:mentions>
  </x18tc:threadedComment>
  <x18tc:threadedComment ref="A1" dT="2025-05-09T16:16:34.00" personId="{d4b03686-3bed-491a-bd12-3b942153f8f5}" id="{233f242a-d2b1-4d59-ab73-351f6c9ab59b}" done="0">
    <x18tc:text xml:space="preserve">MCCALL BLVD @isabel@coryhometeam.com VERIFIED
Assigned to isabel@coryhometeam.com</x18tc:text>
    <x18tc:mentions>
      <x18tc:mention mentionpersonId="{7d00647f-be2a-4639-a5f7-08a67118a5cf}" mentionId="{00b52d80-3900-4528-ab03-dc98c4421490}" startIndex="12" length="24"/>
    </x18tc:mentions>
  </x18tc:threadedComment>
  <x18tc:threadedComment ref="A1" dT="2025-04-18T23:32:20.00" personId="{686b49bf-83f4-411b-b0f1-f0e341680f5a}" id="{512ca21a-dbfb-4e40-8154-9fd567104955}" done="0">
    <x18tc:text xml:space="preserve">Cost of Home Warranty Coverage</x18tc:text>
  </x18tc:threadedComment>
  <x18tc:threadedComment ref="A1" dT="2025-11-04T23:53:29.00" personId="{d4b03686-3bed-491a-bd12-3b942153f8f5}" id="{ea6fdec6-5058-40d7-96d4-06e14c02d1d5}" done="0">
    <x18tc:text xml:space="preserve">PARKLAND AVE @isabel@coryhometeam.com VERIFIED
Assigned to isabel@coryhometeam.com</x18tc:text>
    <x18tc:mentions>
      <x18tc:mention mentionpersonId="{7d00647f-be2a-4639-a5f7-08a67118a5cf}" mentionId="{16cce5ab-c61e-463a-9f81-89cf43c997e9}" startIndex="13" length="24"/>
    </x18tc:mentions>
  </x18tc:threadedComment>
  <x18tc:threadedComment ref="A1" dT="2025-08-22T17:09:45.00" personId="{91ddd612-48c2-41c6-a628-68f42b3a1fa2}" id="{b7595b0d-6dce-4b56-88d8-aa598ff50eae}" done="0">
    <x18tc:text xml:space="preserve">12431 Highgate Ave
8.22 Price decrease to 353K as per AEA1.</x18tc:text>
  </x18tc:threadedComment>
  <x18tc:threadedComment ref="A1" dT="2025-03-02T00:02:04.00" personId="{91ddd612-48c2-41c6-a628-68f42b3a1fa2}" id="{14885b39-4dfc-4f90-9ee5-544d6250f815}" done="0">
    <x18tc:text xml:space="preserve">3.1 Please see note on the file review.</x18tc:text>
  </x18tc:threadedComment>
  <x18tc:threadedComment ref="A1" dT="2025-02-24T20:15:44.00" personId="{91ddd612-48c2-41c6-a628-68f42b3a1fa2}" id="{c4c46961-ea8a-4767-b478-d13bb2ea9807}" done="0">
    <x18tc:text xml:space="preserve">2.24 Possession moved upon removal of the SPRP.</x18tc:text>
  </x18tc:threadedComment>
  <x18tc:threadedComment ref="A1" dT="2025-11-04T23:49:25.00" personId="{d4b03686-3bed-491a-bd12-3b942153f8f5}" id="{2c6bbd0d-f919-4a41-9154-140ed68513e5}" done="0">
    <x18tc:text xml:space="preserve">LA VERNE AVE @isabel@coryhometeam.com VERIFIED
Assigned to isabel@coryhometeam.com</x18tc:text>
    <x18tc:mentions>
      <x18tc:mention mentionpersonId="{7d00647f-be2a-4639-a5f7-08a67118a5cf}" mentionId="{b496033d-cec6-4ff5-9905-49760f7cd609}" startIndex="13" length="24"/>
    </x18tc:mentions>
  </x18tc:threadedComment>
  <x18tc:threadedComment ref="A1" dT="2025-04-16T17:14:25.00" personId="{70ef93c1-8205-4a4b-b2d2-ae0f451d890c}" id="{061bcd2f-2772-471c-822c-6132d98ee3f5}" done="0">
    <x18tc:text xml:space="preserve">4/20/25-4/21/25</x18tc:text>
  </x18tc:threadedComment>
  <x18tc:threadedComment ref="A1" dT="2025-11-04T23:46:33.00" personId="{d4b03686-3bed-491a-bd12-3b942153f8f5}" id="{2bd59933-b37d-4c81-9dce-9c4bd0bf7cf2}" done="0">
    <x18tc:text xml:space="preserve">ELM AVE @isabel@coryhometeam.com VERIFIED
Assigned to isabel@coryhometeam.com</x18tc:text>
    <x18tc:mentions>
      <x18tc:mention mentionpersonId="{7d00647f-be2a-4639-a5f7-08a67118a5cf}" mentionId="{7bfc09a8-657d-479b-92f5-6e828a61e6dc}" startIndex="8" length="24"/>
    </x18tc:mentions>
  </x18tc:threadedComment>
  <x18tc:threadedComment ref="A1" dT="2025-02-20T21:21:23.00" personId="{91ddd612-48c2-41c6-a628-68f42b3a1fa2}" id="{bc9b45dd-2a75-4b96-b8a6-bd669318da87}" done="0">
    <x18tc:text xml:space="preserve">Possession moved due to ADM1 COE 3.12.</x18tc:text>
  </x18tc:threadedComment>
  <x18tc:threadedComment ref="A1" dT="2025-04-16T17:15:13.00" personId="{70ef93c1-8205-4a4b-b2d2-ae0f451d890c}" id="{9914a8df-a51e-4f1a-a6aa-839ea2fbd5af}" done="0">
    <x18tc:text xml:space="preserve">4/17-4/19</x18tc:text>
  </x18tc:threadedComment>
  <x18tc:threadedComment ref="A1" dT="2025-11-04T23:44:17.00" personId="{d4b03686-3bed-491a-bd12-3b942153f8f5}" id="{375e64c4-f9a9-4c44-ae62-fd90a31fef96}" done="0">
    <x18tc:text xml:space="preserve">CONNER WAY @isabel@coryhometeam.com VERIFIED
Assigned to isabel@coryhometeam.com</x18tc:text>
    <x18tc:mentions>
      <x18tc:mention mentionpersonId="{7d00647f-be2a-4639-a5f7-08a67118a5cf}" mentionId="{f53bbff4-40aa-4c61-8d05-381218fd0ba2}" startIndex="11" length="24"/>
    </x18tc:mentions>
  </x18tc:threadedComment>
  <x18tc:threadedComment ref="A1" dT="2025-02-20T21:17:18.00" personId="{91ddd612-48c2-41c6-a628-68f42b3a1fa2}" id="{59916aee-95c5-4641-938e-aefdf6f88c34}" done="0">
    <x18tc:text xml:space="preserve">AM verified.
@isabel@coryhometeam.com 
@kenia@coryhometeam.com 
2.20 CI sent to Escrow.
Assigned to isabel@coryhometeam.com</x18tc:text>
    <x18tc:mentions>
      <x18tc:mention mentionpersonId="{7d00647f-be2a-4639-a5f7-08a67118a5cf}" mentionId="{2c946c5e-8bf2-4cf3-a545-a8f75f9bc0fa}" startIndex="13" length="24"/>
      <x18tc:mention mentionpersonId="{c2b0de28-3b31-4aa3-82a3-f8aba187b3e9}" mentionId="{689e280c-32f8-476c-af1d-f48815cab7a0}" startIndex="39" length="23"/>
    </x18tc:mentions>
  </x18tc:threadedComment>
  <x18tc:threadedComment ref="A1" dT="2025-04-16T19:35:42.00" personId="{91ddd612-48c2-41c6-a628-68f42b3a1fa2}" id="{23b56db6-31f6-480f-a82c-4284800202e7}" done="0">
    <x18tc:text xml:space="preserve">TBD - This is contingent to SPRP.</x18tc:text>
  </x18tc:threadedComment>
  <x18tc:threadedComment ref="A1" dT="2025-11-04T23:41:19.00" personId="{d4b03686-3bed-491a-bd12-3b942153f8f5}" id="{2bc96a5b-b5af-4913-ad1c-67f3596e7f6f}" done="0">
    <x18tc:text xml:space="preserve">CAMINO DEL ARROYO @isabel@coryhometeam.com VERIFIED
Assigned to isabel@coryhometeam.com</x18tc:text>
    <x18tc:mentions>
      <x18tc:mention mentionpersonId="{7d00647f-be2a-4639-a5f7-08a67118a5cf}" mentionId="{4bf0eeeb-311b-4438-8ce6-7e243f192557}" startIndex="18" length="24"/>
    </x18tc:mentions>
  </x18tc:threadedComment>
  <x18tc:threadedComment ref="A1" dT="2025-04-04T17:14:30.00" personId="{91ddd612-48c2-41c6-a628-68f42b3a1fa2}" id="{f22b4531-a0ac-490a-94d5-3a9c4d1768ca}" done="0">
    <x18tc:text xml:space="preserve">AM verified.
@isabel@coryhometeam.com 
@kenia@coryhometeam.com 
4.4 CI sent to Escrow.
Assigned to isabel@coryhometeam.com</x18tc:text>
    <x18tc:mentions>
      <x18tc:mention mentionpersonId="{7d00647f-be2a-4639-a5f7-08a67118a5cf}" mentionId="{0364f28a-0d4b-4bf9-9dba-ca94862d1d44}" startIndex="13" length="24"/>
      <x18tc:mention mentionpersonId="{c2b0de28-3b31-4aa3-82a3-f8aba187b3e9}" mentionId="{ff8022aa-a530-43c2-a61d-8c5fa977dbed}" startIndex="39" length="23"/>
    </x18tc:mentions>
  </x18tc:threadedComment>
  <x18tc:threadedComment ref="A1" dT="2025-12-10T17:39:40.00" personId="{d4b03686-3bed-491a-bd12-3b942153f8f5}" id="{84b7886a-4a64-4673-a742-b36033c711b6}" done="0">
    <x18tc:text xml:space="preserve">LYN AVENUE @isabel@coryhometeam.com VERIFIED
Assigned to isabel@coryhometeam.com</x18tc:text>
    <x18tc:mentions>
      <x18tc:mention mentionpersonId="{7d00647f-be2a-4639-a5f7-08a67118a5cf}" mentionId="{7367fbd1-e90a-4410-a739-dbdc35b5d41b}" startIndex="11" length="24"/>
    </x18tc:mentions>
  </x18tc:threadedComment>
  <x18tc:threadedComment ref="A1" dT="2025-04-16T21:31:47.00" personId="{70ef93c1-8205-4a4b-b2d2-ae0f451d890c}" id="{dcb7efb4-f076-432c-a60a-84b688a78e68}" done="0">
    <x18tc:text xml:space="preserve">4/26-4/28/2025</x18tc:text>
  </x18tc:threadedComment>
  <x18tc:threadedComment ref="A1" dT="2025-02-20T21:21:41.00" personId="{91ddd612-48c2-41c6-a628-68f42b3a1fa2}" id="{50fd8e75-8ee5-4bfe-81c1-d30397b51421}" done="0">
    <x18tc:text xml:space="preserve">2.20 ADM1 COE 3.12 out for signature.</x18tc:text>
  </x18tc:threadedComment>
  <x18tc:threadedComment ref="A1" dT="2025-04-12T15:24:28.00" personId="{686b49bf-83f4-411b-b0f1-f0e341680f5a}" id="{552ddb2a-0aaf-471b-9024-6562a6bac487}" done="0">
    <x18tc:text xml:space="preserve">Lender delay</x18tc:text>
  </x18tc:threadedComment>
  <x18tc:threadedComment ref="A1" dT="2025-04-16T23:49:15.00" personId="{91ddd612-48c2-41c6-a628-68f42b3a1fa2}" id="{0943b18a-d14f-4aa2-846d-c4a668d038a1}" done="0">
    <x18tc:text xml:space="preserve">4.16 Per Jenna: After sale of there home.</x18tc:text>
  </x18tc:threadedComment>
  <x18tc:threadedComment ref="A1" dT="2025-09-23T00:35:21.00" personId="{d4b03686-3bed-491a-bd12-3b942153f8f5}" id="{1018f52d-0969-428c-a3a7-7b90d6b34602}" done="0">
    <x18tc:text xml:space="preserve">MAHOGANY TRAIL WAY @isabel@coryhometeam.com VERIFIED
Assigned to isabel@coryhometeam.com</x18tc:text>
    <x18tc:mentions>
      <x18tc:mention mentionpersonId="{7d00647f-be2a-4639-a5f7-08a67118a5cf}" mentionId="{0b6ce784-93a1-4443-92a4-72a807251cee}" startIndex="19" length="24"/>
    </x18tc:mentions>
  </x18tc:threadedComment>
  <x18tc:threadedComment ref="A1" dT="2025-12-10T15:21:00.00" personId="{91ddd612-48c2-41c6-a628-68f42b3a1fa2}" id="{b39bc35a-6aeb-46f7-a8e3-d720cbcb5134}" done="0">
    <x18tc:text xml:space="preserve">12.10 ETA1 Loan 12.9</x18tc:text>
  </x18tc:threadedComment>
  <x18tc:threadedComment ref="A1" dT="2025-10-22T18:19:03.00" personId="{283cbab7-8785-4d8a-9d80-ae85deef9da8}" id="{3e47e363-fee2-47f0-b0a8-10cbdf6b516d}" done="0">
    <x18tc:text xml:space="preserve">Buyer wanted to pay Addtional $600.00 towards Eddie's commission</x18tc:text>
  </x18tc:threadedComment>
  <x18tc:threadedComment ref="A1" dT="2025-07-23T23:29:27.00" personId="{d4b03686-3bed-491a-bd12-3b942153f8f5}" id="{717ffeb7-d108-43da-8294-281e97091381}" done="0">
    <x18tc:text xml:space="preserve">AMADOR DR @isabel@coryhometeam.com VERIFIED
Assigned to isabel@coryhometeam.com</x18tc:text>
    <x18tc:mentions>
      <x18tc:mention mentionpersonId="{7d00647f-be2a-4639-a5f7-08a67118a5cf}" mentionId="{90eb6b71-841f-4d08-a8b7-524cd8700b1a}" startIndex="10" length="24"/>
    </x18tc:mentions>
  </x18tc:threadedComment>
  <x18tc:threadedComment ref="A1" dT="2025-11-22T00:18:29.00" personId="{d4b03686-3bed-491a-bd12-3b942153f8f5}" id="{40c722a4-d450-465f-aad1-e22ca11769eb}" done="0">
    <x18tc:text xml:space="preserve">No Marketing per MLSA</x18tc:text>
  </x18tc:threadedComment>
  <x18tc:threadedComment ref="A1" dT="2025-08-07T22:03:49.00" personId="{d4b03686-3bed-491a-bd12-3b942153f8f5}" id="{09ac6329-e5f6-4502-9607-91be44d88374}" done="0">
    <x18tc:text xml:space="preserve">TURNBERRY ST @isabel@coryhometeam.com VERIFIED
Assigned to isabel@coryhometeam.com</x18tc:text>
    <x18tc:mentions>
      <x18tc:mention mentionpersonId="{7d00647f-be2a-4639-a5f7-08a67118a5cf}" mentionId="{979d0444-02b4-48cf-bbb3-0d22a36fb702}" startIndex="13" length="24"/>
    </x18tc:mentions>
  </x18tc:threadedComment>
  <x18tc:threadedComment ref="A1" dT="2025-02-27T18:20:51.00" personId="{91ddd612-48c2-41c6-a628-68f42b3a1fa2}" id="{3f971410-dbe9-4044-8a17-43f8d6856af2}" done="0">
    <x18tc:text xml:space="preserve">2.27 Per Lender: We received an appraisal waiver on this loan. No appraisal needed.</x18tc:text>
  </x18tc:threadedComment>
  <x18tc:threadedComment ref="A1" dT="2025-11-14T17:23:20.00" personId="{d4b03686-3bed-491a-bd12-3b942153f8f5}" id="{4dc6d324-5fb3-4264-af1a-21a72e6b36e5}" done="0">
    <x18tc:text xml:space="preserve">YOSEMITE Pl. @isabel@coryhometeam.com VERIFIED
Assigned to isabel@coryhometeam.com</x18tc:text>
    <x18tc:mentions>
      <x18tc:mention mentionpersonId="{7d00647f-be2a-4639-a5f7-08a67118a5cf}" mentionId="{c8aa0fad-c425-4ca5-a22d-0ed5ccd0f090}" startIndex="13" length="24"/>
    </x18tc:mentions>
  </x18tc:threadedComment>
  <x18tc:threadedComment ref="A1" dT="2025-09-17T21:58:56.00" personId="{d4b03686-3bed-491a-bd12-3b942153f8f5}" id="{5a2c8905-36da-4e53-8c46-cb0dea7fd88a}" done="0">
    <x18tc:text xml:space="preserve">MURRIETA RD #191 @isabel@coryhometeam.com VERIFIED
Assigned to isabel@coryhometeam.com</x18tc:text>
    <x18tc:mentions>
      <x18tc:mention mentionpersonId="{7d00647f-be2a-4639-a5f7-08a67118a5cf}" mentionId="{77828179-e4a5-42cf-94f6-1edc549b7631}" startIndex="17" length="24"/>
    </x18tc:mentions>
  </x18tc:threadedComment>
  <x18tc:threadedComment ref="A1" dT="2025-02-19T21:13:48.00" personId="{70ef93c1-8205-4a4b-b2d2-ae0f451d890c}" id="{ae069849-153b-43ab-88c9-cb73e00abaa8}" done="0">
    <x18tc:text xml:space="preserve">Reservation 2/27/2025</x18tc:text>
  </x18tc:threadedComment>
  <x18tc:threadedComment ref="A1" dT="2025-11-22T00:18:34.00" personId="{d4b03686-3bed-491a-bd12-3b942153f8f5}" id="{7ca9e846-40b8-4231-8f6a-ac71ad27dbcb}" done="0">
    <x18tc:text xml:space="preserve">No Marketing per MLSA</x18tc:text>
  </x18tc:threadedComment>
  <x18tc:threadedComment ref="A1" dT="2025-11-14T17:27:09.00" personId="{d4b03686-3bed-491a-bd12-3b942153f8f5}" id="{cf77342e-4438-4da2-8254-c3e7bbc83e45}" done="0">
    <x18tc:text xml:space="preserve">PALMER DRIVE @isabel@coryhometeam.com VERIFIED
Assigned to isabel@coryhometeam.com</x18tc:text>
    <x18tc:mentions>
      <x18tc:mention mentionpersonId="{7d00647f-be2a-4639-a5f7-08a67118a5cf}" mentionId="{d9c3aa64-4074-4cd5-bbdd-c545465af151}" startIndex="13" length="24"/>
    </x18tc:mentions>
  </x18tc:threadedComment>
  <x18tc:threadedComment ref="A1" dT="2025-10-27T22:51:58.00" personId="{91ddd612-48c2-41c6-a628-68f42b3a1fa2}" id="{6593b04a-92bd-4e1a-864c-e403e0225797}" done="0">
    <x18tc:text xml:space="preserve">10.27 As per take sheet: BUYER IS PAYING FOR MY COMMISSION.</x18tc:text>
  </x18tc:threadedComment>
  <x18tc:threadedComment ref="A1" dT="2025-11-14T17:31:02.00" personId="{d4b03686-3bed-491a-bd12-3b942153f8f5}" id="{08eb42ab-ec0f-4447-9136-c12577ace4c9}" done="0">
    <x18tc:text xml:space="preserve">CORTE MAGDALENA @isabel@coryhometeam.com VERIFIED
Assigned to isabel@coryhometeam.com</x18tc:text>
    <x18tc:mentions>
      <x18tc:mention mentionpersonId="{7d00647f-be2a-4639-a5f7-08a67118a5cf}" mentionId="{7fea5316-6c4e-49cb-9dd5-dd68cbe29df7}" startIndex="16" length="24"/>
    </x18tc:mentions>
  </x18tc:threadedComment>
  <x18tc:threadedComment ref="A1" dT="2025-08-07T22:11:42.00" personId="{d4b03686-3bed-491a-bd12-3b942153f8f5}" id="{8be7e9f1-261d-4ec1-a7cb-5746995fa2ef}" done="0">
    <x18tc:text xml:space="preserve">W 4TH ST @isabel@coryhometeam.com VERIFIED
Assigned to isabel@coryhometeam.com</x18tc:text>
    <x18tc:mentions>
      <x18tc:mention mentionpersonId="{7d00647f-be2a-4639-a5f7-08a67118a5cf}" mentionId="{1d29ab20-444a-4984-8ec9-1e30a55d7e2b}" startIndex="9" length="24"/>
    </x18tc:mentions>
  </x18tc:threadedComment>
  <x18tc:threadedComment ref="A1" dT="2025-05-05T04:45:23.00" personId="{91ddd612-48c2-41c6-a628-68f42b3a1fa2}" id="{825effcc-0a72-428f-b353-6aa3fe2f4c05}" done="0">
    <x18tc:text xml:space="preserve">AM Verified.
@isabel@coryhometeam.com 
@kenia@coryhometeam.com 
5.5 CI sent to Escrow.
Assigned to isabel@coryhometeam.com</x18tc:text>
    <x18tc:mentions>
      <x18tc:mention mentionpersonId="{7d00647f-be2a-4639-a5f7-08a67118a5cf}" mentionId="{cfe98e63-ffe0-4b24-9c70-f3e6af7986c6}" startIndex="13" length="24"/>
      <x18tc:mention mentionpersonId="{c2b0de28-3b31-4aa3-82a3-f8aba187b3e9}" mentionId="{5225890b-286d-4291-b84f-ea3dc082f771}" startIndex="39" length="23"/>
    </x18tc:mentions>
  </x18tc:threadedComment>
  <x18tc:threadedComment ref="A1" dT="2025-10-27T22:05:22.00" personId="{d4b03686-3bed-491a-bd12-3b942153f8f5}" id="{1f763415-260d-42b7-b133-ab284dd6f111}" done="0">
    <x18tc:text xml:space="preserve">39TH STREET @isabel@coryhometeam.com VERIFIED
Assigned to isabel@coryhometeam.com</x18tc:text>
    <x18tc:mentions>
      <x18tc:mention mentionpersonId="{7d00647f-be2a-4639-a5f7-08a67118a5cf}" mentionId="{7299d5fd-4d2b-47a3-9133-02e5492cae79}" startIndex="12" length="24"/>
    </x18tc:mentions>
  </x18tc:threadedComment>
  <x18tc:threadedComment ref="A1" dT="2025-04-30T19:19:09.00" personId="{91ddd612-48c2-41c6-a628-68f42b3a1fa2}" id="{1ae76984-c3bf-4770-896c-5eeda5b4448b}" done="0">
    <x18tc:text xml:space="preserve">4.30 Per Christian:  This one is no longer going financing. Has switched to all cash.</x18tc:text>
  </x18tc:threadedComment>
  <x18tc:threadedComment ref="A1" dT="2025-02-19T20:24:35.00" personId="{70ef93c1-8205-4a4b-b2d2-ae0f451d890c}" id="{c0583b63-8f7b-4518-804a-3206a297a27a}" done="0">
    <x18tc:text xml:space="preserve">1st reservation 2/16/2025
2nd reservation 2/22/2025</x18tc:text>
  </x18tc:threadedComment>
  <x18tc:threadedComment ref="A1" dT="2025-09-22T17:10:13.00" personId="{91ddd612-48c2-41c6-a628-68f42b3a1fa2}" id="{52abc30b-2b74-4ef8-8a2c-22b73a064eca}" done="0">
    <x18tc:text xml:space="preserve">5161 Dorman Dr
AM verified.
@isabel@coryhometeam.com
@kenia@coryhometeam.com
9.22 CI sent to Escrow.
Assigned to isabel@coryhometeam.com</x18tc:text>
    <x18tc:mentions>
      <x18tc:mention mentionpersonId="{7d00647f-be2a-4639-a5f7-08a67118a5cf}" mentionId="{0e235275-76af-41ff-b93b-befceba72c8a}" startIndex="28" length="24"/>
      <x18tc:mention mentionpersonId="{c2b0de28-3b31-4aa3-82a3-f8aba187b3e9}" mentionId="{a9fadb67-39a4-4235-9abd-b94d79a2486c}" startIndex="53" length="23"/>
    </x18tc:mentions>
  </x18tc:threadedComment>
  <x18tc:threadedComment ref="A1" dT="2025-04-03T21:26:11.00" personId="{91ddd612-48c2-41c6-a628-68f42b3a1fa2}" id="{d1d37114-9a49-4336-af6c-bee432f598b9}" done="0">
    <x18tc:text xml:space="preserve">4.3 24 days after removal of the COP Contingency.</x18tc:text>
  </x18tc:threadedComment>
  <x18tc:threadedComment ref="A1" dT="2025-02-24T18:14:49.00" personId="{91ddd612-48c2-41c6-a628-68f42b3a1fa2}" id="{4813f7ba-6302-4ec9-869a-a3216dc6cebb}" done="0">
    <x18tc:text xml:space="preserve">2.24 New COE date from 3/3 to 2/28 as per ADM2.</x18tc:text>
  </x18tc:threadedComment>
  <x18tc:threadedComment ref="A1" dT="2025-09-04T18:15:10.00" personId="{91ddd612-48c2-41c6-a628-68f42b3a1fa2}" id="{30707373-0c43-44ef-a13e-381fb4d3bc6a}" done="0">
    <x18tc:text xml:space="preserve">9.4 As stated in the SCO1, the BA commission is 2%. On Eddie’s take sheet, the 1% under the BRBC is still pending confirmation.</x18tc:text>
  </x18tc:threadedComment>
  <x18tc:threadedComment ref="A1" dT="2025-09-05T18:11:34.00" personId="{91ddd612-48c2-41c6-a628-68f42b3a1fa2}" id="{35c04af6-07b5-4d9b-8759-2613c3acfff3}" parentId="{30707373-0c43-44ef-a13e-381fb4d3bc6a}">
    <x18tc:text xml:space="preserve">9.5 Per Eddie the buyer agrees additional .75%. The total commission is 2.75%.</x18tc:text>
  </x18tc:threadedComment>
  <x18tc:threadedComment ref="A1" dT="2025-07-30T17:03:29.00" personId="{d4b03686-3bed-491a-bd12-3b942153f8f5}" id="{25a72ee1-03e2-498a-93b1-71384deae152}" done="0">
    <x18tc:text xml:space="preserve">PINYON PINE CT @isabel@coryhometeam.com VERIFIED
Assigned to isabel@coryhometeam.com</x18tc:text>
    <x18tc:mentions>
      <x18tc:mention mentionpersonId="{7d00647f-be2a-4639-a5f7-08a67118a5cf}" mentionId="{24d607af-953a-4dac-b842-d2851ffdccc9}" startIndex="15" length="24"/>
    </x18tc:mentions>
  </x18tc:threadedComment>
  <x18tc:threadedComment ref="A1" dT="2025-07-30T18:35:17.00" personId="{d4b03686-3bed-491a-bd12-3b942153f8f5}" id="{9e509f66-8f31-4d88-bf47-c9c62b2c5b97}" done="0">
    <x18tc:text xml:space="preserve">CAMPUS WAY @isabel@coryhometeam.com VERIFIED
Assigned to isabel@coryhometeam.com</x18tc:text>
    <x18tc:mentions>
      <x18tc:mention mentionpersonId="{7d00647f-be2a-4639-a5f7-08a67118a5cf}" mentionId="{a067b4fb-d830-436d-a8af-e70abbb63f09}" startIndex="11" length="24"/>
    </x18tc:mentions>
  </x18tc:threadedComment>
  <x18tc:threadedComment ref="A1" dT="2025-02-19T20:34:22.00" personId="{686b49bf-83f4-411b-b0f1-f0e341680f5a}" id="{17fb1f98-f55a-4438-b7b0-1120ac76f304}" done="0">
    <x18tc:text xml:space="preserve">Kiona approved fee to be waived in text 02/19/25</x18tc:text>
  </x18tc:threadedComment>
  <x18tc:threadedComment ref="A1" dT="2025-09-04T17:08:33.00" personId="{d4b03686-3bed-491a-bd12-3b942153f8f5}" id="{bc143d72-976a-4ce5-b168-ee5c2ff44446}" done="0">
    <x18tc:text xml:space="preserve">LUNA ST @isabel@coryhometeam.com VERIFIED
Assigned to isabel@coryhometeam.com</x18tc:text>
    <x18tc:mentions>
      <x18tc:mention mentionpersonId="{7d00647f-be2a-4639-a5f7-08a67118a5cf}" mentionId="{b2287423-292e-426c-be81-0463ca3945f8}" startIndex="8" length="24"/>
    </x18tc:mentions>
  </x18tc:threadedComment>
  <x18tc:threadedComment ref="A1" dT="2025-09-03T21:01:09.00" personId="{d4b03686-3bed-491a-bd12-3b942153f8f5}" id="{21c83097-0272-439b-8e42-831ac7d7588e}" done="0">
    <x18tc:text xml:space="preserve">MEADOW LN @isabel@coryhometeam.com VERIFIED
Assigned to isabel@coryhometeam.com</x18tc:text>
    <x18tc:mentions>
      <x18tc:mention mentionpersonId="{7d00647f-be2a-4639-a5f7-08a67118a5cf}" mentionId="{7c57aacc-61bf-4f0a-9017-f74ead7d4d8e}" startIndex="10" length="24"/>
    </x18tc:mentions>
  </x18tc:threadedComment>
  <x18tc:threadedComment ref="A1" dT="2025-02-19T20:33:52.00" personId="{686b49bf-83f4-411b-b0f1-f0e341680f5a}" id="{ecfd07cf-3a5a-4f63-9097-fe229dd75406}" done="0">
    <x18tc:text xml:space="preserve">This the cost for the Sellers Home Warranty Coverage $353.40 during the Listing Period is off the top.</x18tc:text>
  </x18tc:threadedComment>
  <x18tc:threadedComment ref="A1" dT="2025-04-01T17:15:36.00" personId="{686b49bf-83f4-411b-b0f1-f0e341680f5a}" id="{d7960a2c-a56c-4b59-8140-4ea1ec58336a}" parentId="{ecfd07cf-3a5a-4f63-9097-fe229dd75406}">
    <x18tc:text xml:space="preserve">Alicia to pay $3K out of her commission to Seller as credit.</x18tc:text>
  </x18tc:threadedComment>
  <x18tc:threadedComment ref="A1" dT="2025-09-04T17:34:27.00" personId="{283cbab7-8785-4d8a-9d80-ae85deef9da8}" id="{4cef7efe-4e34-4ed4-b14a-18c674752885}" done="0">
    <x18tc:text xml:space="preserve">On Thu, Sep 4, 2025 at 10:57 AM Kenia Bautista &lt;kenia@coryhometeam.com&gt; wrote:
Hi Ladies, Ok found the issue!!! 😅
Commission Instruction (CI) for a total of $12,000
Amended Escrow Instruction (EI) with the $595.00 
AMENDMENT for $500 credit to seller from eXp Commission? 
I did not recall being told there was a commission reduction so I did just speak to Eddie and he confirmed to agreeing to pitch in the $500 but failed to let me know. This is why i did not do a Commission reduction for and we did not get a revised CDA
Please refer to the attachments for details. @dana@coryhometeam.com @isabel@coryhometeam.com
Assigned to dana@coryhometeam.com</x18tc:text>
    <x18tc:mentions>
      <x18tc:mention mentionpersonId="{97a5b354-94ec-4750-87c3-99cebe208b41}" mentionId="{661bb369-2f4f-4fdf-9a6c-b3c3c258df8b}" startIndex="574" length="22"/>
      <x18tc:mention mentionpersonId="{7d00647f-be2a-4639-a5f7-08a67118a5cf}" mentionId="{2cc4350f-dfd7-410f-a5e5-1cba2742c941}" startIndex="597" length="24"/>
    </x18tc:mentions>
  </x18tc:threadedComment>
  <x18tc:threadedComment ref="A1" dT="2025-05-23T19:12:47.00" personId="{d4b03686-3bed-491a-bd12-3b942153f8f5}" id="{b7ce7c3d-c0af-4ad9-a1b1-fbb7b5989e18}" done="0">
    <x18tc:text xml:space="preserve">BASALT WAY @isabel@coryhometeam.com VERIFIED
Assigned to isabel@coryhometeam.com</x18tc:text>
    <x18tc:mentions>
      <x18tc:mention mentionpersonId="{7d00647f-be2a-4639-a5f7-08a67118a5cf}" mentionId="{197c2f41-8416-4272-bfb9-75de63eb0ac0}" startIndex="11" length="24"/>
    </x18tc:mentions>
  </x18tc:threadedComment>
  <x18tc:threadedComment ref="A1" dT="2025-02-19T20:34:09.00" personId="{91ddd612-48c2-41c6-a628-68f42b3a1fa2}" id="{a78a4888-0c96-4830-aeba-2102be425128}" done="0">
    <x18tc:text xml:space="preserve">AM verified.
@isabel@coryhometeam.com 
@kenia@coryhometeam.com 
2.19 CI sent to Escrow.
Assigned to isabel@coryhometeam.com</x18tc:text>
    <x18tc:mentions>
      <x18tc:mention mentionpersonId="{7d00647f-be2a-4639-a5f7-08a67118a5cf}" mentionId="{f78240d2-7805-47fd-9c27-f095b9ecab99}" startIndex="13" length="24"/>
      <x18tc:mention mentionpersonId="{c2b0de28-3b31-4aa3-82a3-f8aba187b3e9}" mentionId="{bfe7bcc7-795d-45d0-9883-d2410fdf8710}" startIndex="39" length="23"/>
    </x18tc:mentions>
  </x18tc:threadedComment>
  <x18tc:threadedComment ref="A1" dT="2025-06-27T18:22:25.00" personId="{91ddd612-48c2-41c6-a628-68f42b3a1fa2}" id="{767c799d-ade1-4bd7-b63d-10c460337058}" done="0">
    <x18tc:text xml:space="preserve">3830 Cougar Canyon Rd
6.27 Price decrease from 488K to 473K as per AEA2.</x18tc:text>
  </x18tc:threadedComment>
  <x18tc:threadedComment ref="A1" dT="2025-10-22T23:22:35.00" personId="{e9fc873c-1c43-4e02-b893-c88033c9c8f6}" id="{50e50615-8d90-48bd-9345-a1fbc9f221bf}" done="0">
    <x18tc:text xml:space="preserve">source changed from referral to sign call- FUB note referral from a sign caller</x18tc:text>
  </x18tc:threadedComment>
  <x18tc:threadedComment ref="A1" dT="2025-09-03T18:32:24.00" personId="{e9fc873c-1c43-4e02-b893-c88033c9c8f6}" id="{b6d78996-86aa-470f-a722-73c6aa20b297}" done="0">
    <x18tc:text xml:space="preserve">@kenia@coryhometeam.com Do we know how much commission we are getting on this one?
Assigned to kenia@coryhometeam.com</x18tc:text>
    <x18tc:mentions>
      <x18tc:mention mentionpersonId="{c2b0de28-3b31-4aa3-82a3-f8aba187b3e9}" mentionId="{f2860f8d-d740-4c3a-a5d0-cc789bded4a5}" startIndex="0" length="23"/>
    </x18tc:mentions>
  </x18tc:threadedComment>
  <x18tc:threadedComment ref="A1" dT="2025-11-17T20:34:14.00" personId="{c7fad490-24e0-4859-bb84-4307c52d4768}" id="{19f2512f-f1e6-4caf-b39d-6f3a50b52231}" done="0">
    <x18tc:text xml:space="preserve">Splits ready, Addison's split will be on Comment box (He's not with CHT in SS) @dana@coryhometeam.com</x18tc:text>
    <x18tc:mentions>
      <x18tc:mention mentionpersonId="{97a5b354-94ec-4750-87c3-99cebe208b41}" mentionId="{604f3069-5fba-499f-9d58-c38098554c54}" startIndex="79" length="22"/>
    </x18tc:mentions>
  </x18tc:threadedComment>
  <x18tc:threadedComment ref="A1" dT="2025-09-03T17:05:09.00" personId="{686b49bf-83f4-411b-b0f1-f0e341680f5a}" id="{749fd407-8a47-4edc-b3ba-6bb38c09153b}" done="0">
    <x18tc:text xml:space="preserve">@isabel@coryhometeam.com @dana@coryhometeam.com Please note the deduction has been added.
Assigned to isabel@coryhometeam.com</x18tc:text>
    <x18tc:mentions>
      <x18tc:mention mentionpersonId="{7d00647f-be2a-4639-a5f7-08a67118a5cf}" mentionId="{01f70b6e-b6b4-40ae-8b46-8dc5c8ae7e3e}" startIndex="0" length="24"/>
      <x18tc:mention mentionpersonId="{97a5b354-94ec-4750-87c3-99cebe208b41}" mentionId="{e67e58f0-1df2-429a-bff2-1eeb312e5318}" startIndex="25" length="22"/>
    </x18tc:mentions>
  </x18tc:threadedComment>
  <x18tc:threadedComment ref="A1" dT="2025-08-06T16:16:04.00" personId="{91ddd612-48c2-41c6-a628-68f42b3a1fa2}" id="{3fe3e58b-1481-44f6-acae-e3a75588349c}" done="0">
    <x18tc:text xml:space="preserve">33165 Baldwin Blvd
8.6 Per Eddie, the total commission today is 3%—0.5% from the buyer and 2.5% from the seller.</x18tc:text>
  </x18tc:threadedComment>
  <x18tc:threadedComment ref="AT17" dT="2026-06-10T15:41:03.00" personId="{91ddd612-48c2-41c6-a628-68f42b3a1fa2}" id="{688cce16-2aee-41b6-ad17-46f50ab53cf9}" done="0">
    <x18tc:text xml:space="preserve">1717 Tara Way
AM verified.
@isabel@coryhometeam.com
@kenia@coryhometeam.com
6.10 CI sent to Escrow.
Assigned to isabel@coryhometeam.com</x18tc:text>
    <x18tc:mentions>
      <x18tc:mention mentionpersonId="{7d00647f-be2a-4639-a5f7-08a67118a5cf}" mentionId="{c6a0fe83-8978-4ace-9ace-d976efec51a3}" startIndex="27" length="24"/>
      <x18tc:mention mentionpersonId="{c2b0de28-3b31-4aa3-82a3-f8aba187b3e9}" mentionId="{febbc80e-7337-4c57-a2c2-481d1f20b542}" startIndex="52" length="23"/>
    </x18tc:mentions>
  </x18tc:threadedComment>
  <x18tc:threadedComment ref="A1" dT="2025-09-22T17:48:35.00" personId="{91ddd612-48c2-41c6-a628-68f42b3a1fa2}" id="{1c5fc9fb-f0d6-47fb-9898-c2ef27d3de41}" done="0">
    <x18tc:text xml:space="preserve">9540 Ekwanok Dr
AM verified.
@isabel@coryhometeam.com
@kenia@coryhometeam.com
9.22 CI sent to Escrow.
Assigned to isabel@coryhometeam.com</x18tc:text>
    <x18tc:mentions>
      <x18tc:mention mentionpersonId="{7d00647f-be2a-4639-a5f7-08a67118a5cf}" mentionId="{d28a2ec3-2c91-4253-891b-4c568eb7eaf8}" startIndex="29" length="24"/>
      <x18tc:mention mentionpersonId="{c2b0de28-3b31-4aa3-82a3-f8aba187b3e9}" mentionId="{88579276-8118-4e3f-97c4-2367c25a7f99}" startIndex="54" length="23"/>
    </x18tc:mentions>
  </x18tc:threadedComment>
  <x18tc:threadedComment ref="A1" dT="2025-09-03T17:05:00.00" personId="{686b49bf-83f4-411b-b0f1-f0e341680f5a}" id="{ee7d7674-4a7b-4d8a-90d2-9bfc22209959}" done="0">
    <x18tc:text xml:space="preserve">@isabel@coryhometeam.com @dana@coryhometeam.com Please note the deduction has been added.
Assigned to isabel@coryhometeam.com</x18tc:text>
    <x18tc:mentions>
      <x18tc:mention mentionpersonId="{7d00647f-be2a-4639-a5f7-08a67118a5cf}" mentionId="{7fd4d7be-ca44-4281-bf26-9398ba11d8bf}" startIndex="0" length="24"/>
      <x18tc:mention mentionpersonId="{97a5b354-94ec-4750-87c3-99cebe208b41}" mentionId="{052f0812-5ee0-4458-ac8c-5983f62cbd8d}" startIndex="25" length="22"/>
    </x18tc:mentions>
  </x18tc:threadedComment>
  <x18tc:threadedComment ref="A1" dT="2025-08-06T16:27:19.00" personId="{91ddd612-48c2-41c6-a628-68f42b3a1fa2}" id="{1ca249b9-99f1-46b1-a111-577fedc84cdb}" done="0">
    <x18tc:text xml:space="preserve">1181 W Westmont Ave
AM verified.
@isabel@coryhometeam.com 
@kenia@coryhometeam.com 
8.6 CI sent to Escrow.
Assigned to isabel@coryhometeam.com</x18tc:text>
    <x18tc:mentions>
      <x18tc:mention mentionpersonId="{7d00647f-be2a-4639-a5f7-08a67118a5cf}" mentionId="{a4c40a9e-64b9-4961-82a2-057aaf23ad66}" startIndex="33" length="24"/>
      <x18tc:mention mentionpersonId="{c2b0de28-3b31-4aa3-82a3-f8aba187b3e9}" mentionId="{6dd89482-7284-450e-ac08-fa3ad5a7a297}" startIndex="59" length="23"/>
    </x18tc:mentions>
  </x18tc:threadedComment>
  <x18tc:threadedComment ref="AD8" dT="2026-06-01T23:18:18.00" personId="{91ddd612-48c2-41c6-a628-68f42b3a1fa2}" id="{55a70f23-965a-41a7-b49c-b073c86d4b3f}" done="0">
    <x18tc:text xml:space="preserve">6.1 Per Kenia the commission is reduced from 5% to 4%.</x18tc:text>
  </x18tc:threadedComment>
  <x18tc:threadedComment ref="A1" dT="2025-09-18T15:01:21.00" personId="{d4b03686-3bed-491a-bd12-3b942153f8f5}" id="{bf9ea35c-1cf8-41aa-bf1b-46732c7b7903}" done="0">
    <x18tc:text xml:space="preserve">All time periods shall commence the day after buyer’s delivery of Escrow Evidence for Buyer's Property (COP 11.A(i)</x18tc:text>
  </x18tc:threadedComment>
  <x18tc:threadedComment ref="A1" dT="2025-11-26T18:03:35.00" personId="{91ddd612-48c2-41c6-a628-68f42b3a1fa2}" id="{53bc13ba-09bb-4319-bd17-d4f8f66a8295}" done="0">
    <x18tc:text xml:space="preserve">11.26 As per ETA1 COE extended to 12.2</x18tc:text>
  </x18tc:threadedComment>
  <x18tc:threadedComment ref="A1" dT="2025-09-10T21:52:08.00" personId="{283cbab7-8785-4d8a-9d80-ae85deef9da8}" id="{1cee8a69-10b2-4975-b146-c15b35907d4b}" done="0">
    <x18tc:text xml:space="preserve">Nate to cover SHOWCASE costs</x18tc:text>
  </x18tc:threadedComment>
  <x18tc:threadedComment ref="A1" dT="2025-07-23T19:19:02.00" personId="{d4b03686-3bed-491a-bd12-3b942153f8f5}" id="{6ad86df4-ec20-47d8-8d9b-6879f13cc364}" done="0">
    <x18tc:text xml:space="preserve">CAMINO DE LA LUNA @isabel@coryhometeam.com VERIFIED
Assigned to isabel@coryhometeam.com</x18tc:text>
    <x18tc:mentions>
      <x18tc:mention mentionpersonId="{7d00647f-be2a-4639-a5f7-08a67118a5cf}" mentionId="{00ea6901-2eb3-4d3d-bc37-b9e089168b54}" startIndex="18" length="24"/>
    </x18tc:mentions>
  </x18tc:threadedComment>
  <x18tc:threadedComment ref="A1" dT="2025-07-23T19:15:49.00" personId="{d4b03686-3bed-491a-bd12-3b942153f8f5}" id="{220ddfa8-5d3a-4bfa-a1ed-24fbb9b928c7}" done="0">
    <x18tc:text xml:space="preserve">OAKLAND ROAD @isabel@coryhometeam.com VERIFIED
Assigned to isabel@coryhometeam.com</x18tc:text>
    <x18tc:mentions>
      <x18tc:mention mentionpersonId="{7d00647f-be2a-4639-a5f7-08a67118a5cf}" mentionId="{4aac07fc-eb8f-4f9d-aebe-0bb5128f6ed5}" startIndex="13" length="24"/>
    </x18tc:mentions>
  </x18tc:threadedComment>
  <x18tc:threadedComment ref="A1" dT="2025-12-27T00:23:24.00" personId="{d4b03686-3bed-491a-bd12-3b942153f8f5}" id="{fd808b99-0c6d-403a-a7a9-58a3e7abd560}" done="0">
    <x18tc:text xml:space="preserve">MEADOW LN @isabel@coryhometeam.com VERIFIED
Assigned to isabel@coryhometeam.com</x18tc:text>
    <x18tc:mentions>
      <x18tc:mention mentionpersonId="{7d00647f-be2a-4639-a5f7-08a67118a5cf}" mentionId="{fcc870dc-b058-4f45-86d6-dd6ba24512d8}" startIndex="10" length="24"/>
    </x18tc:mentions>
  </x18tc:threadedComment>
  <x18tc:threadedComment ref="A1" dT="2025-02-07T00:39:57.00" personId="{d4b03686-3bed-491a-bd12-3b942153f8f5}" id="{9c7c2713-fdfc-481c-871f-5b35605695b4}" done="0">
    <x18tc:text xml:space="preserve">AUGUSTA DR. @isabel@coryhometeam.com VERIFIED
Assigned to isabel@coryhometeam.com</x18tc:text>
    <x18tc:mentions>
      <x18tc:mention mentionpersonId="{7d00647f-be2a-4639-a5f7-08a67118a5cf}" mentionId="{e90e0b49-f8ec-487d-8940-886fbe6bb8f5}" startIndex="12" length="24"/>
    </x18tc:mentions>
  </x18tc:threadedComment>
  <x18tc:threadedComment ref="A1" dT="2025-12-27T00:24:48.00" personId="{d4b03686-3bed-491a-bd12-3b942153f8f5}" id="{4948b892-b441-4580-a6ed-34467b8a9ab8}" done="0">
    <x18tc:text xml:space="preserve">YORKTOWN CIRCLE @isabel@coryhometeam.com VERIFIED
Assigned to isabel@coryhometeam.com</x18tc:text>
    <x18tc:mentions>
      <x18tc:mention mentionpersonId="{7d00647f-be2a-4639-a5f7-08a67118a5cf}" mentionId="{9f32f259-4bf1-4f24-9dc7-36fbac17cb3f}" startIndex="16" length="24"/>
    </x18tc:mentions>
  </x18tc:threadedComment>
  <x18tc:threadedComment ref="A1" dT="2025-09-04T14:06:18.00" personId="{686b49bf-83f4-411b-b0f1-f0e341680f5a}" id="{09ab6840-eb5a-4c2d-957d-08db6dc5a9e1}" done="0">
    <x18tc:text xml:space="preserve">To be taken off the top of the commmission being split between Ronda and Bridget for credit to the Buyer for carpet cleaning.</x18tc:text>
  </x18tc:threadedComment>
  <x18tc:threadedComment ref="A1" dT="2025-11-26T18:01:50.00" personId="{283cbab7-8785-4d8a-9d80-ae85deef9da8}" id="{1ca3448d-0a90-4222-9e0d-20efa1b3dc92}" done="0">
    <x18tc:text xml:space="preserve">Carmen to pay $10.00 difference towards Buyer Home warranty</x18tc:text>
  </x18tc:threadedComment>
  <x18tc:threadedComment ref="A1" dT="2025-02-11T18:35:41.00" personId="{e9fc873c-1c43-4e02-b893-c88033c9c8f6}" id="{cedbe9d8-1c0e-4591-9176-74bfb480adad}" done="0">
    <x18tc:text xml:space="preserve">updated payoff demand sent to escrow 2/11</x18tc:text>
  </x18tc:threadedComment>
  <x18tc:threadedComment ref="A1" dT="2025-12-05T21:39:47.00" personId="{686b49bf-83f4-411b-b0f1-f0e341680f5a}" id="{d2826a3d-29ba-4d14-8708-4f0ae305a1b5}" done="0">
    <x18tc:text xml:space="preserve">Credit is off the top approved by Kiona via text 12/03/25. Credit is to assist in septic work needed to get certification.</x18tc:text>
  </x18tc:threadedComment>
  <x18tc:threadedComment ref="A1" dT="2025-08-07T16:07:31.00" personId="{91ddd612-48c2-41c6-a628-68f42b3a1fa2}" id="{c5d72b65-4554-47e6-818e-dbdd50409fe4}" done="0">
    <x18tc:text xml:space="preserve">12431 Highgate Ave
AM verified.
@isabel@coryhometeam.com 
@kenia@coryhometeam.com 
8.7 CI sent to Escrow.
Assigned to isabel@coryhometeam.com</x18tc:text>
    <x18tc:mentions>
      <x18tc:mention mentionpersonId="{7d00647f-be2a-4639-a5f7-08a67118a5cf}" mentionId="{dc894412-3a94-4da2-999e-f9e2e07310c4}" startIndex="32" length="24"/>
      <x18tc:mention mentionpersonId="{c2b0de28-3b31-4aa3-82a3-f8aba187b3e9}" mentionId="{e248aad9-6881-4368-ad1d-22d0d7e2eca0}" startIndex="58" length="23"/>
    </x18tc:mentions>
  </x18tc:threadedComment>
  <x18tc:threadedComment ref="A1" dT="2025-08-28T16:26:09.00" personId="{91ddd612-48c2-41c6-a628-68f42b3a1fa2}" id="{9b4f44d1-f1de-4abb-9bc0-ce359e31ab0b}" parentId="{c5d72b65-4554-47e6-818e-dbdd50409fe4}">
    <x18tc:text xml:space="preserve">@isabel@coryhometeam.com 
@kenia@coryhometeam.com 
8.28 AMENDED CI sent to Escrow.</x18tc:text>
    <x18tc:mentions>
      <x18tc:mention mentionpersonId="{7d00647f-be2a-4639-a5f7-08a67118a5cf}" mentionId="{a0ac6bde-53b0-4bef-b3fc-62680008198d}" startIndex="0" length="24"/>
      <x18tc:mention mentionpersonId="{c2b0de28-3b31-4aa3-82a3-f8aba187b3e9}" mentionId="{376b6f48-0413-4235-9ecb-8732012d5add}" startIndex="26" length="23"/>
    </x18tc:mentions>
  </x18tc:threadedComment>
  <x18tc:threadedComment ref="A1" dT="2025-09-15T23:16:16.00" personId="{d4b03686-3bed-491a-bd12-3b942153f8f5}" id="{3bdefb5b-b8ca-4a13-984a-18fe87b29f58}" done="0">
    <x18tc:text xml:space="preserve">S SMITH AVE #5 @isabel@coryhometeam.com VERIFIED
Assigned to isabel@coryhometeam.com</x18tc:text>
    <x18tc:mentions>
      <x18tc:mention mentionpersonId="{7d00647f-be2a-4639-a5f7-08a67118a5cf}" mentionId="{3d26f8b9-effb-40f6-b0ca-8333a46306b7}" startIndex="15" length="24"/>
    </x18tc:mentions>
  </x18tc:threadedComment>
  <x18tc:threadedComment ref="A1" dT="2025-11-21T21:17:16.00" personId="{e9fc873c-1c43-4e02-b893-c88033c9c8f6}" id="{edc4ad47-dba9-4aa6-be51-737a2026b9d8}" done="0">
    <x18tc:text xml:space="preserve">Per Blake convo with Alexis/Bridget the admin fee is being waived</x18tc:text>
  </x18tc:threadedComment>
  <x18tc:threadedComment ref="A1" dT="2025-08-18T13:38:03.00" personId="{91ddd612-48c2-41c6-a628-68f42b3a1fa2}" id="{a42142e9-014f-4900-b857-311bdb8356a4}" done="0">
    <x18tc:text xml:space="preserve">684 El dorado Ln
AM verified.
@isabel@coryhometeam.com
@kenia@coryhometeam.com
8.18 CI sent to Escrow.
Assigned to isabel@coryhometeam.com</x18tc:text>
    <x18tc:mentions>
      <x18tc:mention mentionpersonId="{7d00647f-be2a-4639-a5f7-08a67118a5cf}" mentionId="{2ef945ba-bf46-4670-a6d0-d52292223b89}" startIndex="30" length="24"/>
      <x18tc:mention mentionpersonId="{c2b0de28-3b31-4aa3-82a3-f8aba187b3e9}" mentionId="{d7c2a2a1-6990-4b11-9147-9bbaeb4db674}" startIndex="55" length="23"/>
    </x18tc:mentions>
  </x18tc:threadedComment>
  <x18tc:threadedComment ref="A1" dT="2025-09-15T23:16:26.00" personId="{d4b03686-3bed-491a-bd12-3b942153f8f5}" id="{f85b6854-8c65-4d1d-8902-d4b36887399f}" done="0">
    <x18tc:text xml:space="preserve">S SMITH AVE #5 @isabel@coryhometeam.com VERIFIED
Assigned to isabel@coryhometeam.com</x18tc:text>
    <x18tc:mentions>
      <x18tc:mention mentionpersonId="{7d00647f-be2a-4639-a5f7-08a67118a5cf}" mentionId="{2135a282-4237-48fc-ae15-226dc12edd8a}" startIndex="15" length="24"/>
    </x18tc:mentions>
  </x18tc:threadedComment>
  <x18tc:threadedComment ref="A1" dT="2025-09-09T19:06:14.00" personId="{c7fad490-24e0-4859-bb84-4307c52d4768}" id="{83ac5508-776e-4567-8317-9f3fa642c441}" done="0">
    <x18tc:text xml:space="preserve">REF 59520 Gilman Rd - splits now ready (100% to Blake) @dana@coryhometeam.com</x18tc:text>
    <x18tc:mentions>
      <x18tc:mention mentionpersonId="{97a5b354-94ec-4750-87c3-99cebe208b41}" mentionId="{b44bb99b-dd36-4dd1-a8b4-6d55dfa7a3c2}" startIndex="55" length="22"/>
    </x18tc:mentions>
  </x18tc:threadedComment>
  <x18tc:threadedComment ref="A1" dT="2025-11-17T22:11:39.00" personId="{686b49bf-83f4-411b-b0f1-f0e341680f5a}" id="{e838a445-f14d-46eb-9c3b-f22198c7d177}" done="0">
    <x18tc:text xml:space="preserve">Per EM from Myrna 11/17/25 - she is crediting from her commission $500 to the Buyer toward closing cost.</x18tc:text>
  </x18tc:threadedComment>
  <x18tc:threadedComment ref="A1" dT="2025-07-18T00:02:19.00" personId="{d4b03686-3bed-491a-bd12-3b942153f8f5}" id="{69fba3a0-c72d-466a-9ea7-35620429df34}" done="0">
    <x18tc:text xml:space="preserve">BAHAMA WAY @isabel@coryhometeam.com VERIFIED
Assigned to isabel@coryhometeam.com</x18tc:text>
    <x18tc:mentions>
      <x18tc:mention mentionpersonId="{7d00647f-be2a-4639-a5f7-08a67118a5cf}" mentionId="{17063e52-4471-4342-a8c1-d99144f48c36}" startIndex="11" length="24"/>
    </x18tc:mentions>
  </x18tc:threadedComment>
  <x18tc:threadedComment ref="A1" dT="2026-06-18T23:37:07.00" personId="{d4b03686-3bed-491a-bd12-3b942153f8f5}" id="{c078ff98-3ae8-4686-bc62-7e2c26e08667}" done="0">
    <x18tc:text xml:space="preserve">$10,695.00</x18tc:text>
  </x18tc:threadedComment>
  <x18tc:threadedComment ref="A1" dT="2025-01-27T17:42:31.00" personId="{686b49bf-83f4-411b-b0f1-f0e341680f5a}" id="{c5264ea7-177e-4e40-b44e-00fb8d046aac}" done="0">
    <x18tc:text xml:space="preserve">Seller was not able to close between certain dates once COE was missed.</x18tc:text>
  </x18tc:threadedComment>
  <x18tc:threadedComment ref="A1" dT="2025-04-01T15:23:20.00" personId="{d4b03686-3bed-491a-bd12-3b942153f8f5}" id="{d41afee4-f299-4174-89ca-5adb889009a1}" done="0">
    <x18tc:text xml:space="preserve">Commission is $5,000.00</x18tc:text>
  </x18tc:threadedComment>
  <x18tc:threadedComment ref="A1" dT="2025-10-09T17:56:31.00" personId="{e9fc873c-1c43-4e02-b893-c88033c9c8f6}" id="{b1c1e9f3-a836-4cdb-a525-e9e7cb19b2c6}" done="0">
    <x18tc:text xml:space="preserve">original seller lead is Samanta Samaniego, Open Door Lead. @isabel@coryhometeam.com verify if there is an open door referral fee due.
Assigned to isabel@coryhometeam.com</x18tc:text>
    <x18tc:mentions>
      <x18tc:mention mentionpersonId="{7d00647f-be2a-4639-a5f7-08a67118a5cf}" mentionId="{205fbe0a-b4b8-4bb1-9bbf-93606916ec96}" startIndex="59" length="24"/>
    </x18tc:mentions>
  </x18tc:threadedComment>
  <x18tc:threadedComment ref="A1" dT="2025-10-10T02:51:06.00" personId="{2c0b40a3-d34a-4e30-997b-e7e5451e40bb}" id="{a38ab0d2-b3c7-4045-95c4-2f5b45aee90c}" parentId="{b1c1e9f3-a836-4cdb-a525-e9e7cb19b2c6}">
    <x18tc:text xml:space="preserve">The record of the Opendoor Seller is already tagged as DNC-Competitor (Rejected) in Opendoor dashboard. Please advise if we will revive it and also what to do with the FUB Seller record?</x18tc:text>
  </x18tc:threadedComment>
  <x18tc:threadedComment ref="A1" dT="2025-10-10T03:18:51.00" personId="{c7fad490-24e0-4859-bb84-4307c52d4768}" id="{4ddad8ba-38e4-47f5-8c00-fa0d737c09b9}" parentId="{b1c1e9f3-a836-4cdb-a525-e9e7cb19b2c6}">
    <x18tc:text xml:space="preserve">I inquired on the referral fee for this personal transaction (buyer is Blake). I'll confirm with Opendoor if the rejection in dashboard means we no longer need to pay the referral fee. Please dont revive it yet until we got advise from Opendoor. Thank you!</x18tc:text>
  </x18tc:threadedComment>
  <x18tc:threadedComment ref="A1" dT="2025-10-10T03:22:11.00" personId="{2c0b40a3-d34a-4e30-997b-e7e5451e40bb}" id="{1c98a743-a64e-4d6f-ae84-8c82577ad0cc}" parentId="{b1c1e9f3-a836-4cdb-a525-e9e7cb19b2c6}">
    <x18tc:text xml:space="preserve">NOTE: Stratton Lux is a buyer (Personal/Company of Blake), Samantha Samaniego-Opendoor record is the Listing record. Will close the Opendoor Seller FUB &amp; Dashboard record even if there's no separate transaction for Seller created. Per Isabel (confirmed by Opendoor) that a Referral Fee is still required (see email)</x18tc:text>
  </x18tc:threadedComment>
  <x18tc:threadedComment ref="A1" dT="2025-04-09T10:57:19.00" personId="{91ddd612-48c2-41c6-a628-68f42b3a1fa2}" id="{0aa71d8e-f53c-4c42-bf24-3a27f64349c3}" done="0">
    <x18tc:text xml:space="preserve">4.7 Per LA: We are still waiting on Park Approval. The Park Manager, Kellee, indicated that we should expect a decision from the park early this week.
Also, we have not received the seller disclosures. Are those now ready for review? Please advise!</x18tc:text>
  </x18tc:threadedComment>
  <x18tc:threadedComment ref="A1" dT="2025-11-21T21:17:06.00" personId="{e9fc873c-1c43-4e02-b893-c88033c9c8f6}" id="{ff3d414e-801e-49cc-8d55-9a4aa9b0cf91}" done="0">
    <x18tc:text xml:space="preserve">Per Blake convo with Alexis/Bridget the transaction fee is being waived</x18tc:text>
  </x18tc:threadedComment>
  <x18tc:threadedComment ref="A1" dT="2025-02-25T20:02:58.00" personId="{91ddd612-48c2-41c6-a628-68f42b3a1fa2}" id="{bbb75b10-902f-449a-a578-8089ba474c40}" done="0">
    <x18tc:text xml:space="preserve">AM verified.
@isabel@coryhometeam.com 
@kenia@coryhometeam.com 
2.25 CI sent to Escrow.
Assigned to isabel@coryhometeam.com</x18tc:text>
    <x18tc:mentions>
      <x18tc:mention mentionpersonId="{7d00647f-be2a-4639-a5f7-08a67118a5cf}" mentionId="{b769e98a-a90c-4ec9-9f80-19ac53c6fba7}" startIndex="13" length="24"/>
      <x18tc:mention mentionpersonId="{c2b0de28-3b31-4aa3-82a3-f8aba187b3e9}" mentionId="{0acbaae1-3610-446a-ac06-da8021c7c058}" startIndex="39" length="23"/>
    </x18tc:mentions>
  </x18tc:threadedComment>
  <x18tc:threadedComment ref="A1" dT="2025-07-23T17:58:04.00" personId="{283cbab7-8785-4d8a-9d80-ae85deef9da8}" id="{047c374f-6b20-4891-a3b5-10ed407f2627}" done="0">
    <x18tc:text xml:space="preserve">Kendra Harlan
10:36 AM (20 minutes ago)
to Jacquie, me, Lyda, Serena
Hi Kenia,
We are not including the $595 fee for buy side. 
I got that approved by Mel, but I can cc her if you need her approval. 
Thanks!</x18tc:text>
  </x18tc:threadedComment>
  <x18tc:threadedComment ref="A1" dT="2025-01-02T22:18:30.00" personId="{d4b03686-3bed-491a-bd12-3b942153f8f5}" id="{525d9668-98cb-46d4-8478-d22868fee3a2}" done="0">
    <x18tc:text xml:space="preserve">CONCORD ST @isabel@coryhometeam.com VERIFIED
Assigned to isabel@coryhometeam.com</x18tc:text>
    <x18tc:mentions>
      <x18tc:mention mentionpersonId="{7d00647f-be2a-4639-a5f7-08a67118a5cf}" mentionId="{47c98d8a-4a85-4d22-91a8-23c5ec38d534}" startIndex="11" length="24"/>
    </x18tc:mentions>
  </x18tc:threadedComment>
  <x18tc:threadedComment ref="A1" dT="2025-12-22T23:29:53.00" personId="{91ddd612-48c2-41c6-a628-68f42b3a1fa2}" id="{de2fad11-879e-48c1-8041-494552c0e618}" done="0">
    <x18tc:text xml:space="preserve">12.22 COE moved to 12.23 as per ETA2.</x18tc:text>
  </x18tc:threadedComment>
  <x18tc:threadedComment ref="A1" dT="2025-07-23T18:43:52.00" personId="{d4b03686-3bed-491a-bd12-3b942153f8f5}" id="{b6a58a80-0cdb-488f-9017-f2f8703bc35b}" done="0">
    <x18tc:text xml:space="preserve">CAPALINA RD @isabel@coryhometeam.com VERIFIED
Assigned to isabel@coryhometeam.com</x18tc:text>
    <x18tc:mentions>
      <x18tc:mention mentionpersonId="{7d00647f-be2a-4639-a5f7-08a67118a5cf}" mentionId="{be88373f-8854-498c-97bf-58e7518309de}" startIndex="12" length="24"/>
    </x18tc:mentions>
  </x18tc:threadedComment>
  <x18tc:threadedComment ref="X29" dT="2026-06-01T21:53:22.00" personId="{91ddd612-48c2-41c6-a628-68f42b3a1fa2}" id="{3d53f376-5353-4133-98da-45c827e24d5d}" done="0">
    <x18tc:text xml:space="preserve">Estimated date only. This is contingent on buyers property.</x18tc:text>
  </x18tc:threadedComment>
  <x18tc:threadedComment ref="A1" dT="2025-12-05T20:41:40.00" personId="{e9fc873c-1c43-4e02-b893-c88033c9c8f6}" id="{ec656f8b-eead-41a8-9419-828e312cd262}" done="0">
    <x18tc:text xml:space="preserve">In process of completing eXp contract</x18tc:text>
  </x18tc:threadedComment>
  <x18tc:threadedComment ref="A1" dT="2025-09-09T18:09:14.00" personId="{91ddd612-48c2-41c6-a628-68f42b3a1fa2}" id="{18912d69-7c53-452c-8565-9121c6ba8910}" done="0">
    <x18tc:text xml:space="preserve">9.9 ETA (COE 9.12) out for signature.</x18tc:text>
  </x18tc:threadedComment>
  <x18tc:threadedComment ref="A1" dT="2025-07-23T18:26:53.00" personId="{d4b03686-3bed-491a-bd12-3b942153f8f5}" id="{40cdfcc0-afa8-4740-9cd8-db4b0780d0a5}" done="0">
    <x18tc:text xml:space="preserve">2.5% from Seller 1.0% from Buyer</x18tc:text>
  </x18tc:threadedComment>
  <x18tc:threadedComment ref="A1" dT="2025-02-03T20:14:52.00" personId="{91ddd612-48c2-41c6-a628-68f42b3a1fa2}" id="{ab6fb17f-1666-4b3e-8d2d-e5a7207dd6a9}" done="0">
    <x18tc:text xml:space="preserve">2.3 As per lender: Appraisal inspection is setup for 2/3/2025. This means we will get the appraisal report back typically 5-7 business days after the inspection.</x18tc:text>
  </x18tc:threadedComment>
  <x18tc:threadedComment ref="A1" dT="2025-02-08T00:14:21.00" personId="{91ddd612-48c2-41c6-a628-68f42b3a1fa2}" id="{de2b1ee8-0823-4749-beef-7f193ce94557}" parentId="{ab6fb17f-1666-4b3e-8d2d-e5a7207dd6a9}">
    <x18tc:text xml:space="preserve">2.7 Per Lender: We received your appraisal. The value came in at $520000.00, which is at or above the purchase price.
The appraisal noted the following repairs: NONE</x18tc:text>
  </x18tc:threadedComment>
  <x18tc:threadedComment ref="A1" dT="2025-06-05T20:44:09.00" personId="{d4b03686-3bed-491a-bd12-3b942153f8f5}" id="{ae4b7c06-a72f-4619-85d0-b6c0611e9908}" done="0">
    <x18tc:text xml:space="preserve">$2,000.00</x18tc:text>
  </x18tc:threadedComment>
  <x18tc:threadedComment ref="A1" dT="2025-04-29T09:45:29.00" personId="{91ddd612-48c2-41c6-a628-68f42b3a1fa2}" id="{fdca5dc8-dfd1-4d07-8be2-f6405f45422c}" done="0">
    <x18tc:text xml:space="preserve">4.29 As per ADM1 the total commission of the BA is $8,670.</x18tc:text>
  </x18tc:threadedComment>
  <x18tc:threadedComment ref="A1" dT="2025-04-04T17:42:07.00" personId="{91ddd612-48c2-41c6-a628-68f42b3a1fa2}" id="{2a6382bb-86da-4fe0-8440-5c91bbede05f}" done="0">
    <x18tc:text xml:space="preserve">AM verified.
@isabel@coryhometeam.com 
@kenia@coryhometeam.com 
4.4 CI sent to Escrow.
Assigned to isabel@coryhometeam.com</x18tc:text>
    <x18tc:mentions>
      <x18tc:mention mentionpersonId="{7d00647f-be2a-4639-a5f7-08a67118a5cf}" mentionId="{9bed7e7b-0faa-4b46-bda8-41d128594746}" startIndex="13" length="24"/>
      <x18tc:mention mentionpersonId="{c2b0de28-3b31-4aa3-82a3-f8aba187b3e9}" mentionId="{a9d4e00f-2800-49bf-99ac-b2b851cf38bb}" startIndex="39" length="23"/>
    </x18tc:mentions>
  </x18tc:threadedComment>
  <x18tc:threadedComment ref="A1" dT="2025-10-08T17:57:36.00" personId="{d4b03686-3bed-491a-bd12-3b942153f8f5}" id="{31db99bb-9f63-40c7-80ee-bf5bd691649c}" done="0">
    <x18tc:text xml:space="preserve">Timeframes begin the day after seller removes SPRP CR #1</x18tc:text>
  </x18tc:threadedComment>
  <x18tc:threadedComment ref="A1" dT="2025-06-01T15:20:43.00" personId="{686b49bf-83f4-411b-b0f1-f0e341680f5a}" id="{a259327b-eda5-4db8-89d6-056f0d1f1380}" done="0">
    <x18tc:text xml:space="preserve">@kenia@coryhometeam.com The Seller singed this on 04/29/25 but it has not been executed by Blake. Is this still moving forward?
Assigned to kenia@coryhometeam.com</x18tc:text>
    <x18tc:mentions>
      <x18tc:mention mentionpersonId="{c2b0de28-3b31-4aa3-82a3-f8aba187b3e9}" mentionId="{eb587faf-ac5c-41f6-a079-b19def12443a}" startIndex="0" length="23"/>
    </x18tc:mentions>
  </x18tc:threadedComment>
  <x18tc:threadedComment ref="A1" dT="2025-11-19T20:00:13.00" personId="{686b49bf-83f4-411b-b0f1-f0e341680f5a}" id="{6e229e82-71d8-4b0d-a0a9-25e6d4469cbd}" parentId="{a259327b-eda5-4db8-89d6-056f0d1f1380}">
    <x18tc:text xml:space="preserve">@kenia@coryhometeam.com Is this a duplicate on the TS?</x18tc:text>
    <x18tc:mentions>
      <x18tc:mention mentionpersonId="{c2b0de28-3b31-4aa3-82a3-f8aba187b3e9}" mentionId="{8c19e998-e4ba-40ca-9a69-272ecf149809}" startIndex="0" length="23"/>
    </x18tc:mentions>
  </x18tc:threadedComment>
  <x18tc:threadedComment ref="A1" dT="2025-11-19T20:02:12.00" personId="{283cbab7-8785-4d8a-9d80-ae85deef9da8}" id="{3da8b6b8-f8ed-4779-8f1c-da2679c81329}" parentId="{a259327b-eda5-4db8-89d6-056f0d1f1380}">
    <x18tc:text xml:space="preserve">Hi @alexis@coryhometeam.com hmmm looks like the address is a duplicate yes. But the correct price is $124,999 so something might have happened here. Like the address got copied over another one</x18tc:text>
    <x18tc:mentions>
      <x18tc:mention mentionpersonId="{e0ede1ef-7aee-4904-9f47-62fb26fea2cd}" mentionId="{4c2dbefc-e47b-48f2-83a9-46e642e13ce7}" startIndex="3" length="24"/>
    </x18tc:mentions>
  </x18tc:threadedComment>
  <x18tc:threadedComment ref="A1" dT="2025-12-10T19:14:45.00" personId="{686b49bf-83f4-411b-b0f1-f0e341680f5a}" id="{c1805751-ea9b-4f20-8385-671899fbee0e}" done="0">
    <x18tc:text xml:space="preserve">Removal completed by Premier, Sunset is MIA.</x18tc:text>
  </x18tc:threadedComment>
  <x18tc:threadedComment ref="A1" dT="2025-07-17T23:00:57.00" personId="{d4b03686-3bed-491a-bd12-3b942153f8f5}" id="{b98d85e2-697d-4f8b-aa31-5da85f69d33c}" done="0">
    <x18tc:text xml:space="preserve">The seller credit to cover the .5%</x18tc:text>
  </x18tc:threadedComment>
  <x18tc:threadedComment ref="A1" dT="2025-01-02T15:39:36.00" personId="{91ddd612-48c2-41c6-a628-68f42b3a1fa2}" id="{d77cbaa3-e938-40ab-bf63-c498abbe8925}" done="0">
    <x18tc:text xml:space="preserve">1.2 The 595 fee is missing in the BRBC form. A correction is needed and waiting for further instructions.
@kenia@coryhometeam.com
Assigned to kenia@coryhometeam.com</x18tc:text>
    <x18tc:mentions>
      <x18tc:mention mentionpersonId="{c2b0de28-3b31-4aa3-82a3-f8aba187b3e9}" mentionId="{67f2ad04-8a0d-4e21-930e-d1b5289a524f}" startIndex="106" length="23"/>
    </x18tc:mentions>
  </x18tc:threadedComment>
  <x18tc:threadedComment ref="A1" dT="2025-10-22T16:44:06.00" personId="{91ddd612-48c2-41c6-a628-68f42b3a1fa2}" id="{30f2acdf-d3f4-433a-bf5d-9ba280f3c7c4}" done="0">
    <x18tc:text xml:space="preserve">10.22 COE moved to 11.5 as per AEA1.</x18tc:text>
  </x18tc:threadedComment>
  <x18tc:threadedComment ref="A1" dT="2025-07-15T18:46:33.00" personId="{d4b03686-3bed-491a-bd12-3b942153f8f5}" id="{da5ba4d8-b267-43d4-a6c2-65d85e723619}" done="0">
    <x18tc:text xml:space="preserve">AVOCADO VISTA LN @isabel@coryhometeam.com VERIFIED
Assigned to isabel@coryhometeam.com</x18tc:text>
    <x18tc:mentions>
      <x18tc:mention mentionpersonId="{7d00647f-be2a-4639-a5f7-08a67118a5cf}" mentionId="{8cd484f9-581c-4194-b748-3422d15efd7f}" startIndex="17" length="24"/>
    </x18tc:mentions>
  </x18tc:threadedComment>
  <x18tc:threadedComment ref="A1" dT="2025-08-07T12:53:36.00" personId="{2c0b40a3-d34a-4e30-997b-e7e5451e40bb}" id="{e80532e8-50d4-4e0e-a56c-1b1c3e52ad9b}" done="0">
    <x18tc:text xml:space="preserve">@isabel@coryhometeam.com is this Opendoor of Flex Sellers. Im not sure what to do with the FUB Record
Assigned to isabel@coryhometeam.com</x18tc:text>
    <x18tc:mentions>
      <x18tc:mention mentionpersonId="{7d00647f-be2a-4639-a5f7-08a67118a5cf}" mentionId="{3186abc8-7e94-4435-a8db-6a2a05ae4c35}" startIndex="0" length="24"/>
    </x18tc:mentions>
  </x18tc:threadedComment>
  <x18tc:threadedComment ref="A1" dT="2025-04-03T15:38:35.00" personId="{2c0b40a3-d34a-4e30-997b-e7e5451e40bb}" id="{3b1f1a6b-7110-4615-b36b-d9e6e06eacbc}" done="1">
    <x18tc:text xml:space="preserve">@isabel@coryhometeam.com 
Need to clarify the crediting of this Client; Jacob Singhavong Flex Sellers (951) 790-8765, Appt set by ISA Kelly- but this record in CHT TS shows that it is under Open Door Acquisition (by VA-RV)
Assigned to isabel@coryhometeam.com</x18tc:text>
    <x18tc:mentions>
      <x18tc:mention mentionpersonId="{7d00647f-be2a-4639-a5f7-08a67118a5cf}" mentionId="{1865b9be-0acd-448b-8ba0-f24c9d781473}" startIndex="0" length="24"/>
    </x18tc:mentions>
  </x18tc:threadedComment>
  <x18tc:threadedComment ref="AT42" dT="2026-06-16T17:35:35.00" personId="{91ddd612-48c2-41c6-a628-68f42b3a1fa2}" id="{6c39954d-2739-4ee9-bbaf-6038ba6ec5d2}" done="0">
    <x18tc:text xml:space="preserve">7596 Arcadia Ave
AM verified.
@isabel@coryhometeam.com
@kenia@coryhometeam.com
6.16 CI sent to Escrow.
Assigned to isabel@coryhometeam.com</x18tc:text>
    <x18tc:mentions>
      <x18tc:mention mentionpersonId="{7d00647f-be2a-4639-a5f7-08a67118a5cf}" mentionId="{094686c4-6d64-42c9-8e13-6b3e004656b0}" startIndex="30" length="24"/>
      <x18tc:mention mentionpersonId="{c2b0de28-3b31-4aa3-82a3-f8aba187b3e9}" mentionId="{836ad4ed-89bf-4942-a3a8-8bae17d819f5}" startIndex="55" length="23"/>
    </x18tc:mentions>
  </x18tc:threadedComment>
  <x18tc:threadedComment ref="A1" dT="2025-04-04T22:14:04.00" personId="{d4b03686-3bed-491a-bd12-3b942153f8f5}" id="{6c449d49-bb3c-43b1-89e6-6648875df89b}" done="0">
    <x18tc:text xml:space="preserve">PAINTED DESER DR @isabel@coryhometeam.com VERIFIED
Assigned to isabel@coryhometeam.com</x18tc:text>
    <x18tc:mentions>
      <x18tc:mention mentionpersonId="{7d00647f-be2a-4639-a5f7-08a67118a5cf}" mentionId="{e06ec806-3a7a-4f1c-99fd-52ae5c95cc57}" startIndex="17" length="24"/>
    </x18tc:mentions>
  </x18tc:threadedComment>
  <x18tc:threadedComment ref="A1" dT="2025-07-15T19:54:08.00" personId="{91ddd612-48c2-41c6-a628-68f42b3a1fa2}" id="{68810a6c-0dc0-4327-9a22-2a217c4d30e7}" done="0">
    <x18tc:text xml:space="preserve">201 S Pennsylvania Ave # Spc 67
AM verified.
@isabel@coryhometeam.com 
@kenia@coryhometeam.com 
7.15 CI sent to Escrow.
Assigned to isabel@coryhometeam.com</x18tc:text>
    <x18tc:mentions>
      <x18tc:mention mentionpersonId="{7d00647f-be2a-4639-a5f7-08a67118a5cf}" mentionId="{57f580cb-5dd1-44df-840c-7a636e84f452}" startIndex="45" length="24"/>
      <x18tc:mention mentionpersonId="{c2b0de28-3b31-4aa3-82a3-f8aba187b3e9}" mentionId="{07d681fa-b0b3-4b1c-88b5-216b86261d28}" startIndex="71" length="23"/>
    </x18tc:mentions>
  </x18tc:threadedComment>
  <x18tc:threadedComment ref="A1" dT="2025-04-29T09:24:11.00" personId="{91ddd612-48c2-41c6-a628-68f42b3a1fa2}" id="{d3715ff6-0f6f-4a05-8baf-16490df007e5}" done="0">
    <x18tc:text xml:space="preserve">4.28 Per Eddie: I'll let you know once the buyers have had an opportunity to see the report.</x18tc:text>
  </x18tc:threadedComment>
  <x18tc:threadedComment ref="A1" dT="2025-06-19T15:43:57.00" personId="{283cbab7-8785-4d8a-9d80-ae85deef9da8}" id="{ccdc1cae-a2c0-4faa-8d17-b96c45e81fbe}" done="0">
    <x18tc:text xml:space="preserve">@aileen@coryhometeam.com 
When we got to market, this is a mobile home in Rialto so we will use CRMLS
Assigned to aileen@coryhometeam.com</x18tc:text>
    <x18tc:mentions>
      <x18tc:mention mentionpersonId="{d84aad15-fe10-4ace-a111-49c543015ec6}" mentionId="{9a4c2f07-e7b1-4879-904e-6101c9378b18}" startIndex="0" length="24"/>
    </x18tc:mentions>
  </x18tc:threadedComment>
  <x18tc:threadedComment ref="A1" dT="2025-07-15T19:58:44.00" personId="{91ddd612-48c2-41c6-a628-68f42b3a1fa2}" id="{12d83ca4-1624-4232-8be2-d0ca818d9add}" done="0">
    <x18tc:text xml:space="preserve">350 E San Jacinto Ave #49
AM verified.
@isabel@coryhometeam.com 
@kenia@coryhometeam.com 
7.15 CI sent to Escrow.
Assigned to isabel@coryhometeam.com</x18tc:text>
    <x18tc:mentions>
      <x18tc:mention mentionpersonId="{7d00647f-be2a-4639-a5f7-08a67118a5cf}" mentionId="{266f9716-69bb-4b45-be67-35596c0bf967}" startIndex="39" length="24"/>
      <x18tc:mention mentionpersonId="{c2b0de28-3b31-4aa3-82a3-f8aba187b3e9}" mentionId="{e1964a04-1468-47d4-9755-12e47ac3edcc}" startIndex="65" length="23"/>
    </x18tc:mentions>
  </x18tc:threadedComment>
  <x18tc:threadedComment ref="A1" dT="2025-07-15T19:29:43.00" personId="{283cbab7-8785-4d8a-9d80-ae85deef9da8}" id="{ff2114b7-0dec-4ff4-9638-0c8785f701b8}" done="0">
    <x18tc:text xml:space="preserve">RPA Purchase piece $105,000
Price reduction $100,000 per AEA 7/15/25</x18tc:text>
  </x18tc:threadedComment>
  <x18tc:threadedComment ref="A1" dT="2025-11-10T18:36:34.00" personId="{91ddd612-48c2-41c6-a628-68f42b3a1fa2}" id="{f73834ff-56fd-46d1-b15c-831f79db59cd}" done="0">
    <x18tc:text xml:space="preserve">432 Edgehill Ln #134
AM verified.
@isabel@coryhometeam.com
@kenia@coryhometeam.com
11.10 CI sent to Escrow.
Assigned to isabel@coryhometeam.com</x18tc:text>
    <x18tc:mentions>
      <x18tc:mention mentionpersonId="{7d00647f-be2a-4639-a5f7-08a67118a5cf}" mentionId="{26e20ff7-5194-4478-9942-3c4b60b65489}" startIndex="34" length="24"/>
      <x18tc:mention mentionpersonId="{c2b0de28-3b31-4aa3-82a3-f8aba187b3e9}" mentionId="{a5fe5308-008f-4a52-9dfd-b9e64b0f2f82}" startIndex="59" length="23"/>
    </x18tc:mentions>
  </x18tc:threadedComment>
  <x18tc:threadedComment ref="A1" dT="2025-04-01T17:15:52.00" personId="{686b49bf-83f4-411b-b0f1-f0e341680f5a}" id="{7f833a62-8e2a-4a64-9535-001a5266c1cc}" done="0">
    <x18tc:text xml:space="preserve">Cheryl to pay $5K out of her commission to Seller as credit.</x18tc:text>
  </x18tc:threadedComment>
  <x18tc:threadedComment ref="A1" dT="2025-10-09T22:12:29.00" personId="{91ddd612-48c2-41c6-a628-68f42b3a1fa2}" id="{e1c3e6f4-adb4-4af5-9ab6-3df0bb32d788}" done="0">
    <x18tc:text xml:space="preserve">10.9 New COE date is 10.14 as per ETA.</x18tc:text>
  </x18tc:threadedComment>
  <x18tc:threadedComment ref="A1" dT="2025-10-09T16:42:28.00" personId="{91ddd612-48c2-41c6-a628-68f42b3a1fa2}" id="{a8041cf4-aa29-4b2b-96f7-08931cf8358e}" done="0">
    <x18tc:text xml:space="preserve">29840 Avenida De Real
AM verified.
@isabel@coryhometeam.com
@kenia@coryhometeam.com
10.8 CI sent to Escrow.
Assigned to isabel@coryhometeam.com</x18tc:text>
    <x18tc:mentions>
      <x18tc:mention mentionpersonId="{7d00647f-be2a-4639-a5f7-08a67118a5cf}" mentionId="{3a6c8c51-de31-43d6-8867-52b6f4c995a9}" startIndex="35" length="24"/>
      <x18tc:mention mentionpersonId="{c2b0de28-3b31-4aa3-82a3-f8aba187b3e9}" mentionId="{ed57e2d2-1d3b-4cab-8654-0c0b07bffe92}" startIndex="60" length="23"/>
    </x18tc:mentions>
  </x18tc:threadedComment>
  <x18tc:threadedComment ref="A1" dT="2025-09-16T23:13:47.00" personId="{d4b03686-3bed-491a-bd12-3b942153f8f5}" id="{32779486-01db-452d-9042-6cd66f7cd2ff}" done="0">
    <x18tc:text xml:space="preserve">MONTE VISTA @isabel@coryhometeam.com VERIFIED
Assigned to isabel@coryhometeam.com</x18tc:text>
    <x18tc:mentions>
      <x18tc:mention mentionpersonId="{7d00647f-be2a-4639-a5f7-08a67118a5cf}" mentionId="{71f31e22-5356-42ff-9571-7bd0afbcdea4}" startIndex="12" length="24"/>
    </x18tc:mentions>
  </x18tc:threadedComment>
  <x18tc:threadedComment ref="P14" dT="2026-05-18T22:45:38.00" personId="{686b49bf-83f4-411b-b0f1-f0e341680f5a}" id="{6ccfb987-7d9e-4e47-b73b-e8949b459496}" done="0">
    <x18tc:text xml:space="preserve">Choice Home Warranty
This file is with Cheree's previous broker and is locked in with their services.</x18tc:text>
  </x18tc:threadedComment>
  <x18tc:threadedComment ref="A1" dT="2025-04-29T09:29:36.00" personId="{91ddd612-48c2-41c6-a628-68f42b3a1fa2}" id="{5e8ec96c-71b1-4b80-b31f-0518dfa801a1}" done="0">
    <x18tc:text xml:space="preserve">4.28 ALL except COP.</x18tc:text>
  </x18tc:threadedComment>
  <x18tc:threadedComment ref="A1" dT="2025-02-06T21:39:35.00" personId="{91ddd612-48c2-41c6-a628-68f42b3a1fa2}" id="{f346cab8-338d-4925-bfbe-938697e8367a}" done="0">
    <x18tc:text xml:space="preserve">AM verified.
@isabel@coryhometeam.com 
@kenia@coryhometeam.com 
2.6 CI sent to Escrow.
Assigned to isabel@coryhometeam.com</x18tc:text>
    <x18tc:mentions>
      <x18tc:mention mentionpersonId="{7d00647f-be2a-4639-a5f7-08a67118a5cf}" mentionId="{e30bcb55-c9b4-48fc-9dd3-21a855f4a84f}" startIndex="13" length="24"/>
      <x18tc:mention mentionpersonId="{c2b0de28-3b31-4aa3-82a3-f8aba187b3e9}" mentionId="{9c8f983b-8b4f-4d2f-a01f-3b675eb0eb67}" startIndex="39" length="23"/>
    </x18tc:mentions>
  </x18tc:threadedComment>
  <x18tc:threadedComment ref="A1" dT="2025-04-29T09:44:44.00" personId="{91ddd612-48c2-41c6-a628-68f42b3a1fa2}" id="{ad8e4394-ad4e-4927-a14e-7135b3b0e979}" done="0">
    <x18tc:text xml:space="preserve">4.29 Purchase price increased from 340K to 345K per ADM1.</x18tc:text>
  </x18tc:threadedComment>
  <x18tc:threadedComment ref="A1" dT="2025-04-30T00:37:24.00" personId="{686b49bf-83f4-411b-b0f1-f0e341680f5a}" id="{615399d1-1ae4-486b-b9f3-7cc9fdc4d909}" done="0">
    <x18tc:text xml:space="preserve">Docs were delayed by one day.</x18tc:text>
  </x18tc:threadedComment>
  <x18tc:threadedComment ref="A1" dT="2025-08-28T17:27:56.00" personId="{91ddd612-48c2-41c6-a628-68f42b3a1fa2}" id="{1dbe8a68-44a1-4082-9cc7-aac01ff6624b}" done="0">
    <x18tc:text xml:space="preserve">8.28 ETA COE 9.5 out for signature.</x18tc:text>
  </x18tc:threadedComment>
  <x18tc:threadedComment ref="A1" dT="2025-09-09T19:38:09.00" personId="{91ddd612-48c2-41c6-a628-68f42b3a1fa2}" id="{7faf23c1-f990-46d1-b8b5-9d1f22ccfb32}" parentId="{1dbe8a68-44a1-4082-9cc7-aac01ff6624b}">
    <x18tc:text xml:space="preserve">9.9 New ETA COE 9.10</x18tc:text>
  </x18tc:threadedComment>
  <x18tc:threadedComment ref="A1" dT="2025-12-23T16:29:59.00" personId="{283cbab7-8785-4d8a-9d80-ae85deef9da8}" id="{d9a57e78-4703-4417-a38e-3626aee2e4b2}" done="0">
    <x18tc:text xml:space="preserve">Dana notifies me this was early COE 12/19</x18tc:text>
  </x18tc:threadedComment>
  <x18tc:threadedComment ref="A1" dT="2025-05-15T17:32:57.00" personId="{d4b03686-3bed-491a-bd12-3b942153f8f5}" id="{c7fc1147-1460-4142-9774-f18c4ad52539}" done="0">
    <x18tc:text xml:space="preserve">SILVER SADDLE CT @isabel@coryhometeam.com VERIFIED
Assigned to isabel@coryhometeam.com</x18tc:text>
    <x18tc:mentions>
      <x18tc:mention mentionpersonId="{7d00647f-be2a-4639-a5f7-08a67118a5cf}" mentionId="{7a70d695-3a67-4b9e-a1dc-61f5c65a19d8}" startIndex="17" length="24"/>
    </x18tc:mentions>
  </x18tc:threadedComment>
  <x18tc:threadedComment ref="A1" dT="2025-01-31T05:15:32.00" personId="{686b49bf-83f4-411b-b0f1-f0e341680f5a}" id="{e03310ec-553b-4caf-a0e5-42769807a7f6}" done="0">
    <x18tc:text xml:space="preserve">This is a divorce situation, Alicia needs to speak to each seller before we send a MT to clarify commission.</x18tc:text>
  </x18tc:threadedComment>
  <x18tc:threadedComment ref="A1" dT="2025-04-17T23:25:38.00" personId="{d4b03686-3bed-491a-bd12-3b942153f8f5}" id="{eddf27b4-e6cf-460b-9008-655dc52c9349}" done="0">
    <x18tc:text xml:space="preserve">HARVARD DR @isabel@coryhometeam.com VERIFIED
Assigned to isabel@coryhometeam.com</x18tc:text>
    <x18tc:mentions>
      <x18tc:mention mentionpersonId="{7d00647f-be2a-4639-a5f7-08a67118a5cf}" mentionId="{f9a4fd3f-4fad-4317-be63-fdc13e785805}" startIndex="11" length="24"/>
    </x18tc:mentions>
  </x18tc:threadedComment>
  <x18tc:threadedComment ref="A1" dT="2025-11-05T23:10:03.00" personId="{e9fc873c-1c43-4e02-b893-c88033c9c8f6}" id="{8d87642c-1770-4d68-bb72-a97dbd6097a3}" done="0">
    <x18tc:text xml:space="preserve">@isabel@coryhometeam.com Ansar to receive 80% on this file only_ 3375 Fuschia
Assigned to isabel@coryhometeam.com</x18tc:text>
    <x18tc:mentions>
      <x18tc:mention mentionpersonId="{7d00647f-be2a-4639-a5f7-08a67118a5cf}" mentionId="{9b8ebe62-b883-4d72-8116-69fb2527aa3f}" startIndex="0" length="24"/>
    </x18tc:mentions>
  </x18tc:threadedComment>
  <x18tc:threadedComment ref="A1" dT="2025-11-06T01:27:24.00" personId="{91ddd612-48c2-41c6-a628-68f42b3a1fa2}" id="{df3ffc57-2166-4b4d-bf19-24729aec56bf}" done="0">
    <x18tc:text xml:space="preserve">11.5 Late notice. Agent failed to provide documents on time. We are trying to complete the file.</x18tc:text>
  </x18tc:threadedComment>
  <x18tc:threadedComment ref="A1" dT="2025-02-13T22:27:42.00" personId="{91ddd612-48c2-41c6-a628-68f42b3a1fa2}" id="{ed71d9d1-53fb-467b-9055-79ad31d9b3e0}" done="0">
    <x18tc:text xml:space="preserve">AM verified.
@isabel@coryhometeam.com 
@kenia@coryhometeam.com 
2.13 CI sent to Escrow.
Assigned to isabel@coryhometeam.com</x18tc:text>
    <x18tc:mentions>
      <x18tc:mention mentionpersonId="{7d00647f-be2a-4639-a5f7-08a67118a5cf}" mentionId="{e1d51a4a-2c16-4923-bd6c-ec566175909b}" startIndex="13" length="24"/>
      <x18tc:mention mentionpersonId="{c2b0de28-3b31-4aa3-82a3-f8aba187b3e9}" mentionId="{4a7255d2-8ef6-4117-bc77-86d64c1881eb}" startIndex="39" length="23"/>
    </x18tc:mentions>
  </x18tc:threadedComment>
  <x18tc:threadedComment ref="A1" dT="2025-01-31T05:16:24.00" personId="{686b49bf-83f4-411b-b0f1-f0e341680f5a}" id="{5feb8a07-8cf7-4405-818b-e6164073d1fc}" done="0">
    <x18tc:text xml:space="preserve">Richard needs to speak to the Sellers. She isn't allowing many showings and the RLA is going to expire 02/17.</x18tc:text>
  </x18tc:threadedComment>
  <x18tc:threadedComment ref="A1" dT="2025-02-28T22:55:46.00" personId="{91ddd612-48c2-41c6-a628-68f42b3a1fa2}" id="{f6e22ea7-10a4-43d4-8d34-2b8ee4754289}" done="0">
    <x18tc:text xml:space="preserve">AM verified.
@isabel@coryhometeam.com 
@kenia@coryhometeam.com 
2.28 CI sent to Escrow.
Assigned to isabel@coryhometeam.com</x18tc:text>
    <x18tc:mentions>
      <x18tc:mention mentionpersonId="{7d00647f-be2a-4639-a5f7-08a67118a5cf}" mentionId="{5d430195-ddca-495f-b7c9-bf13f20b9cca}" startIndex="13" length="24"/>
      <x18tc:mention mentionpersonId="{c2b0de28-3b31-4aa3-82a3-f8aba187b3e9}" mentionId="{c35a00db-ad46-4ccb-8132-5058345c22c0}" startIndex="39" length="23"/>
    </x18tc:mentions>
  </x18tc:threadedComment>
  <x18tc:threadedComment ref="A1" dT="2025-07-14T22:30:24.00" personId="{283cbab7-8785-4d8a-9d80-ae85deef9da8}" id="{48521250-357d-4147-bd29-e687b0877b99}" done="0">
    <x18tc:text xml:space="preserve">Bridget handled sign/lockbox/ listing photos</x18tc:text>
  </x18tc:threadedComment>
  <x18tc:threadedComment ref="A1" dT="2025-05-15T18:19:58.00" personId="{70ef93c1-8205-4a4b-b2d2-ae0f451d890c}" id="{a53cd32c-dc97-4bb0-8a92-562e734f0306}" done="0">
    <x18tc:text xml:space="preserve">6/26/25-6/28/25</x18tc:text>
  </x18tc:threadedComment>
  <x18tc:threadedComment ref="A1" dT="2025-02-13T18:54:57.00" personId="{91ddd612-48c2-41c6-a628-68f42b3a1fa2}" id="{64c36a78-ae10-48f6-978a-4085a5bcd194}" done="0">
    <x18tc:text xml:space="preserve">AM verified.
@isabel@coryhometeam.com 
@kenia@coryhometeam.com 
2.13 CI sent to Escrow.
Assigned to isabel@coryhometeam.com</x18tc:text>
    <x18tc:mentions>
      <x18tc:mention mentionpersonId="{7d00647f-be2a-4639-a5f7-08a67118a5cf}" mentionId="{ea387cfb-f72b-4f77-80df-8b27b61f6888}" startIndex="13" length="24"/>
      <x18tc:mention mentionpersonId="{c2b0de28-3b31-4aa3-82a3-f8aba187b3e9}" mentionId="{b309fce5-0010-40c0-a284-36b2a9e4f862}" startIndex="39" length="23"/>
    </x18tc:mentions>
  </x18tc:threadedComment>
  <x18tc:threadedComment ref="A1" dT="2025-07-08T04:53:32.00" personId="{686b49bf-83f4-411b-b0f1-f0e341680f5a}" id="{5ae1dbb9-b25f-42e3-96b0-4a996d3a40fe}" done="0">
    <x18tc:text xml:space="preserve">@aileen@coryhometeam.com This listing agreement was signed on 06/27/25 - please process immediately.
Assigned to aileen@coryhometeam.com</x18tc:text>
    <x18tc:mentions>
      <x18tc:mention mentionpersonId="{d84aad15-fe10-4ace-a111-49c543015ec6}" mentionId="{63fe8e4a-6bf3-4799-8266-fb46cfb5c3b7}" startIndex="0" length="24"/>
    </x18tc:mentions>
  </x18tc:threadedComment>
  <x18tc:threadedComment ref="A1" dT="2025-07-08T04:47:38.00" personId="{686b49bf-83f4-411b-b0f1-f0e341680f5a}" id="{dee1d7bd-74fd-4d43-8543-403b9598a309}" done="0">
    <x18tc:text xml:space="preserve">@aileen@coryhometeam.com This listing agreement was signed on 07/01/25 - please process immediately.
Assigned to aileen@coryhometeam.com</x18tc:text>
    <x18tc:mentions>
      <x18tc:mention mentionpersonId="{d84aad15-fe10-4ace-a111-49c543015ec6}" mentionId="{cc24ecc5-0c38-4fd2-915d-331c03c6ddec}" startIndex="0" length="24"/>
    </x18tc:mentions>
  </x18tc:threadedComment>
  <x18tc:threadedComment ref="A1" dT="2025-07-10T16:52:54.00" personId="{283cbab7-8785-4d8a-9d80-ae85deef9da8}" id="{d7fc4787-7781-469d-8937-300fe081ed3c}" done="0">
    <x18tc:text xml:space="preserve">@aileen@coryhometeam.com this was not entered to Agent board</x18tc:text>
    <x18tc:mentions>
      <x18tc:mention mentionpersonId="{d84aad15-fe10-4ace-a111-49c543015ec6}" mentionId="{b25681bc-f5d1-4ae6-b378-f14fdaf93fbd}" startIndex="0" length="24"/>
    </x18tc:mentions>
  </x18tc:threadedComment>
  <x18tc:threadedComment ref="A1" dT="2025-07-10T16:59:32.00" personId="{686b49bf-83f4-411b-b0f1-f0e341680f5a}" id="{3666fb99-bb0b-473e-8e19-84a8e500c4cb}" parentId="{d7fc4787-7781-469d-8937-300fe081ed3c}">
    <x18tc:text xml:space="preserve">@aileen@coryhometeam.com This listing agreement was signed on 06/30/25 - please process immediately.</x18tc:text>
    <x18tc:mentions>
      <x18tc:mention mentionpersonId="{d84aad15-fe10-4ace-a111-49c543015ec6}" mentionId="{f960e8ca-61dd-4ec5-bbab-340780171138}" startIndex="0" length="24"/>
    </x18tc:mentions>
  </x18tc:threadedComment>
  <x18tc:threadedComment ref="A1" dT="2025-04-17T23:04:56.00" personId="{d4b03686-3bed-491a-bd12-3b942153f8f5}" id="{04d472bb-8487-40ae-8647-3d02cf0f4334}" done="0">
    <x18tc:text xml:space="preserve">CABELA DR @isabel@coryhometeam.com VERIFIED
Assigned to isabel@coryhometeam.com</x18tc:text>
    <x18tc:mentions>
      <x18tc:mention mentionpersonId="{7d00647f-be2a-4639-a5f7-08a67118a5cf}" mentionId="{1d6e78c2-a745-49d2-85c4-cd2be5f97d0b}" startIndex="10" length="24"/>
    </x18tc:mentions>
  </x18tc:threadedComment>
  <x18tc:threadedComment ref="A1" dT="2025-07-08T04:55:44.00" personId="{686b49bf-83f4-411b-b0f1-f0e341680f5a}" id="{0c2becad-feab-467f-9dbd-d56908349727}" done="0">
    <x18tc:text xml:space="preserve">@aileen@coryhometeam.com This one was wet signed and needs to be processed. This is also ACTIVE on the MLS. Please update immediately.
Assigned to aileen@coryhometeam.com</x18tc:text>
    <x18tc:mentions>
      <x18tc:mention mentionpersonId="{d84aad15-fe10-4ace-a111-49c543015ec6}" mentionId="{8329fcaa-85dc-41ff-b4a9-6e5612a17d98}" startIndex="0" length="24"/>
    </x18tc:mentions>
  </x18tc:threadedComment>
  <x18tc:threadedComment ref="A1" dT="2025-04-17T23:04:16.00" personId="{d4b03686-3bed-491a-bd12-3b942153f8f5}" id="{e66d87d7-1465-4074-a2e4-2c73c8ed1a3f}" done="0">
    <x18tc:text xml:space="preserve">SECO DR @isabel@coryhometeam.com VERIFIED
Assigned to isabel@coryhometeam.com</x18tc:text>
    <x18tc:mentions>
      <x18tc:mention mentionpersonId="{7d00647f-be2a-4639-a5f7-08a67118a5cf}" mentionId="{05b1ec33-c460-4bc7-ab78-33747cb41986}" startIndex="8" length="24"/>
    </x18tc:mentions>
  </x18tc:threadedComment>
  <x18tc:threadedComment ref="A1" dT="2025-10-27T17:04:45.00" personId="{91ddd612-48c2-41c6-a628-68f42b3a1fa2}" id="{8be1d2c9-f0d1-4ead-a07a-086a72959f5e}" done="0">
    <x18tc:text xml:space="preserve">2466 Bolker Dr
AM verified.
@isabel@coryhometeam.com
@kenia@coryhometeam.com
10.27 CI sent to Escrow.
Assigned to isabel@coryhometeam.com</x18tc:text>
    <x18tc:mentions>
      <x18tc:mention mentionpersonId="{7d00647f-be2a-4639-a5f7-08a67118a5cf}" mentionId="{f653457c-2adc-4a95-9228-61f7baf15c72}" startIndex="28" length="24"/>
      <x18tc:mention mentionpersonId="{c2b0de28-3b31-4aa3-82a3-f8aba187b3e9}" mentionId="{3ebcebdd-d86e-4871-a210-cdea3058074a}" startIndex="53" length="23"/>
    </x18tc:mentions>
  </x18tc:threadedComment>
  <x18tc:threadedComment ref="A1" dT="2025-04-17T23:10:13.00" personId="{d4b03686-3bed-491a-bd12-3b942153f8f5}" id="{541c8e6a-1ab5-4f54-aafa-d79e1df4b30d}" done="0">
    <x18tc:text xml:space="preserve">RICHLAND RD @isabel@coryhometeam.com VERIFIED
Assigned to isabel@coryhometeam.com</x18tc:text>
    <x18tc:mentions>
      <x18tc:mention mentionpersonId="{7d00647f-be2a-4639-a5f7-08a67118a5cf}" mentionId="{1eeae854-fdd5-421a-b5ca-be0b7f8e9814}" startIndex="12" length="24"/>
    </x18tc:mentions>
  </x18tc:threadedComment>
  <x18tc:threadedComment ref="A1" dT="2025-03-25T20:41:34.00" personId="{91ddd612-48c2-41c6-a628-68f42b3a1fa2}" id="{c5315187-c986-414d-9b16-6244aa8f6037}" done="0">
    <x18tc:text xml:space="preserve">SPRP</x18tc:text>
  </x18tc:threadedComment>
  <x18tc:threadedComment ref="A1" dT="2025-02-28T23:30:57.00" personId="{91ddd612-48c2-41c6-a628-68f42b3a1fa2}" id="{4709f7e3-70c6-4507-af7c-8ea14b18d0ab}" done="0">
    <x18tc:text xml:space="preserve">2.28 New lender from Zillow to US Bank - Brandon Klump.</x18tc:text>
  </x18tc:threadedComment>
  <x18tc:threadedComment ref="A1" dT="2025-04-10T16:20:40.00" personId="{91ddd612-48c2-41c6-a628-68f42b3a1fa2}" id="{b83deab6-fbde-4c66-a213-ebe036024b9b}" done="0">
    <x18tc:text xml:space="preserve">AM verified.
@isabel@coryhometeam.com 
@kenia@coryhometeam.com 
4.10 CI sent to Escrow.
Assigned to isabel@coryhometeam.com</x18tc:text>
    <x18tc:mentions>
      <x18tc:mention mentionpersonId="{7d00647f-be2a-4639-a5f7-08a67118a5cf}" mentionId="{580b06e2-5784-458b-bc57-14fedd4f9a97}" startIndex="13" length="24"/>
      <x18tc:mention mentionpersonId="{c2b0de28-3b31-4aa3-82a3-f8aba187b3e9}" mentionId="{c1419856-81d9-4815-8313-9f5289ca0e99}" startIndex="39" length="23"/>
    </x18tc:mentions>
  </x18tc:threadedComment>
  <x18tc:threadedComment ref="A1" dT="2025-04-17T23:16:21.00" personId="{d4b03686-3bed-491a-bd12-3b942153f8f5}" id="{a411f939-9945-41aa-882d-7a5e5e3a9d17}" done="0">
    <x18tc:text xml:space="preserve">MILKY WAY DR @isabel@coryhometeam.com VERIFIED
Assigned to isabel@coryhometeam.com</x18tc:text>
    <x18tc:mentions>
      <x18tc:mention mentionpersonId="{7d00647f-be2a-4639-a5f7-08a67118a5cf}" mentionId="{97f4f4e3-fcf3-4465-a37f-c1a75a41d95e}" startIndex="13" length="24"/>
    </x18tc:mentions>
  </x18tc:threadedComment>
  <x18tc:threadedComment ref="A1" dT="2025-03-07T17:50:46.00" personId="{283cbab7-8785-4d8a-9d80-ae85deef9da8}" id="{cfbfed1e-e36f-436a-b70f-c1fb0e0b10cc}" done="0">
    <x18tc:text xml:space="preserve">Home Warranty Difference $75.00</x18tc:text>
  </x18tc:threadedComment>
  <x18tc:threadedComment ref="A1" dT="2025-10-14T23:45:36.00" personId="{d4b03686-3bed-491a-bd12-3b942153f8f5}" id="{3ff73274-1949-46d1-9202-f3ff2fc9fda4}" done="0">
    <x18tc:text xml:space="preserve">ROBINSON LN @isabel@coryhometeam.com VERIFIED
Assigned to isabel@coryhometeam.com</x18tc:text>
    <x18tc:mentions>
      <x18tc:mention mentionpersonId="{7d00647f-be2a-4639-a5f7-08a67118a5cf}" mentionId="{6324f187-296e-41dd-9640-e92385358002}" startIndex="12" length="24"/>
    </x18tc:mentions>
  </x18tc:threadedComment>
  <x18tc:threadedComment ref="A1" dT="2025-10-27T16:32:40.00" personId="{91ddd612-48c2-41c6-a628-68f42b3a1fa2}" id="{3416d6f3-5e01-4209-9de5-4d882b6c9e07}" done="0">
    <x18tc:text xml:space="preserve">1368 Sierra Seneca Dr
AM verified.
@isabel@coryhometeam.com
@kenia@coryhometeam.com
10.27 CI sent to Escrow.
Assigned to isabel@coryhometeam.com</x18tc:text>
    <x18tc:mentions>
      <x18tc:mention mentionpersonId="{7d00647f-be2a-4639-a5f7-08a67118a5cf}" mentionId="{cd786fb1-a6fd-49a6-8ca9-c49d3ee193e4}" startIndex="35" length="24"/>
      <x18tc:mention mentionpersonId="{c2b0de28-3b31-4aa3-82a3-f8aba187b3e9}" mentionId="{e195db8c-6bb6-4056-9955-4bcdd7afa017}" startIndex="60" length="23"/>
    </x18tc:mentions>
  </x18tc:threadedComment>
  <x18tc:threadedComment ref="A1" dT="2025-03-07T18:06:29.00" personId="{91ddd612-48c2-41c6-a628-68f42b3a1fa2}" id="{2be4c2c1-259f-4ba0-8cf4-834799d45a1a}" done="0">
    <x18tc:text xml:space="preserve">AM verified.
@isabel@coryhometeam.com 
@kenia@coryhometeam.com 
3.7 CI sent to Escrow
Assigned to isabel@coryhometeam.com</x18tc:text>
    <x18tc:mentions>
      <x18tc:mention mentionpersonId="{7d00647f-be2a-4639-a5f7-08a67118a5cf}" mentionId="{5284f21f-526a-4084-b965-af424242981e}" startIndex="13" length="24"/>
      <x18tc:mention mentionpersonId="{c2b0de28-3b31-4aa3-82a3-f8aba187b3e9}" mentionId="{2caf1546-7b4e-4a7b-937d-1807c994dc81}" startIndex="39" length="23"/>
    </x18tc:mentions>
  </x18tc:threadedComment>
  <x18tc:threadedComment ref="A1" dT="2025-04-10T16:16:11.00" personId="{91ddd612-48c2-41c6-a628-68f42b3a1fa2}" id="{66d56110-436e-4173-a53d-2d7d5e6f9ab4}" done="0">
    <x18tc:text xml:space="preserve">AM verified.
@isabel@coryhometeam.com 
@kenia@coryhometeam.com 
4.10 CI sent to Escrow.
Assigned to isabel@coryhometeam.com</x18tc:text>
    <x18tc:mentions>
      <x18tc:mention mentionpersonId="{7d00647f-be2a-4639-a5f7-08a67118a5cf}" mentionId="{11987f8e-5015-4737-a7bf-1643cd29556c}" startIndex="13" length="24"/>
      <x18tc:mention mentionpersonId="{c2b0de28-3b31-4aa3-82a3-f8aba187b3e9}" mentionId="{f74bae0b-cc4d-47bf-b4e9-a4782d2dbd86}" startIndex="39" length="23"/>
    </x18tc:mentions>
  </x18tc:threadedComment>
  <x18tc:threadedComment ref="A1" dT="2025-11-10T17:45:37.00" personId="{91ddd612-48c2-41c6-a628-68f42b3a1fa2}" id="{1e9ffde8-1672-49bf-8856-2a94f291beab}" done="0">
    <x18tc:text xml:space="preserve">11.10  CR inspection extended from 11.3 to 11.10 per ETA.</x18tc:text>
  </x18tc:threadedComment>
  <x18tc:threadedComment ref="A1" dT="2025-02-18T18:57:42.00" personId="{686b49bf-83f4-411b-b0f1-f0e341680f5a}" id="{210e7117-4cfa-4cc0-ac74-5ff1556aa9b3}" done="0">
    <x18tc:text xml:space="preserve">Credit off the top to cover the difference needed in Home Warranty for Buyer.</x18tc:text>
  </x18tc:threadedComment>
  <x18tc:threadedComment ref="A1" dT="2025-04-10T16:18:26.00" personId="{91ddd612-48c2-41c6-a628-68f42b3a1fa2}" id="{0d856646-29b6-493b-9f6f-9f8283764322}" done="0">
    <x18tc:text xml:space="preserve">AM verified.
@isabel@coryhometeam.com 
@kenia@coryhometeam.com 
4.10 CI sent to Escrow.
Assigned to isabel@coryhometeam.com</x18tc:text>
    <x18tc:mentions>
      <x18tc:mention mentionpersonId="{7d00647f-be2a-4639-a5f7-08a67118a5cf}" mentionId="{7624f254-dd13-4609-ad70-9937f8e045ed}" startIndex="13" length="24"/>
      <x18tc:mention mentionpersonId="{c2b0de28-3b31-4aa3-82a3-f8aba187b3e9}" mentionId="{0ae97d74-35ab-4b04-afa2-bd1b8193b46a}" startIndex="39" length="23"/>
    </x18tc:mentions>
  </x18tc:threadedComment>
  <x18tc:threadedComment ref="A1" dT="2025-04-17T23:21:15.00" personId="{d4b03686-3bed-491a-bd12-3b942153f8f5}" id="{dcfb952c-696e-47e9-9f1b-13a16b545545}" done="0">
    <x18tc:text xml:space="preserve">ACACIA AVE UNIT 198 @isabel@coryhometeam.com VERIFIED
Assigned to isabel@coryhometeam.com</x18tc:text>
    <x18tc:mentions>
      <x18tc:mention mentionpersonId="{7d00647f-be2a-4639-a5f7-08a67118a5cf}" mentionId="{288e1e14-eeef-4e8a-8cda-4b1d5518b1e7}" startIndex="20" length="24"/>
    </x18tc:mentions>
  </x18tc:threadedComment>
  <x18tc:threadedComment ref="A1" dT="2025-03-07T17:38:03.00" personId="{91ddd612-48c2-41c6-a628-68f42b3a1fa2}" id="{c190cdae-f4a3-45c8-9c54-28612cce08d2}" done="0">
    <x18tc:text xml:space="preserve">3.7 Per Quan: I want to introduce Mitzi as the new lender for Jennifer. Mitzi will be taking over the file from Brian as of this morning. Jennifer decided to work with Mitzi due to misunderstanding between Brian and his company. Mitzi will be reaching out to you this morning.</x18tc:text>
  </x18tc:threadedComment>
  <x18tc:threadedComment ref="A1" dT="2025-10-27T15:58:12.00" personId="{91ddd612-48c2-41c6-a628-68f42b3a1fa2}" id="{03065c2f-4aec-45ef-a903-27e9142ee29c}" done="0">
    <x18tc:text xml:space="preserve">10.27 As per SMCO1, the commission is 2.5%. No take sheet has been provided by the agent. Three follow-up messages were sent today.</x18tc:text>
  </x18tc:threadedComment>
  <x18tc:threadedComment ref="A1" dT="2025-05-06T23:37:55.00" personId="{d4b03686-3bed-491a-bd12-3b942153f8f5}" id="{12a01f3f-3fad-46ba-85bf-e87a623f6d28}" done="0">
    <x18tc:text xml:space="preserve">MEADOW LARK AVE @isabel@coryhometeam.com VERIFIED
Assigned to isabel@coryhometeam.com</x18tc:text>
    <x18tc:mentions>
      <x18tc:mention mentionpersonId="{7d00647f-be2a-4639-a5f7-08a67118a5cf}" mentionId="{5c86a16d-c871-4e00-93b3-f953a66fc25d}" startIndex="16" length="24"/>
    </x18tc:mentions>
  </x18tc:threadedComment>
  <x18tc:threadedComment ref="A1" dT="2025-08-19T16:57:01.00" personId="{d4b03686-3bed-491a-bd12-3b942153f8f5}" id="{44fc6b85-7cd4-45d8-901f-785a315c4fd8}" done="0">
    <x18tc:text xml:space="preserve">$100.00 to eXp</x18tc:text>
  </x18tc:threadedComment>
  <x18tc:threadedComment ref="A1" dT="2025-03-07T18:11:52.00" personId="{d4b03686-3bed-491a-bd12-3b942153f8f5}" id="{2dcd0678-6d7b-4b5c-8ac0-15343511636d}" done="0">
    <x18tc:text xml:space="preserve">GOLDEN RIDGE DR @isabel@coryhometeam.com VERIFIED
Assigned to isabel@coryhometeam.com</x18tc:text>
    <x18tc:mentions>
      <x18tc:mention mentionpersonId="{7d00647f-be2a-4639-a5f7-08a67118a5cf}" mentionId="{fe44700e-b30d-4da0-9555-24bc759811a6}" startIndex="16" length="24"/>
    </x18tc:mentions>
  </x18tc:threadedComment>
  <x18tc:threadedComment ref="A1" dT="2025-02-18T18:24:41.00" personId="{686b49bf-83f4-411b-b0f1-f0e341680f5a}" id="{1016b023-bcf5-4ed2-9c6b-394c3316b575}" done="0">
    <x18tc:text xml:space="preserve">This is off the top.
This is the cost for the Sellers Home Warranty Coverage during the Listing period.</x18tc:text>
  </x18tc:threadedComment>
  <x18tc:threadedComment ref="A1" dT="2025-04-25T19:28:07.00" personId="{d4b03686-3bed-491a-bd12-3b942153f8f5}" id="{1cc0754f-c0d0-4dc2-857a-ddb64d9f39ed}" done="0">
    <x18tc:text xml:space="preserve">ORANGE BLOOM DR @isabel@coryhometeam.com VERIFIED
Assigned to isabel@coryhometeam.com</x18tc:text>
    <x18tc:mentions>
      <x18tc:mention mentionpersonId="{7d00647f-be2a-4639-a5f7-08a67118a5cf}" mentionId="{13654a27-24e9-429c-a21a-f382ab5d5c4d}" startIndex="16" length="24"/>
    </x18tc:mentions>
  </x18tc:threadedComment>
  <x18tc:threadedComment ref="A1" dT="2025-04-11T18:05:48.00" personId="{d4b03686-3bed-491a-bd12-3b942153f8f5}" id="{cac05cc5-5990-411f-86be-9f669673b436}" done="0">
    <x18tc:text xml:space="preserve">Flat rate of $1,500</x18tc:text>
  </x18tc:threadedComment>
  <x18tc:threadedComment ref="A1" dT="2025-10-27T16:03:55.00" personId="{91ddd612-48c2-41c6-a628-68f42b3a1fa2}" id="{703df442-5c3b-4159-9340-9408782820cd}" done="0">
    <x18tc:text xml:space="preserve">10.27 Per Dana: We don't know if we are continuing.</x18tc:text>
  </x18tc:threadedComment>
  <x18tc:threadedComment ref="A1" dT="2025-05-06T23:21:20.00" personId="{d4b03686-3bed-491a-bd12-3b942153f8f5}" id="{4d745b8f-ad86-42d1-8261-0fa2d72292bb}" done="0">
    <x18tc:text xml:space="preserve">GRIGG LANE @isabel@coryhometeam.com VERIFIED
Assigned to isabel@coryhometeam.com</x18tc:text>
    <x18tc:mentions>
      <x18tc:mention mentionpersonId="{7d00647f-be2a-4639-a5f7-08a67118a5cf}" mentionId="{7bc47f48-4d49-4dfe-ae4c-539b6a9b02d7}" startIndex="11" length="24"/>
    </x18tc:mentions>
  </x18tc:threadedComment>
  <x18tc:threadedComment ref="A1" dT="2025-07-01T19:16:22.00" personId="{686b49bf-83f4-411b-b0f1-f0e341680f5a}" id="{7cc9c447-a1a4-4e22-9bd9-8a46c21b0f05}" done="0">
    <x18tc:text xml:space="preserve">Approved off the top by Kiona in email on 07/01/25</x18tc:text>
  </x18tc:threadedComment>
  <x18tc:threadedComment ref="A1" dT="2025-07-17T23:48:35.00" personId="{686b49bf-83f4-411b-b0f1-f0e341680f5a}" id="{fa913599-7ae8-41e7-90ea-bccad7c95acc}" parentId="{7cc9c447-a1a4-4e22-9bd9-8a46c21b0f05}">
    <x18tc:text xml:space="preserve">Seller requested credit of $4,800 be returned to total commission due to LA.</x18tc:text>
  </x18tc:threadedComment>
  <x18tc:threadedComment ref="A1" dT="2025-07-14T19:48:58.00" personId="{283cbab7-8785-4d8a-9d80-ae85deef9da8}" id="{65727ee3-8c50-4787-8a60-5d73ea6f6c2e}" done="0">
    <x18tc:text xml:space="preserve">@aileen@coryhometeam.com 
RLA was signed on 07/14/25 please process initial tasks asap.
Assigned to aileen@coryhometeam.com</x18tc:text>
    <x18tc:mentions>
      <x18tc:mention mentionpersonId="{d84aad15-fe10-4ace-a111-49c543015ec6}" mentionId="{2f643c56-6c03-4f92-b29a-a93b815832b7}" startIndex="0" length="24"/>
    </x18tc:mentions>
  </x18tc:threadedComment>
  <x18tc:threadedComment ref="A1" dT="2025-06-14T15:01:41.00" personId="{686b49bf-83f4-411b-b0f1-f0e341680f5a}" id="{6a83c614-0a5d-4bd7-90c8-87b5a83073be}" done="0">
    <x18tc:text xml:space="preserve">@aileen@coryhometeam.com 
When we go to market, this is not a showcase and it is a manufactured home in Corona so we will use CRMLS
Assigned to aileen@coryhometeam.com</x18tc:text>
    <x18tc:mentions>
      <x18tc:mention mentionpersonId="{d84aad15-fe10-4ace-a111-49c543015ec6}" mentionId="{7cab0daa-097c-46cb-9a38-9f2c3355138b}" startIndex="0" length="24"/>
    </x18tc:mentions>
  </x18tc:threadedComment>
  <x18tc:threadedComment ref="A1" dT="2025-05-13T11:32:14.00" personId="{91ddd612-48c2-41c6-a628-68f42b3a1fa2}" id="{416e9527-b1eb-44c4-9441-f938a750cace}" done="0">
    <x18tc:text xml:space="preserve">AM verified.
@isabel@coryhometeam.com 
@kenia@coryhometeam.com 
5.13 CI sent to Escrow.
Assigned to isabel@coryhometeam.com</x18tc:text>
    <x18tc:mentions>
      <x18tc:mention mentionpersonId="{7d00647f-be2a-4639-a5f7-08a67118a5cf}" mentionId="{8c419929-cab1-4321-9c6c-998dd7449a7f}" startIndex="13" length="24"/>
      <x18tc:mention mentionpersonId="{c2b0de28-3b31-4aa3-82a3-f8aba187b3e9}" mentionId="{cdae5152-66c4-447f-96e5-258580dda113}" startIndex="39" length="23"/>
    </x18tc:mentions>
  </x18tc:threadedComment>
  <x18tc:threadedComment ref="A1" dT="2025-08-19T16:14:27.00" personId="{d4b03686-3bed-491a-bd12-3b942153f8f5}" id="{daf585ab-8c67-4b19-8b95-b2aaa3949efc}" done="0">
    <x18tc:text xml:space="preserve">CHEROKEE ROSE ST @isabel@coryhometeam.com VERIFIED
Assigned to isabel@coryhometeam.com</x18tc:text>
    <x18tc:mentions>
      <x18tc:mention mentionpersonId="{7d00647f-be2a-4639-a5f7-08a67118a5cf}" mentionId="{c94445e9-955c-4c41-a485-c28099772475}" startIndex="17" length="24"/>
    </x18tc:mentions>
  </x18tc:threadedComment>
  <x18tc:threadedComment ref="A1" dT="2025-11-10T18:22:26.00" personId="{91ddd612-48c2-41c6-a628-68f42b3a1fa2}" id="{29ff7a72-eb50-4b8f-98f2-63c05a227b13}" done="0">
    <x18tc:text xml:space="preserve">2 Ryan Ln
AM verified.
@isabel@coryhometeam.com
@kenia@coryhometeam.com
11.10 CI sent to Escrow.
Assigned to isabel@coryhometeam.com</x18tc:text>
    <x18tc:mentions>
      <x18tc:mention mentionpersonId="{7d00647f-be2a-4639-a5f7-08a67118a5cf}" mentionId="{5758f000-166f-4892-9f8f-3514ec970a85}" startIndex="23" length="24"/>
      <x18tc:mention mentionpersonId="{c2b0de28-3b31-4aa3-82a3-f8aba187b3e9}" mentionId="{571cdfc3-4ac5-4326-828d-5936322839f5}" startIndex="48" length="23"/>
    </x18tc:mentions>
  </x18tc:threadedComment>
  <x18tc:threadedComment ref="A1" dT="2025-09-26T19:47:07.00" personId="{686b49bf-83f4-411b-b0f1-f0e341680f5a}" id="{6ac56ad5-47b3-46fd-9d24-7b2ad331883c}" done="0">
    <x18tc:text xml:space="preserve">Buyer refused to pay at signing. Mel approved so we could close the deal.</x18tc:text>
  </x18tc:threadedComment>
  <x18tc:threadedComment ref="A1" dT="2025-05-29T18:38:50.00" personId="{91ddd612-48c2-41c6-a628-68f42b3a1fa2}" id="{f6a5b305-2b5b-48bc-8117-06ec4deca4b3}" done="0">
    <x18tc:text xml:space="preserve">1220 Auburn Street
AM verified.
@isabel@coryhometeam.com 
@kenia@coryhometeam.com 
5.29 CI sent to Escrow.
Assigned to isabel@coryhometeam.com</x18tc:text>
    <x18tc:mentions>
      <x18tc:mention mentionpersonId="{7d00647f-be2a-4639-a5f7-08a67118a5cf}" mentionId="{170f4fc9-b6f2-4367-bd66-2fd6d6edafeb}" startIndex="32" length="24"/>
      <x18tc:mention mentionpersonId="{c2b0de28-3b31-4aa3-82a3-f8aba187b3e9}" mentionId="{709c622a-0659-4dc9-987b-54110a7f7153}" startIndex="58" length="23"/>
    </x18tc:mentions>
  </x18tc:threadedComment>
  <x18tc:threadedComment ref="A1" dT="2025-04-23T01:09:50.00" personId="{686b49bf-83f4-411b-b0f1-f0e341680f5a}" id="{061f11fa-7b12-4ec6-916f-41cc9e72d1c8}" done="0">
    <x18tc:text xml:space="preserve">@aileen@coryhometeam.com  Please process on both boards, this is going straigh to ACTIVE this week. RLA signed 04/16
Assigned to aileen@coryhometeam.com</x18tc:text>
    <x18tc:mentions>
      <x18tc:mention mentionpersonId="{d84aad15-fe10-4ace-a111-49c543015ec6}" mentionId="{3bd0a6da-505f-461e-b772-c3d6e20fe360}" startIndex="0" length="24"/>
    </x18tc:mentions>
  </x18tc:threadedComment>
  <x18tc:threadedComment ref="A1" dT="2025-08-19T16:14:32.00" personId="{d4b03686-3bed-491a-bd12-3b942153f8f5}" id="{13cdfa9a-1a8e-456b-893b-ea976ac2d4d5}" done="0">
    <x18tc:text xml:space="preserve">CHEROKEE ROSE ST @isabel@coryhometeam.com VERIFIED
Assigned to isabel@coryhometeam.com</x18tc:text>
    <x18tc:mentions>
      <x18tc:mention mentionpersonId="{7d00647f-be2a-4639-a5f7-08a67118a5cf}" mentionId="{350203ee-c069-4061-b15c-0bfb74642b76}" startIndex="17" length="24"/>
    </x18tc:mentions>
  </x18tc:threadedComment>
  <x18tc:threadedComment ref="A1" dT="2025-05-29T18:47:18.00" personId="{686b49bf-83f4-411b-b0f1-f0e341680f5a}" id="{43ee7537-b653-4465-a940-1f8cc21a69d5}" done="0">
    <x18tc:text xml:space="preserve">Credit to Home Warranty for GOLD PLUS off the top.</x18tc:text>
  </x18tc:threadedComment>
  <x18tc:threadedComment ref="A1" dT="2025-04-23T01:10:57.00" personId="{686b49bf-83f4-411b-b0f1-f0e341680f5a}" id="{d6128a09-0983-44c4-bcca-2217490d8077}" done="0">
    <x18tc:text xml:space="preserve">@aileen@coryhometeam.com Please process on both boards, this has been ACTIVE since 04/11/25. RLA signed on 04/08/25
Assigned to aileen@coryhometeam.com</x18tc:text>
    <x18tc:mentions>
      <x18tc:mention mentionpersonId="{d84aad15-fe10-4ace-a111-49c543015ec6}" mentionId="{7c9885b0-e8f5-48d9-86a4-09780a1ddf92}" startIndex="0" length="24"/>
    </x18tc:mentions>
  </x18tc:threadedComment>
  <x18tc:threadedComment ref="A1" dT="2025-04-23T01:08:58.00" personId="{686b49bf-83f4-411b-b0f1-f0e341680f5a}" id="{f47399ff-9ceb-4856-852c-b4a38722b0f4}" done="0">
    <x18tc:text xml:space="preserve">@aileen@coryhometeam.com Please process on both boards. RLA was signed on 04/08/25
Assigned to aileen@coryhometeam.com</x18tc:text>
    <x18tc:mentions>
      <x18tc:mention mentionpersonId="{d84aad15-fe10-4ace-a111-49c543015ec6}" mentionId="{7aed6335-c51c-4b88-a23e-4b2092ca7fb1}" startIndex="0" length="24"/>
    </x18tc:mentions>
  </x18tc:threadedComment>
  <x18tc:threadedComment ref="A1" dT="2025-08-19T16:17:07.00" personId="{91ddd612-48c2-41c6-a628-68f42b3a1fa2}" id="{7541ebed-9510-47a0-a988-ff68333c9f68}" done="0">
    <x18tc:text xml:space="preserve">40240 Brook Trails Way
8.19 An SIP form was added to this transaction.</x18tc:text>
  </x18tc:threadedComment>
  <x18tc:threadedComment ref="A1" dT="2025-01-10T16:00:39.00" personId="{91ddd612-48c2-41c6-a628-68f42b3a1fa2}" id="{1388f55e-9972-4e2b-a79d-51ca68728ae4}" done="0">
    <x18tc:text xml:space="preserve">1.9 Per Kenia the buyer opted out to a new lender. Sent an email to get the new PAL.</x18tc:text>
  </x18tc:threadedComment>
  <x18tc:threadedComment ref="A1" dT="2025-11-26T23:24:50.00" personId="{d4b03686-3bed-491a-bd12-3b942153f8f5}" id="{af7013f5-859e-46f1-a3ae-b447f92ff3cb}" done="0">
    <x18tc:text xml:space="preserve">SYCAMORE CT @isabel@coryhometeam.com VERIFIED
Assigned to isabel@coryhometeam.com</x18tc:text>
    <x18tc:mentions>
      <x18tc:mention mentionpersonId="{7d00647f-be2a-4639-a5f7-08a67118a5cf}" mentionId="{6bc89748-dfc9-4c25-81fe-037bce473f98}" startIndex="12" length="24"/>
    </x18tc:mentions>
  </x18tc:threadedComment>
  <x18tc:threadedComment ref="A1" dT="2025-08-19T16:17:45.00" personId="{91ddd612-48c2-41c6-a628-68f42b3a1fa2}" id="{24c32d8d-447a-47d7-8f45-9fc061b198fc}" done="0">
    <x18tc:text xml:space="preserve">40240 Brook Trails Way
8.19 As per ETA COE is extended to 8.25.</x18tc:text>
  </x18tc:threadedComment>
  <x18tc:threadedComment ref="A1" dT="2025-01-10T16:06:14.00" personId="{91ddd612-48c2-41c6-a628-68f42b3a1fa2}" id="{107444ed-3c63-4e2a-a6a9-a5e6f2368184}" done="0">
    <x18tc:text xml:space="preserve">AM verified.
@isabel@coryhometeam.com 
@kenia@coryhometeam.com 
1.10 CI sent to Escrow.
Assigned to isabel@coryhometeam.com</x18tc:text>
    <x18tc:mentions>
      <x18tc:mention mentionpersonId="{7d00647f-be2a-4639-a5f7-08a67118a5cf}" mentionId="{ccf05d2c-e796-4e76-b5d8-2cf8627cddc1}" startIndex="13" length="24"/>
      <x18tc:mention mentionpersonId="{c2b0de28-3b31-4aa3-82a3-f8aba187b3e9}" mentionId="{862d9d48-9062-4257-bdd5-cc9d7fde4a4d}" startIndex="39" length="23"/>
    </x18tc:mentions>
  </x18tc:threadedComment>
  <x18tc:threadedComment ref="A1" dT="2025-01-10T16:10:11.00" personId="{91ddd612-48c2-41c6-a628-68f42b3a1fa2}" id="{edf42921-d1cd-41b1-b710-90c88aa26bff}" done="0">
    <x18tc:text xml:space="preserve">1.10 New COE date is 1.10 per ETA.</x18tc:text>
  </x18tc:threadedComment>
  <x18tc:threadedComment ref="X28" dT="2026-06-01T20:12:09.00" personId="{91ddd612-48c2-41c6-a628-68f42b3a1fa2}" id="{574fb6f2-1bd1-4a22-8997-3968152e6d22}" done="0">
    <x18tc:text xml:space="preserve">Estimated date only. This is contingent on buyers property.</x18tc:text>
  </x18tc:threadedComment>
  <x18tc:threadedComment ref="A1" dT="2025-07-11T11:08:04.00" personId="{91ddd612-48c2-41c6-a628-68f42b3a1fa2}" id="{909fe6a5-958c-4f8a-930f-db26322ce115}" done="0">
    <x18tc:text xml:space="preserve">27250 Murrieta Rd # 225
AM verified
@isabel@coryhometeam.com 
@kenia@coryhometeam.com 
7.11 CI sent to Escrow.
Assigned to isabel@coryhometeam.com</x18tc:text>
    <x18tc:mentions>
      <x18tc:mention mentionpersonId="{7d00647f-be2a-4639-a5f7-08a67118a5cf}" mentionId="{90a8e26f-ed9e-43bd-96fd-782dbd3f6ebf}" startIndex="36" length="24"/>
      <x18tc:mention mentionpersonId="{c2b0de28-3b31-4aa3-82a3-f8aba187b3e9}" mentionId="{215a5e6a-a6f3-4eca-9e11-fd4c7bbd6618}" startIndex="62" length="23"/>
    </x18tc:mentions>
  </x18tc:threadedComment>
  <x18tc:threadedComment ref="A1" dT="2025-06-12T13:56:33.00" personId="{91ddd612-48c2-41c6-a628-68f42b3a1fa2}" id="{68504f55-ab2b-4549-b2d8-8e13485085f5}" done="0">
    <x18tc:text xml:space="preserve">3830 Cougar Canyon Rd
AM verified.
@isabel@coryhometeam.com 
@kenia@coryhometeam.com 
6.12 CI sent to Escrow.
Assigned to isabel@coryhometeam.com</x18tc:text>
    <x18tc:mentions>
      <x18tc:mention mentionpersonId="{7d00647f-be2a-4639-a5f7-08a67118a5cf}" mentionId="{4d337e42-aa93-4c89-9656-538d502a4b7f}" startIndex="35" length="24"/>
      <x18tc:mention mentionpersonId="{c2b0de28-3b31-4aa3-82a3-f8aba187b3e9}" mentionId="{bed77422-e03d-4f9b-9a1a-ebc7dc50a910}" startIndex="61" length="23"/>
    </x18tc:mentions>
  </x18tc:threadedComment>
  <x18tc:threadedComment ref="A1" dT="2025-07-01T21:03:05.00" personId="{91ddd612-48c2-41c6-a628-68f42b3a1fa2}" id="{cdd08866-2061-4236-b528-c3ec920d4f40}" parentId="{68504f55-ab2b-4549-b2d8-8e13485085f5}">
    <x18tc:text xml:space="preserve">@isabel@coryhometeam.com 
7.1 REVISED CI sent to Escrow.</x18tc:text>
    <x18tc:mentions>
      <x18tc:mention mentionpersonId="{7d00647f-be2a-4639-a5f7-08a67118a5cf}" mentionId="{0363b120-4b1a-4b77-b90b-382706fbe097}" startIndex="0" length="24"/>
    </x18tc:mentions>
  </x18tc:threadedComment>
  <x18tc:threadedComment ref="A1" dT="2025-04-17T17:09:45.00" personId="{91ddd612-48c2-41c6-a628-68f42b3a1fa2}" id="{686ff9b2-31c8-44f2-bc32-60c5bd347bd7}" done="0">
    <x18tc:text xml:space="preserve">4.17 Purchase price increased to 760K per ADM1.</x18tc:text>
  </x18tc:threadedComment>
  <x18tc:threadedComment ref="A1" dT="2025-08-19T17:02:58.00" personId="{91ddd612-48c2-41c6-a628-68f42b3a1fa2}" id="{b96baa58-5f2d-4cfb-bb4a-3f4abe1f97cd}" done="0">
    <x18tc:text xml:space="preserve">28239 Spring Creek Way
AM verified.
@isabel@coryhometeam.com
@kenia@coryhometeam.com
8.19 CI sent to Escrow.
Assigned to isabel@coryhometeam.com</x18tc:text>
    <x18tc:mentions>
      <x18tc:mention mentionpersonId="{7d00647f-be2a-4639-a5f7-08a67118a5cf}" mentionId="{4e53796b-b597-4ab0-a72e-3ad458c0dbae}" startIndex="36" length="24"/>
      <x18tc:mention mentionpersonId="{c2b0de28-3b31-4aa3-82a3-f8aba187b3e9}" mentionId="{3ef3ead3-6acf-4f02-9448-d97cde36ab37}" startIndex="61" length="23"/>
    </x18tc:mentions>
  </x18tc:threadedComment>
  <x18tc:threadedComment ref="A1" dT="2025-05-06T16:43:17.00" personId="{91ddd612-48c2-41c6-a628-68f42b3a1fa2}" id="{a2c35adc-0528-44f9-bc69-4adeb2611e8b}" done="0">
    <x18tc:text xml:space="preserve">5.6 Closing extended to 5.22 per ETA.</x18tc:text>
  </x18tc:threadedComment>
  <x18tc:threadedComment ref="A1" dT="2025-09-02T22:30:01.00" personId="{91ddd612-48c2-41c6-a628-68f42b3a1fa2}" id="{0c739895-5113-40c5-accc-d41dfa407905}" done="0">
    <x18tc:text xml:space="preserve">1455 S State St #282
AM verified.
@isabel@coryhometeam.com
@kenia@coryhometeam.com
9.2 CI sent to Escrow.
Assigned to isabel@coryhometeam.com</x18tc:text>
    <x18tc:mentions>
      <x18tc:mention mentionpersonId="{7d00647f-be2a-4639-a5f7-08a67118a5cf}" mentionId="{616c9943-e9ad-4a6d-8383-983f8b7e426f}" startIndex="34" length="24"/>
      <x18tc:mention mentionpersonId="{c2b0de28-3b31-4aa3-82a3-f8aba187b3e9}" mentionId="{fb7c9bd3-c465-4beb-a29d-abc14ddee6d5}" startIndex="59" length="23"/>
    </x18tc:mentions>
  </x18tc:threadedComment>
  <x18tc:threadedComment ref="A1" dT="2025-04-25T13:20:12.00" personId="{91ddd612-48c2-41c6-a628-68f42b3a1fa2}" id="{7b9c76b2-02f7-478e-8b5c-fbaafc903da3}" done="0">
    <x18tc:text xml:space="preserve">4.25 COE moved from 4.29 to 5.2 per ETA.</x18tc:text>
  </x18tc:threadedComment>
  <x18tc:threadedComment ref="A1" dT="2025-11-26T23:29:29.00" personId="{d4b03686-3bed-491a-bd12-3b942153f8f5}" id="{64c6a047-335c-4363-89e6-8eb58c8dd478}" done="0">
    <x18tc:text xml:space="preserve">CALCITE AVE @isabel@coryhometeam.com VERIFIED
Assigned to isabel@coryhometeam.com</x18tc:text>
    <x18tc:mentions>
      <x18tc:mention mentionpersonId="{7d00647f-be2a-4639-a5f7-08a67118a5cf}" mentionId="{fb6417cb-aa9d-4bce-a802-bf0f1a18271f}" startIndex="12" length="24"/>
    </x18tc:mentions>
  </x18tc:threadedComment>
  <x18tc:threadedComment ref="A1" dT="2025-12-12T18:12:38.00" personId="{283cbab7-8785-4d8a-9d80-ae85deef9da8}" id="{c028baa9-2685-46eb-a60b-03826970b51e}" done="0">
    <x18tc:text xml:space="preserve">Kiona approved this to be taken as a "Love it or leave it"</x18tc:text>
  </x18tc:threadedComment>
  <x18tc:threadedComment ref="A1" dT="2025-12-12T17:42:16.00" personId="{d4b03686-3bed-491a-bd12-3b942153f8f5}" id="{121b2c68-0c17-4e6f-ad33-50d7f6169e37}" done="0">
    <x18tc:text xml:space="preserve">SUMMERSET DR @isabel@coryhometeam.com VERIFIED
Assigned to isabel@coryhometeam.com</x18tc:text>
    <x18tc:mentions>
      <x18tc:mention mentionpersonId="{7d00647f-be2a-4639-a5f7-08a67118a5cf}" mentionId="{ba62fdd0-acfc-413d-9766-d30fe8bae882}" startIndex="13" length="24"/>
    </x18tc:mentions>
  </x18tc:threadedComment>
  <x18tc:threadedComment ref="A1" dT="2025-07-03T20:15:34.00" personId="{686b49bf-83f4-411b-b0f1-f0e341680f5a}" id="{f4927b37-df55-49d9-a89a-dd473d862562}" done="0">
    <x18tc:text xml:space="preserve">Per Builder:
Hello Alexis:
We are aiming for 7/30. But we are awaiting meter installation. Which has been delayed until later in July.</x18tc:text>
  </x18tc:threadedComment>
  <x18tc:threadedComment ref="A1" dT="2025-04-25T13:19:24.00" personId="{91ddd612-48c2-41c6-a628-68f42b3a1fa2}" id="{4a971e90-eb3f-4646-80e8-8b12133361e0}" done="0">
    <x18tc:text xml:space="preserve">4.25 Loan contingency move from 4.21 to 4.28 per ETA.</x18tc:text>
  </x18tc:threadedComment>
  <x18tc:threadedComment ref="X10" dT="2026-05-11T19:10:48.00" personId="{91ddd612-48c2-41c6-a628-68f42b3a1fa2}" id="{33409692-502d-4dce-8245-53e48741c992}" done="0">
    <x18tc:text xml:space="preserve">Please note that all dates and timelines provided are estimated only and remain subject to change due to the SPRP contingency.</x18tc:text>
  </x18tc:threadedComment>
  <x18tc:threadedComment ref="X10" dT="2026-06-15T18:41:08.00" personId="{283cbab7-8785-4d8a-9d80-ae85deef9da8}" id="{b7570d17-7976-42e1-b9a1-a6b481f45503}" parentId="{33409692-502d-4dce-8245-53e48741c992}">
    <x18tc:text xml:space="preserve">6.15 All contractual timelines to commence 5.28.</x18tc:text>
  </x18tc:threadedComment>
  <x18tc:threadedComment ref="A1" dT="2025-07-03T20:54:18.00" personId="{d4b03686-3bed-491a-bd12-3b942153f8f5}" id="{c0bbe656-d824-4327-b18f-01b9f9731cc4}" done="0">
    <x18tc:text xml:space="preserve">$8,000.00</x18tc:text>
  </x18tc:threadedComment>
  <x18tc:threadedComment ref="A1" dT="2025-04-17T12:16:00.00" personId="{91ddd612-48c2-41c6-a628-68f42b3a1fa2}" id="{7e362ad8-88eb-406b-b364-945e3535a360}" done="0">
    <x18tc:text xml:space="preserve">AM verified.
@isabel@coryhometeam.com 
@kenia@coryhometeam.com 
4.17 CI sent to Escrow.
Assigned to isabel@coryhometeam.com</x18tc:text>
    <x18tc:mentions>
      <x18tc:mention mentionpersonId="{7d00647f-be2a-4639-a5f7-08a67118a5cf}" mentionId="{c6f99cff-252c-4ca3-98f2-d66845c8e1e7}" startIndex="13" length="24"/>
      <x18tc:mention mentionpersonId="{c2b0de28-3b31-4aa3-82a3-f8aba187b3e9}" mentionId="{94f8a852-7ebd-4ae5-81de-cf8919fec8dd}" startIndex="39" length="23"/>
    </x18tc:mentions>
  </x18tc:threadedComment>
  <x18tc:threadedComment ref="A1" dT="2025-09-02T20:16:13.00" personId="{91ddd612-48c2-41c6-a628-68f42b3a1fa2}" id="{2a806478-5609-494a-9c55-36aa8459eeb5}" done="0">
    <x18tc:text xml:space="preserve">9.2 The purchase price is $436,500 as per AEA2.</x18tc:text>
  </x18tc:threadedComment>
  <x18tc:threadedComment ref="A1" dT="2025-09-10T14:46:59.00" personId="{91ddd612-48c2-41c6-a628-68f42b3a1fa2}" id="{d0d0d8c7-1061-46fc-8c5d-ed92c1f99dfa}" done="0">
    <x18tc:text xml:space="preserve">2858 S Peach Tree Place
AM verified.
@isabel@coryhometeam.com
@kenia@coryhometeam.com
9.10 CI sent to Escrow.
Assigned to isabel@coryhometeam.com</x18tc:text>
    <x18tc:mentions>
      <x18tc:mention mentionpersonId="{7d00647f-be2a-4639-a5f7-08a67118a5cf}" mentionId="{180ce49c-686d-4538-9b71-0d4d783248e3}" startIndex="37" length="24"/>
      <x18tc:mention mentionpersonId="{c2b0de28-3b31-4aa3-82a3-f8aba187b3e9}" mentionId="{e1edc94b-d715-4285-ab04-129d8bacc63d}" startIndex="62" length="23"/>
    </x18tc:mentions>
  </x18tc:threadedComment>
  <x18tc:threadedComment ref="A1" dT="2025-04-17T15:22:29.00" personId="{686b49bf-83f4-411b-b0f1-f0e341680f5a}" id="{de154c5b-e196-4096-b9c7-1b6f87ebfce3}" done="0">
    <x18tc:text xml:space="preserve">There is a dispute over the results of the appraisal. It is in review for resolution.</x18tc:text>
  </x18tc:threadedComment>
  <x18tc:threadedComment ref="A1" dT="2025-09-26T21:40:02.00" personId="{686b49bf-83f4-411b-b0f1-f0e341680f5a}" id="{f49f25ea-a8e2-4df0-9018-917d340ef6ab}" done="0">
    <x18tc:text xml:space="preserve">Had to remove one buyer and this required new HCD title to be ordered which is 4-6 weeks out.</x18tc:text>
  </x18tc:threadedComment>
  <x18tc:threadedComment ref="A1" dT="2025-10-04T05:46:46.00" personId="{91ddd612-48c2-41c6-a628-68f42b3a1fa2}" id="{22942efb-80a6-4b17-ac4e-7263746e46cd}" done="0">
    <x18tc:text xml:space="preserve">10.3 ETA1 COE 10.31</x18tc:text>
  </x18tc:threadedComment>
  <x18tc:threadedComment ref="A1" dT="2025-07-04T00:01:16.00" personId="{d4b03686-3bed-491a-bd12-3b942153f8f5}" id="{52cbe462-08ec-4caa-8b55-92e8cda95bb5}" done="0">
    <x18tc:text xml:space="preserve">CALLA AVE @isabel@coryhometeam.com VERIFIED
Assigned to isabel@coryhometeam.com</x18tc:text>
    <x18tc:mentions>
      <x18tc:mention mentionpersonId="{7d00647f-be2a-4639-a5f7-08a67118a5cf}" mentionId="{a28e6b48-6f7d-4dd2-b98c-66fb92bad1b5}" startIndex="10" length="24"/>
    </x18tc:mentions>
  </x18tc:threadedComment>
  <x18tc:threadedComment ref="A1" dT="2025-09-11T18:07:03.00" personId="{2c0b40a3-d34a-4e30-997b-e7e5451e40bb}" id="{fe8cb1e8-09f0-45dc-bd5d-9fdee9819d9e}" done="1">
    <x18tc:text xml:space="preserve">@kenia@coryhometeam.com Not found on the Listing Board. Is this a Buyer or Seller?
Assigned to kenia@coryhometeam.com</x18tc:text>
    <x18tc:mentions>
      <x18tc:mention mentionpersonId="{c2b0de28-3b31-4aa3-82a3-f8aba187b3e9}" mentionId="{34edce3a-3b68-4ee9-a162-2d031c5272ee}" startIndex="0" length="23"/>
    </x18tc:mentions>
  </x18tc:threadedComment>
  <x18tc:threadedComment ref="A1" dT="2025-06-18T16:03:01.00" personId="{91ddd612-48c2-41c6-a628-68f42b3a1fa2}" id="{00cf966d-d81d-48ba-8bfe-d5d97687a77b}" done="0">
    <x18tc:text xml:space="preserve">1217 Leopard Ln 
AM verified.
@isabel@coryhometeam.com 
@kenia@coryhometeam.com 
6.18 CI sent to Escrow.
Assigned to isabel@coryhometeam.com</x18tc:text>
    <x18tc:mentions>
      <x18tc:mention mentionpersonId="{7d00647f-be2a-4639-a5f7-08a67118a5cf}" mentionId="{03d2bc43-6724-4c43-b00b-7381fcff9dd6}" startIndex="30" length="24"/>
      <x18tc:mention mentionpersonId="{c2b0de28-3b31-4aa3-82a3-f8aba187b3e9}" mentionId="{3b4ed5ad-8c0d-441e-9297-5ae91920ee6c}" startIndex="56" length="23"/>
    </x18tc:mentions>
  </x18tc:threadedComment>
  <x18tc:threadedComment ref="A1" dT="2025-01-20T16:27:46.00" personId="{91ddd612-48c2-41c6-a628-68f42b3a1fa2}" id="{935291ba-b913-4908-83af-61c73ae45cc9}" done="0">
    <x18tc:text xml:space="preserve">1.20 COE extended to 1.31 as per ETA2.</x18tc:text>
  </x18tc:threadedComment>
  <x18tc:threadedComment ref="A1" dT="2025-01-29T18:21:19.00" personId="{91ddd612-48c2-41c6-a628-68f42b3a1fa2}" id="{9057f9a7-7deb-43b7-abc7-9bf8e16c80f0}" parentId="{935291ba-b913-4908-83af-61c73ae45cc9}">
    <x18tc:text xml:space="preserve">1.29 See ETA3 for new COE 2.6</x18tc:text>
  </x18tc:threadedComment>
  <x18tc:threadedComment ref="A1" dT="2025-06-03T20:05:46.00" personId="{283cbab7-8785-4d8a-9d80-ae85deef9da8}" id="{db79839b-7876-41e4-be33-d8f8eb5c1cbc}" done="0">
    <x18tc:text xml:space="preserve">No Show Trip Charge + Travel Fee
Fee $8</x18tc:text>
  </x18tc:threadedComment>
  <x18tc:threadedComment ref="A1" dT="2025-08-19T21:44:07.00" personId="{d4b03686-3bed-491a-bd12-3b942153f8f5}" id="{4aa26d52-a0b8-49d8-890d-9ab45797df47}" done="0">
    <x18tc:text xml:space="preserve">SAN MARCOS @isabel@coryhometeam.com VERIFIED
Assigned to isabel@coryhometeam.com</x18tc:text>
    <x18tc:mentions>
      <x18tc:mention mentionpersonId="{7d00647f-be2a-4639-a5f7-08a67118a5cf}" mentionId="{548d71bb-7f8c-4c8f-9524-b25bda71b972}" startIndex="11" length="24"/>
    </x18tc:mentions>
  </x18tc:threadedComment>
  <x18tc:threadedComment ref="A1" dT="2025-02-13T20:01:47.00" personId="{91ddd612-48c2-41c6-a628-68f42b3a1fa2}" id="{e0cba235-cb10-46c9-9099-c009a24dcf9c}" done="0">
    <x18tc:text xml:space="preserve">AM verified.
@isabel@coryhometeam.com 
@kenia@coryhometeam.com 
2.13 CI sent to Escrow.
Assigned to isabel@coryhometeam.com</x18tc:text>
    <x18tc:mentions>
      <x18tc:mention mentionpersonId="{7d00647f-be2a-4639-a5f7-08a67118a5cf}" mentionId="{1a3852fe-0a37-4278-9afe-43a9f0a00019}" startIndex="13" length="24"/>
      <x18tc:mention mentionpersonId="{c2b0de28-3b31-4aa3-82a3-f8aba187b3e9}" mentionId="{50a0d159-a263-4e8c-ae18-9a260add42bc}" startIndex="39" length="23"/>
    </x18tc:mentions>
  </x18tc:threadedComment>
  <x18tc:threadedComment ref="A1" dT="2025-03-26T22:02:24.00" personId="{d4b03686-3bed-491a-bd12-3b942153f8f5}" id="{35166cba-afc8-4ffb-a791-1e2204f57411}" done="0">
    <x18tc:text xml:space="preserve">Agent is paying the $595</x18tc:text>
  </x18tc:threadedComment>
  <x18tc:threadedComment ref="A1" dT="2025-03-27T06:13:04.00" personId="{686b49bf-83f4-411b-b0f1-f0e341680f5a}" id="{fd2f0ec6-9936-4765-8b9f-66e860ced273}" parentId="{35166cba-afc8-4ffb-a791-1e2204f57411}">
    <x18tc:text xml:space="preserve">@jamesa@coryhometeam.com Click the arrow and choose this option. No need to leave a comment.</x18tc:text>
    <x18tc:mentions>
      <x18tc:mention mentionpersonId="{2e62d27e-283c-4022-9a11-29871798bb74}" mentionId="{1887bac4-5fe6-4771-ad68-7cb16e4c6bf7}" startIndex="0" length="24"/>
    </x18tc:mentions>
  </x18tc:threadedComment>
  <x18tc:threadedComment ref="A1" dT="2025-05-15T18:36:26.00" personId="{91ddd612-48c2-41c6-a628-68f42b3a1fa2}" id="{5a2b737e-42e1-4418-9792-15287db4088a}" done="0">
    <x18tc:text xml:space="preserve">LA's commission is $100.</x18tc:text>
  </x18tc:threadedComment>
  <x18tc:threadedComment ref="A1" dT="2025-09-11T18:32:34.00" personId="{283cbab7-8785-4d8a-9d80-ae85deef9da8}" id="{d1b8c516-f1c3-437f-b02b-668033512040}" done="0">
    <x18tc:text xml:space="preserve">Nate credited $2000 to seller. -Kiona approved</x18tc:text>
  </x18tc:threadedComment>
  <x18tc:threadedComment ref="A1" dT="2025-05-13T12:24:35.00" personId="{91ddd612-48c2-41c6-a628-68f42b3a1fa2}" id="{e333db3d-0a40-4bf4-ace7-13d3af8dbfab}" done="0">
    <x18tc:text xml:space="preserve">AM verified.
@isabel@coryhometeam.com 
@kenia@coryhometeam.com 
5.13 CI sent to Escrow.
Assigned to isabel@coryhometeam.com</x18tc:text>
    <x18tc:mentions>
      <x18tc:mention mentionpersonId="{7d00647f-be2a-4639-a5f7-08a67118a5cf}" mentionId="{d0c44df4-a754-4b42-a677-1443f8ac04ba}" startIndex="13" length="24"/>
      <x18tc:mention mentionpersonId="{c2b0de28-3b31-4aa3-82a3-f8aba187b3e9}" mentionId="{9ab6ec91-c7fa-427a-b2eb-662b33b703f9}" startIndex="39" length="23"/>
    </x18tc:mentions>
  </x18tc:threadedComment>
  <x18tc:threadedComment ref="A1" dT="2025-03-26T22:37:40.00" personId="{d4b03686-3bed-491a-bd12-3b942153f8f5}" id="{834d3af9-2d7b-45e0-bc10-f40ffb7dc051}" done="0">
    <x18tc:text xml:space="preserve">MARABELLA CT @isabel@coryhometeam.com VERIFIED
Assigned to isabel@coryhometeam.com</x18tc:text>
    <x18tc:mentions>
      <x18tc:mention mentionpersonId="{7d00647f-be2a-4639-a5f7-08a67118a5cf}" mentionId="{fa311b2f-2cc3-4739-aa52-de89071392e7}" startIndex="13" length="24"/>
    </x18tc:mentions>
  </x18tc:threadedComment>
  <x18tc:threadedComment ref="A1" dT="2025-03-26T14:58:56.00" personId="{91ddd612-48c2-41c6-a628-68f42b3a1fa2}" id="{59399378-5895-406c-83ee-dda1916a51d9}" done="0">
    <x18tc:text xml:space="preserve">AM verified.
@isabel@coryhometeam.com 
@kenia@coryhometeam.com 
3.26 CI sent to Escrow.
Assigned to isabel@coryhometeam.com</x18tc:text>
    <x18tc:mentions>
      <x18tc:mention mentionpersonId="{7d00647f-be2a-4639-a5f7-08a67118a5cf}" mentionId="{3f184597-6363-439a-b811-ab76458749fb}" startIndex="13" length="24"/>
      <x18tc:mention mentionpersonId="{c2b0de28-3b31-4aa3-82a3-f8aba187b3e9}" mentionId="{8c42302e-b6ec-4f17-865a-cabc9adc70d8}" startIndex="39" length="23"/>
    </x18tc:mentions>
  </x18tc:threadedComment>
  <x18tc:threadedComment ref="A1" dT="2025-04-03T12:53:35.00" personId="{91ddd612-48c2-41c6-a628-68f42b3a1fa2}" id="{b5975cb7-a3df-42f1-a2e1-1e20fe730860}" parentId="{59399378-5895-406c-83ee-dda1916a51d9}">
    <x18tc:text xml:space="preserve">@isabel@coryhometeam.com 
4.3 REVISED CI sent to Escrow.</x18tc:text>
    <x18tc:mentions>
      <x18tc:mention mentionpersonId="{7d00647f-be2a-4639-a5f7-08a67118a5cf}" mentionId="{b829bc6f-edaa-4acd-b5fe-e9313896ca66}" startIndex="0" length="24"/>
    </x18tc:mentions>
  </x18tc:threadedComment>
  <x18tc:threadedComment ref="A1" dT="2025-08-25T20:20:14.00" personId="{d4b03686-3bed-491a-bd12-3b942153f8f5}" id="{4afe66dc-553a-4a5f-aaaf-a7c5a28cc55a}" done="0">
    <x18tc:text xml:space="preserve">ANABELL LANE @isabel@coryhometeam.com VERIFIED
Assigned to isabel@coryhometeam.com</x18tc:text>
    <x18tc:mentions>
      <x18tc:mention mentionpersonId="{7d00647f-be2a-4639-a5f7-08a67118a5cf}" mentionId="{c42d1f0c-ee9b-4070-b3a9-0fca4946f27c}" startIndex="13" length="24"/>
    </x18tc:mentions>
  </x18tc:threadedComment>
  <x18tc:threadedComment ref="A1" dT="2025-06-06T17:09:44.00" personId="{d4b03686-3bed-491a-bd12-3b942153f8f5}" id="{e612c0b6-295e-4b79-820d-9c34d7e5c9f7}" done="0">
    <x18tc:text xml:space="preserve">HIDATSA ST. @isabel@coryhometeam.com VERIFIED
Assigned to isabel@coryhometeam.com</x18tc:text>
    <x18tc:mentions>
      <x18tc:mention mentionpersonId="{7d00647f-be2a-4639-a5f7-08a67118a5cf}" mentionId="{4031fe5e-bc21-417d-b622-59344781cf4f}" startIndex="12" length="24"/>
    </x18tc:mentions>
  </x18tc:threadedComment>
  <x18tc:threadedComment ref="A1" dT="2025-05-17T00:42:12.00" personId="{91ddd612-48c2-41c6-a628-68f42b3a1fa2}" id="{e62563bd-4ea2-4f1d-831b-4041974741c9}" done="0">
    <x18tc:text xml:space="preserve">5.16 COE extended to 6.20. ETA form out for signature.</x18tc:text>
  </x18tc:threadedComment>
  <x18tc:threadedComment ref="A1" dT="2025-03-26T18:52:43.00" personId="{91ddd612-48c2-41c6-a628-68f42b3a1fa2}" id="{d48e62e2-f399-49a4-9b62-1d3f462abea0}" done="0">
    <x18tc:text xml:space="preserve">3.26 Per Petra: Kenia, on this transaction mel approved thew 595 to be waived can we make sure escrow makes the adjustment please.</x18tc:text>
  </x18tc:threadedComment>
  <x18tc:threadedComment ref="A1" dT="2025-12-01T18:39:55.00" personId="{91ddd612-48c2-41c6-a628-68f42b3a1fa2}" id="{5150bf60-ac65-4521-9ee6-81ad849f5294}" done="0">
    <x18tc:text xml:space="preserve">913 S Grand Ave # 41
AM verified.
@isabel@coryhometeam.com
@kenia@coryhometeam.com
12.1 CI sent to Escrow.
Assigned to isabel@coryhometeam.com</x18tc:text>
    <x18tc:mentions>
      <x18tc:mention mentionpersonId="{7d00647f-be2a-4639-a5f7-08a67118a5cf}" mentionId="{3cb10405-6aa4-4932-9dc6-173e053f0752}" startIndex="34" length="24"/>
      <x18tc:mention mentionpersonId="{c2b0de28-3b31-4aa3-82a3-f8aba187b3e9}" mentionId="{58156d13-28f3-40b0-8d1a-54e7557c6641}" startIndex="59" length="23"/>
    </x18tc:mentions>
  </x18tc:threadedComment>
  <x18tc:threadedComment ref="A1" dT="2025-08-25T20:24:00.00" personId="{d4b03686-3bed-491a-bd12-3b942153f8f5}" id="{8ffc69cb-cb50-4c47-b4f7-3f07a7c194ec}" done="0">
    <x18tc:text xml:space="preserve">HEMET ST @isabel@coryhometeam.com VERIFIED
Assigned to isabel@coryhometeam.com</x18tc:text>
    <x18tc:mentions>
      <x18tc:mention mentionpersonId="{7d00647f-be2a-4639-a5f7-08a67118a5cf}" mentionId="{81284624-d3bc-4971-94e9-7258b0b37da9}" startIndex="9" length="24"/>
    </x18tc:mentions>
  </x18tc:threadedComment>
  <x18tc:threadedComment ref="A1" dT="2026-03-12T20:41:45.00" personId="{d4b03686-3bed-491a-bd12-3b942153f8f5}" id="{9f916eb0-16c2-4279-a9b9-7f13b05391ed}" done="0">
    <x18tc:text xml:space="preserve">PIERCE ST @isabel@coryhometeam.com
VERIFIED
Assigned to isabel@coryhometeam.com</x18tc:text>
    <x18tc:mentions>
      <x18tc:mention mentionpersonId="{7d00647f-be2a-4639-a5f7-08a67118a5cf}" mentionId="{d7036df1-f9eb-4895-813a-9ec43f7e9b84}" startIndex="10" length="24"/>
    </x18tc:mentions>
  </x18tc:threadedComment>
  <x18tc:threadedComment ref="A1" dT="2025-01-10T16:40:36.00" personId="{91ddd612-48c2-41c6-a628-68f42b3a1fa2}" id="{54ac39d3-3d93-4ea6-af35-7609d02ab6ff}" done="0">
    <x18tc:text xml:space="preserve">1.10 ETA COE 1.30 out for signature.</x18tc:text>
  </x18tc:threadedComment>
  <x18tc:threadedComment ref="A1" dT="2025-01-21T18:20:58.00" personId="{91ddd612-48c2-41c6-a628-68f42b3a1fa2}" id="{0273ce38-e375-48c6-876d-f3b2752a995d}" parentId="{54ac39d3-3d93-4ea6-af35-7609d02ab6ff}">
    <x18tc:text xml:space="preserve">1.21 ETA2 COE 2.14 out in DocuSign.</x18tc:text>
  </x18tc:threadedComment>
  <x18tc:threadedComment ref="A1" dT="2025-02-13T19:45:46.00" personId="{91ddd612-48c2-41c6-a628-68f42b3a1fa2}" id="{a7c3558c-dbb4-4dbc-b49e-891880dfc3a8}" parentId="{54ac39d3-3d93-4ea6-af35-7609d02ab6ff}">
    <x18tc:text xml:space="preserve">2.13 ETA3 extending COE to 2.28 is out for signature.</x18tc:text>
  </x18tc:threadedComment>
  <x18tc:threadedComment ref="A1" dT="2025-03-05T20:59:06.00" personId="{91ddd612-48c2-41c6-a628-68f42b3a1fa2}" id="{904e36e9-4ab8-4e93-87f4-600274a699be}" parentId="{54ac39d3-3d93-4ea6-af35-7609d02ab6ff}">
    <x18tc:text xml:space="preserve">3.5 ETA2 COE 3.10</x18tc:text>
  </x18tc:threadedComment>
  <x18tc:threadedComment ref="A1" dT="2025-04-22T22:14:16.00" personId="{283cbab7-8785-4d8a-9d80-ae85deef9da8}" id="{338f0139-1a35-4612-aca2-843e40c445c3}" done="0">
    <x18tc:text xml:space="preserve">4/22/25 escrow failed to account for $595.00 
Mel approved waiving fee.</x18tc:text>
  </x18tc:threadedComment>
  <x18tc:threadedComment ref="A1" dT="2026-03-12T20:41:40.00" personId="{d4b03686-3bed-491a-bd12-3b942153f8f5}" id="{a3bc81a2-ac7b-4b84-a1be-1bbf2c0cfd0d}" done="0">
    <x18tc:text xml:space="preserve">PIERCE ST @isabel@coryhometeam.com
VERIFIED
Assigned to isabel@coryhometeam.com</x18tc:text>
    <x18tc:mentions>
      <x18tc:mention mentionpersonId="{7d00647f-be2a-4639-a5f7-08a67118a5cf}" mentionId="{463d9da3-61e3-4569-a304-edb05af3d74d}" startIndex="10" length="24"/>
    </x18tc:mentions>
  </x18tc:threadedComment>
  <x18tc:threadedComment ref="A1" dT="2025-09-02T20:57:09.00" personId="{d4b03686-3bed-491a-bd12-3b942153f8f5}" id="{1350081d-31c7-4b78-a801-67f1e82a55b1}" done="0">
    <x18tc:text xml:space="preserve">CAPALINA RD @isabel@coryhometeam.com VERIFIED
Assigned to isabel@coryhometeam.com</x18tc:text>
    <x18tc:mentions>
      <x18tc:mention mentionpersonId="{7d00647f-be2a-4639-a5f7-08a67118a5cf}" mentionId="{e891cf9f-a271-4fbc-a7e3-c807b9bbe23b}" startIndex="12" length="24"/>
    </x18tc:mentions>
  </x18tc:threadedComment>
  <x18tc:threadedComment ref="A1" dT="2025-05-09T19:21:49.00" personId="{283cbab7-8785-4d8a-9d80-ae85deef9da8}" id="{adcea63b-7ed1-4688-8620-ba78beb92d23}" done="0">
    <x18tc:text xml:space="preserve">Eddie paying for $595.00 buyer did not have funds</x18tc:text>
  </x18tc:threadedComment>
  <x18tc:threadedComment ref="A1" dT="2025-09-02T21:01:47.00" personId="{d4b03686-3bed-491a-bd12-3b942153f8f5}" id="{f6888f47-1e87-46f8-810e-cac76038ec66}" done="0">
    <x18tc:text xml:space="preserve">S STATE ST 282 @isabel@coryhometeam.com VERIFIED
Assigned to isabel@coryhometeam.com</x18tc:text>
    <x18tc:mentions>
      <x18tc:mention mentionpersonId="{7d00647f-be2a-4639-a5f7-08a67118a5cf}" mentionId="{ac15eaf4-ec67-4692-b1a2-df938e984ee7}" startIndex="15" length="24"/>
    </x18tc:mentions>
  </x18tc:threadedComment>
  <x18tc:threadedComment ref="A1" dT="2025-08-25T21:39:11.00" personId="{d4b03686-3bed-491a-bd12-3b942153f8f5}" id="{3b75cf89-6d56-43ac-a864-a367e3227516}" done="0">
    <x18tc:text xml:space="preserve">AVENIDA VENIDA @isabel@coryhometeam.com VERIFIED
Assigned to isabel@coryhometeam.com</x18tc:text>
    <x18tc:mentions>
      <x18tc:mention mentionpersonId="{7d00647f-be2a-4639-a5f7-08a67118a5cf}" mentionId="{90928c6b-9c30-4da3-8d47-1dc9abd94115}" startIndex="15" length="24"/>
    </x18tc:mentions>
  </x18tc:threadedComment>
  <x18tc:threadedComment ref="A1" dT="2025-09-02T21:06:02.00" personId="{d4b03686-3bed-491a-bd12-3b942153f8f5}" id="{fdd4ea44-bd7e-4401-9a66-f7759f9e4555}" done="0">
    <x18tc:text xml:space="preserve">DENVER CIR @isabel@coryhometeam.com VERIFIED
Assigned to isabel@coryhometeam.com</x18tc:text>
    <x18tc:mentions>
      <x18tc:mention mentionpersonId="{7d00647f-be2a-4639-a5f7-08a67118a5cf}" mentionId="{ff4b21cf-c59e-4f28-941a-370be81c9479}" startIndex="11" length="24"/>
    </x18tc:mentions>
  </x18tc:threadedComment>
  <x18tc:threadedComment ref="A1" dT="2025-04-25T15:52:32.00" personId="{283cbab7-8785-4d8a-9d80-ae85deef9da8}" id="{27cd039b-d647-4797-b82b-5a78c6144d85}" done="0">
    <x18tc:text xml:space="preserve">3822 Tanzanite_Bragg
Inbox
Petra Campos
8:49 AM (1 minute ago)
to me, Melissa
Kenia, 
Mel approved the waiving of the $595
To help get this closed. 
Thank You,
Petra Campos
Real Estate Agent
Cory Home Team
Check Out Our Reviews On Zillow
Call me today at 951-492-5575
DRE # 02044224
Broker: eXp Realty of California Inc. DRE#01878277</x18tc:text>
  </x18tc:threadedComment>
  <x18tc:threadedComment ref="A1" dT="2025-04-07T22:51:35.00" personId="{686b49bf-83f4-411b-b0f1-f0e341680f5a}" id="{c296ccf1-4ab6-48cf-9768-4d3146bf799a}" done="0">
    <x18tc:text xml:space="preserve">Credit is off the top approved by Mel in email 04/07/25.
This is for recurring and non-recurring charges in lieu of reduced commission on the sale of their property.</x18tc:text>
  </x18tc:threadedComment>
  <x18tc:threadedComment ref="A1" dT="2025-07-11T10:51:57.00" personId="{91ddd612-48c2-41c6-a628-68f42b3a1fa2}" id="{059bb3c5-657e-461b-bd03-613c7544a1a3}" done="0">
    <x18tc:text xml:space="preserve">64111 Apache Mountain
AM verified.
@isabel@coryhometeam.com 
@kenia@coryhometeam.com 
7.11 CI sent to Escrow.
Assigned to isabel@coryhometeam.com</x18tc:text>
    <x18tc:mentions>
      <x18tc:mention mentionpersonId="{7d00647f-be2a-4639-a5f7-08a67118a5cf}" mentionId="{5b84e7b7-cc28-4e6f-8bcb-a6673a7637c3}" startIndex="35" length="24"/>
      <x18tc:mention mentionpersonId="{c2b0de28-3b31-4aa3-82a3-f8aba187b3e9}" mentionId="{49f64469-2917-4b76-8ae3-153230680eef}" startIndex="61" length="23"/>
    </x18tc:mentions>
  </x18tc:threadedComment>
  <x18tc:threadedComment ref="A1" dT="2025-04-22T21:33:47.00" personId="{91ddd612-48c2-41c6-a628-68f42b3a1fa2}" id="{26dbef08-bdf1-4108-8540-fbcf5bd2d7dd}" done="0">
    <x18tc:text xml:space="preserve">4.22 Jenna's commission per take sheet is $10K flat.</x18tc:text>
  </x18tc:threadedComment>
  <x18tc:threadedComment ref="A1" dT="2025-09-11T23:24:29.00" personId="{d4b03686-3bed-491a-bd12-3b942153f8f5}" id="{861017ce-d5c5-438b-b067-83d92d0cc657}" done="0">
    <x18tc:text xml:space="preserve">PONDEROSA DR @isabel@coryhometeam.com VERIFIED
Assigned to isabel@coryhometeam.com</x18tc:text>
    <x18tc:mentions>
      <x18tc:mention mentionpersonId="{7d00647f-be2a-4639-a5f7-08a67118a5cf}" mentionId="{8c5cead7-9b3d-4faf-b532-426a32de56be}" startIndex="13" length="24"/>
    </x18tc:mentions>
  </x18tc:threadedComment>
  <x18tc:threadedComment ref="A1" dT="2025-06-18T19:12:21.00" personId="{283cbab7-8785-4d8a-9d80-ae85deef9da8}" id="{22bfb8b1-660b-4833-9394-607e3455b868}" done="0">
    <x18tc:text xml:space="preserve">@aileen@coryhometeam.com 
This one is Blake's Resale he wants to go Straight to ACTIVE 6/20
Assigned to aileen@coryhometeam.com</x18tc:text>
    <x18tc:mentions>
      <x18tc:mention mentionpersonId="{d84aad15-fe10-4ace-a111-49c543015ec6}" mentionId="{cb8b122d-2f60-442e-9b46-1137732f1c2a}" startIndex="0" length="24"/>
    </x18tc:mentions>
  </x18tc:threadedComment>
  <x18tc:threadedComment ref="A1" dT="2025-07-11T10:08:59.00" personId="{91ddd612-48c2-41c6-a628-68f42b3a1fa2}" id="{556b8e8c-062e-4160-a7c4-884ed91a4734}" done="0">
    <x18tc:text xml:space="preserve">0 River Rd
AM verified
@isabel@coryhometeam.com 
@kenia@coryhometeam.com 
7.11 CI sent to Escrow.
Assigned to isabel@coryhometeam.com</x18tc:text>
    <x18tc:mentions>
      <x18tc:mention mentionpersonId="{7d00647f-be2a-4639-a5f7-08a67118a5cf}" mentionId="{fbecb8a8-30a8-4b9d-b2fa-994932a975d4}" startIndex="23" length="24"/>
      <x18tc:mention mentionpersonId="{c2b0de28-3b31-4aa3-82a3-f8aba187b3e9}" mentionId="{12a5eb9e-ef07-4589-8b42-23d50316e350}" startIndex="49" length="23"/>
    </x18tc:mentions>
  </x18tc:threadedComment>
  <x18tc:threadedComment ref="A1" dT="2025-12-23T16:55:28.00" personId="{91ddd612-48c2-41c6-a628-68f42b3a1fa2}" id="{8862f329-1945-4414-9195-1a65f3b110dc}" done="0">
    <x18tc:text xml:space="preserve">475 Termino Ave
AM verified.
@isabel@coryhometeam.com
@kenia@coryhometeam.com
12.23 CI sent to Escrow.
Assigned to isabel@coryhometeam.com</x18tc:text>
    <x18tc:mentions>
      <x18tc:mention mentionpersonId="{7d00647f-be2a-4639-a5f7-08a67118a5cf}" mentionId="{310b585d-5b8e-4ccf-a4a1-d6b4e1fdf97e}" startIndex="29" length="24"/>
      <x18tc:mention mentionpersonId="{c2b0de28-3b31-4aa3-82a3-f8aba187b3e9}" mentionId="{6324892a-bab9-4475-baaa-b364781f49cc}" startIndex="54" length="23"/>
    </x18tc:mentions>
  </x18tc:threadedComment>
  <x18tc:threadedComment ref="A1" dT="2025-09-11T21:29:56.00" personId="{91ddd612-48c2-41c6-a628-68f42b3a1fa2}" id="{2db6e327-673f-4f00-98d4-597359b07cc1}" done="0">
    <x18tc:text xml:space="preserve">9.11 As per AEA1 COE and all contingencies to start upon removal of the COP contingency.</x18tc:text>
  </x18tc:threadedComment>
  <x18tc:threadedComment ref="A1" dT="2025-02-13T20:32:28.00" personId="{70ef93c1-8205-4a4b-b2d2-ae0f451d890c}" id="{ceab70d5-5b5a-4c92-8863-9596416591c2}" done="0">
    <x18tc:text xml:space="preserve">1st reservation 3/10-3/12</x18tc:text>
  </x18tc:threadedComment>
  <x18tc:threadedComment ref="A1" dT="2025-09-26T21:47:04.00" personId="{686b49bf-83f4-411b-b0f1-f0e341680f5a}" id="{7072a8d6-6ecd-4f17-9b7a-4099e98e0c90}" done="0">
    <x18tc:text xml:space="preserve">Christian is the lender - foundation cert was provided week of 09/22, CTC on 09/26 and Christian is advising we can fund and close before EOM.</x18tc:text>
  </x18tc:threadedComment>
  <x18tc:threadedComment ref="A1" dT="2025-07-11T18:40:00.00" personId="{d4b03686-3bed-491a-bd12-3b942153f8f5}" id="{3157c2da-2376-4f61-84ba-4ac1d2dda3b4}" done="0">
    <x18tc:text xml:space="preserve">RANCHO SANTA FE @isabel@coryhometeam.com VERIFIED
Assigned to isabel@coryhometeam.com</x18tc:text>
    <x18tc:mentions>
      <x18tc:mention mentionpersonId="{7d00647f-be2a-4639-a5f7-08a67118a5cf}" mentionId="{669dfd78-7a38-42d5-ab1f-8b9571179aaf}" startIndex="16" length="24"/>
    </x18tc:mentions>
  </x18tc:threadedComment>
  <x18tc:threadedComment ref="A1" dT="2025-06-24T18:41:53.00" personId="{91ddd612-48c2-41c6-a628-68f42b3a1fa2}" id="{508fd683-2caf-4c5b-ae54-ddfd02a82c1c}" done="0">
    <x18tc:text xml:space="preserve">6.24 The $595 fee is to be verified by Kenia.</x18tc:text>
  </x18tc:threadedComment>
  <x18tc:threadedComment ref="A1" dT="2025-09-30T22:27:36.00" personId="{686b49bf-83f4-411b-b0f1-f0e341680f5a}" id="{a7595ff1-e2dc-483a-9506-67ed5fecd9e0}" done="0">
    <x18tc:text xml:space="preserve">Issue on title is requiring us to transfer the entire file to a new title and escrow office.</x18tc:text>
  </x18tc:threadedComment>
  <x18tc:threadedComment ref="X16" dT="2026-06-02T23:34:58.00" personId="{91ddd612-48c2-41c6-a628-68f42b3a1fa2}" id="{b8913123-d4aa-45b1-a11e-19f90cda8511}" done="0">
    <x18tc:text xml:space="preserve">6.2 COE extended to 6.17 as per ETA1.</x18tc:text>
  </x18tc:threadedComment>
  <x18tc:threadedComment ref="A1" dT="2025-02-19T23:42:33.00" personId="{70ef93c1-8205-4a4b-b2d2-ae0f451d890c}" id="{1bec9627-c2d9-44b8-9f3a-959b18f5e7a2}" done="0">
    <x18tc:text xml:space="preserve">2nd reservation - 1-day
3rd reservation 2/22-2/24</x18tc:text>
  </x18tc:threadedComment>
  <x18tc:threadedComment ref="A1" dT="2025-03-26T13:01:33.00" personId="{91ddd612-48c2-41c6-a628-68f42b3a1fa2}" id="{eff3997f-c9d6-439d-8e14-508c1700e831}" done="0">
    <x18tc:text xml:space="preserve">3.26 New COE date from 3.28 to 4.11 per ETA.</x18tc:text>
  </x18tc:threadedComment>
  <x18tc:threadedComment ref="X17" dT="2026-05-05T16:53:52.00" personId="{91ddd612-48c2-41c6-a628-68f42b3a1fa2}" id="{3c3a53c7-436e-4814-9e57-1c6156b3814a}" done="0">
    <x18tc:text xml:space="preserve">5.5 COE date moved to 6.18 as per ADM2.</x18tc:text>
  </x18tc:threadedComment>
  <x18tc:threadedComment ref="A1" dT="2025-03-26T13:07:13.00" personId="{91ddd612-48c2-41c6-a628-68f42b3a1fa2}" id="{fd6a9673-0ed1-4c82-8f05-e2ffc3e3e366}" done="0">
    <x18tc:text xml:space="preserve">AM verified.
@isabel@coryhometeam.com 
@kenia@coryhometeam.com 
3.26 CI sent to Escrow.
Assigned to isabel@coryhometeam.com</x18tc:text>
    <x18tc:mentions>
      <x18tc:mention mentionpersonId="{7d00647f-be2a-4639-a5f7-08a67118a5cf}" mentionId="{238201a7-c16d-4460-b0bb-eb49bfb00012}" startIndex="13" length="24"/>
      <x18tc:mention mentionpersonId="{c2b0de28-3b31-4aa3-82a3-f8aba187b3e9}" mentionId="{9567db2a-36ff-4bbd-9d5b-a677eb1174fb}" startIndex="39" length="23"/>
    </x18tc:mentions>
  </x18tc:threadedComment>
  <x18tc:threadedComment ref="A1" dT="2025-08-13T18:14:34.00" personId="{d4b03686-3bed-491a-bd12-3b942153f8f5}" id="{daef87cb-d655-4e6f-a7e5-e68dcc736b4b}" done="0">
    <x18tc:text xml:space="preserve">CALLE ALTA @isabel@coryhometeam.com VERIFIED
Assigned to isabel@coryhometeam.com</x18tc:text>
    <x18tc:mentions>
      <x18tc:mention mentionpersonId="{7d00647f-be2a-4639-a5f7-08a67118a5cf}" mentionId="{3f1154ad-856d-431c-9738-9a6bbbe50b3b}" startIndex="11" length="24"/>
    </x18tc:mentions>
  </x18tc:threadedComment>
  <x18tc:threadedComment ref="A1" dT="2025-09-30T21:27:50.00" personId="{d4b03686-3bed-491a-bd12-3b942153f8f5}" id="{f06ea3b5-9fc8-4193-a906-f03a4518bab5}" done="0">
    <x18tc:text xml:space="preserve">EVERGREEN CREST @isabel@coryhometeam.com VERIFIED
Assigned to isabel@coryhometeam.com</x18tc:text>
    <x18tc:mentions>
      <x18tc:mention mentionpersonId="{7d00647f-be2a-4639-a5f7-08a67118a5cf}" mentionId="{acd7b264-cf83-4936-90a4-0f3afa7add19}" startIndex="16" length="24"/>
    </x18tc:mentions>
  </x18tc:threadedComment>
  <x18tc:threadedComment ref="A1" dT="2025-06-06T17:16:46.00" personId="{d4b03686-3bed-491a-bd12-3b942153f8f5}" id="{e495e64b-e703-4d87-8b0a-45c03bfab8c8}" done="0">
    <x18tc:text xml:space="preserve">PEBBLE BROOK @isabel@coryhometeam.com VERIFIED
Assigned to isabel@coryhometeam.com</x18tc:text>
    <x18tc:mentions>
      <x18tc:mention mentionpersonId="{7d00647f-be2a-4639-a5f7-08a67118a5cf}" mentionId="{f98089b1-fc47-4871-8860-c5db47549142}" startIndex="13" length="24"/>
    </x18tc:mentions>
  </x18tc:threadedComment>
  <x18tc:threadedComment ref="A1" dT="2025-11-06T17:03:33.00" personId="{91ddd612-48c2-41c6-a628-68f42b3a1fa2}" id="{7dbdadf7-67fb-4f6c-8526-920c0df203ff}" done="0">
    <x18tc:text xml:space="preserve">24484 Tuscola Circle
AM verified.
@isabel@coryhometeam.com
@kenia@coryhometeam.com
11.6 CI sent to Escrow.
Assigned to isabel@coryhometeam.com</x18tc:text>
    <x18tc:mentions>
      <x18tc:mention mentionpersonId="{7d00647f-be2a-4639-a5f7-08a67118a5cf}" mentionId="{2f91995d-7d25-48ef-a989-f56b395dca71}" startIndex="34" length="24"/>
      <x18tc:mention mentionpersonId="{c2b0de28-3b31-4aa3-82a3-f8aba187b3e9}" mentionId="{edd0f33e-2a3b-4c85-8c6c-8fec9b6a26e7}" startIndex="59" length="23"/>
    </x18tc:mentions>
  </x18tc:threadedComment>
  <x18tc:threadedComment ref="A1" dT="2025-06-06T17:10:20.00" personId="{d4b03686-3bed-491a-bd12-3b942153f8f5}" id="{6f0538a8-e47b-48ac-8dff-fbdaf754e0a8}" done="0">
    <x18tc:text xml:space="preserve">COVEY QUAIL @isabel@coryhometeam.com VERIFIED
Assigned to isabel@coryhometeam.com</x18tc:text>
    <x18tc:mentions>
      <x18tc:mention mentionpersonId="{7d00647f-be2a-4639-a5f7-08a67118a5cf}" mentionId="{b42b8c7e-3115-40db-8005-763908b19055}" startIndex="12" length="24"/>
    </x18tc:mentions>
  </x18tc:threadedComment>
  <x18tc:threadedComment ref="A1" dT="2025-11-20T19:56:20.00" personId="{91ddd612-48c2-41c6-a628-68f42b3a1fa2}" id="{7c5f6809-9e0a-44c0-9ecc-b7599f337a0a}" done="0">
    <x18tc:text xml:space="preserve">26095 Mccall Blvd
AM verified.
@isabel@coryhometeam.com
@kenia@coryhometeam.com
11.14 CI sent to Escrow.
Assigned to isabel@coryhometeam.com</x18tc:text>
    <x18tc:mentions>
      <x18tc:mention mentionpersonId="{7d00647f-be2a-4639-a5f7-08a67118a5cf}" mentionId="{bcd40160-f939-43cb-b578-568257f4c16a}" startIndex="31" length="24"/>
      <x18tc:mention mentionpersonId="{c2b0de28-3b31-4aa3-82a3-f8aba187b3e9}" mentionId="{1fad12a6-3beb-4c79-be34-c1f8e3a83e18}" startIndex="56" length="23"/>
    </x18tc:mentions>
  </x18tc:threadedComment>
  <x18tc:threadedComment ref="A1" dT="2025-02-21T20:41:04.00" personId="{d4b03686-3bed-491a-bd12-3b942153f8f5}" id="{06b2b3bc-7081-4f0b-a863-da89678827b0}" done="0">
    <x18tc:text xml:space="preserve">APPLE BLOSSOM @isabel@coryhometeam.com VERIFIED
Assigned to isabel@coryhometeam.com</x18tc:text>
    <x18tc:mentions>
      <x18tc:mention mentionpersonId="{7d00647f-be2a-4639-a5f7-08a67118a5cf}" mentionId="{a1495700-0394-4332-bc27-5463bb69dc9e}" startIndex="14" length="24"/>
    </x18tc:mentions>
  </x18tc:threadedComment>
  <x18tc:threadedComment ref="A1" dT="2025-11-20T19:51:02.00" personId="{91ddd612-48c2-41c6-a628-68f42b3a1fa2}" id="{3999991b-a11f-4da6-91ce-e7c02c94aa6b}" done="0">
    <x18tc:text xml:space="preserve">13022 Cypress Ave
AM verified.
@isabel@coryhometeam.com
@kenia@coryhometeam.com
11.20 CI sent to Escrow.
Assigned to isabel@coryhometeam.com</x18tc:text>
    <x18tc:mentions>
      <x18tc:mention mentionpersonId="{7d00647f-be2a-4639-a5f7-08a67118a5cf}" mentionId="{752c8bff-bdf6-42df-92eb-7b8e8d399651}" startIndex="31" length="24"/>
      <x18tc:mention mentionpersonId="{c2b0de28-3b31-4aa3-82a3-f8aba187b3e9}" mentionId="{8477a030-762a-478f-b985-aed7f0748583}" startIndex="56" length="23"/>
    </x18tc:mentions>
  </x18tc:threadedComment>
  <x18tc:threadedComment ref="A1" dT="2025-12-31T00:16:41.00" personId="{d4b03686-3bed-491a-bd12-3b942153f8f5}" id="{9a34acb4-bc74-4195-ad5a-ac0848c4ed0b}" done="0">
    <x18tc:text xml:space="preserve">PIERCE ST. #197 @isabel@coryhometeam.com VERIFIED</x18tc:text>
    <x18tc:mentions>
      <x18tc:mention mentionpersonId="{7d00647f-be2a-4639-a5f7-08a67118a5cf}" mentionId="{dfc88919-c0ce-4d6c-a0ad-ee604411406d}" startIndex="16" length="24"/>
    </x18tc:mentions>
  </x18tc:threadedComment>
  <x18tc:threadedComment ref="A1" dT="2025-03-17T12:15:22.00" personId="{91ddd612-48c2-41c6-a628-68f42b3a1fa2}" id="{fce6a4e3-ce63-474e-b05b-f5057628816e}" done="0">
    <x18tc:text xml:space="preserve">AM verified.
@isabel@coryhometeam.com 
@kenia@coryhometeam.com 
3.17 CI sent to Escrow.
Assigned to isabel@coryhometeam.com</x18tc:text>
    <x18tc:mentions>
      <x18tc:mention mentionpersonId="{7d00647f-be2a-4639-a5f7-08a67118a5cf}" mentionId="{4963a57a-672f-4744-97ca-10b4d34e21ab}" startIndex="13" length="24"/>
      <x18tc:mention mentionpersonId="{c2b0de28-3b31-4aa3-82a3-f8aba187b3e9}" mentionId="{6e06fd0d-3860-4378-be52-d875303b83bd}" startIndex="39" length="23"/>
    </x18tc:mentions>
  </x18tc:threadedComment>
  <x18tc:threadedComment ref="A1" dT="2025-10-06T15:27:18.00" personId="{d4b03686-3bed-491a-bd12-3b942153f8f5}" id="{6c69dd8d-b634-4634-b3a3-e0226ca8d1a2}" done="0">
    <x18tc:text xml:space="preserve">SAINT TIMOTHY RD @isabel@coryhometeam.com VERIFIED
Assigned to isabel@coryhometeam.com</x18tc:text>
    <x18tc:mentions>
      <x18tc:mention mentionpersonId="{7d00647f-be2a-4639-a5f7-08a67118a5cf}" mentionId="{9152b152-765e-4f86-9751-04b7a60c96c6}" startIndex="17" length="24"/>
    </x18tc:mentions>
  </x18tc:threadedComment>
  <x18tc:threadedComment ref="A1" dT="2025-03-17T12:19:00.00" personId="{91ddd612-48c2-41c6-a628-68f42b3a1fa2}" id="{9ec840a7-7d81-4afb-a1d1-0457122432df}" done="0">
    <x18tc:text xml:space="preserve">AM verified.
@isabel@coryhometeam.com 
@kenia@coryhometeam.com 
3.17 CI sent to Escrow.
Assigned to isabel@coryhometeam.com</x18tc:text>
    <x18tc:mentions>
      <x18tc:mention mentionpersonId="{7d00647f-be2a-4639-a5f7-08a67118a5cf}" mentionId="{e62f560b-f045-4e78-afa5-f3ffdf22129e}" startIndex="13" length="24"/>
      <x18tc:mention mentionpersonId="{c2b0de28-3b31-4aa3-82a3-f8aba187b3e9}" mentionId="{7d067dd2-656d-45b2-9ce4-0362254e99be}" startIndex="39" length="23"/>
    </x18tc:mentions>
  </x18tc:threadedComment>
  <x18tc:threadedComment ref="A1" dT="2025-11-06T15:23:59.00" personId="{91ddd612-48c2-41c6-a628-68f42b3a1fa2}" id="{3a2cedbb-bc0c-4124-8469-e12ba0465e49}" done="0">
    <x18tc:text xml:space="preserve">34305 Deergrass Way
AM verified.
@isabel@coryhometeam.com
@kenia@coryhometeam.com
11.6 CI sent to Escrow.
Assigned to isabel@coryhometeam.com</x18tc:text>
    <x18tc:mentions>
      <x18tc:mention mentionpersonId="{7d00647f-be2a-4639-a5f7-08a67118a5cf}" mentionId="{14037067-1002-4329-ba13-5704c8856313}" startIndex="33" length="24"/>
      <x18tc:mention mentionpersonId="{c2b0de28-3b31-4aa3-82a3-f8aba187b3e9}" mentionId="{00b29f43-4a44-4aae-b37d-1ddc32b49f51}" startIndex="58" length="23"/>
    </x18tc:mentions>
  </x18tc:threadedComment>
  <x18tc:threadedComment ref="A1" dT="2025-08-14T18:54:33.00" personId="{d4b03686-3bed-491a-bd12-3b942153f8f5}" id="{2b21b688-1b3f-417a-b87a-255df457d055}" done="0">
    <x18tc:text xml:space="preserve">ROCKFORD WAY @isabel@coryhometeam.com VERIFIED
Assigned to isabel@coryhometeam.com</x18tc:text>
    <x18tc:mentions>
      <x18tc:mention mentionpersonId="{7d00647f-be2a-4639-a5f7-08a67118a5cf}" mentionId="{51fb4a56-8f43-48b0-b765-08d6890cd301}" startIndex="13" length="24"/>
    </x18tc:mentions>
  </x18tc:threadedComment>
  <x18tc:threadedComment ref="A1" dT="2025-11-06T15:19:22.00" personId="{91ddd612-48c2-41c6-a628-68f42b3a1fa2}" id="{6864b104-1789-42a5-bfd7-2b91fe8b547a}" done="0">
    <x18tc:text xml:space="preserve">1550 Rimpau Ave #186
AM verified.
@isabel@coryhometeam.com
@kenia@coryhometeam.com
11.6 CI sent to Escrow.
Assigned to isabel@coryhometeam.com</x18tc:text>
    <x18tc:mentions>
      <x18tc:mention mentionpersonId="{7d00647f-be2a-4639-a5f7-08a67118a5cf}" mentionId="{e18c73a8-4014-4aea-836f-e299ff38898c}" startIndex="34" length="24"/>
      <x18tc:mention mentionpersonId="{c2b0de28-3b31-4aa3-82a3-f8aba187b3e9}" mentionId="{4d9d7efe-a3ec-4dfc-b664-58593383eba5}" startIndex="59" length="23"/>
    </x18tc:mentions>
  </x18tc:threadedComment>
  <x18tc:threadedComment ref="A1" dT="2025-05-27T18:05:47.00" personId="{91ddd612-48c2-41c6-a628-68f42b3a1fa2}" id="{74ed5d64-259c-4988-9a9c-3df45b3e2f44}" done="0">
    <x18tc:text xml:space="preserve">5.27 I asked escrow to send a copy of the commission instructions. The escrow failed to provide this document. I sent a follow up email.</x18tc:text>
  </x18tc:threadedComment>
  <x18tc:threadedComment ref="A1" dT="2025-01-17T17:13:47.00" personId="{91ddd612-48c2-41c6-a628-68f42b3a1fa2}" id="{39ca661d-dc7b-4266-8a78-34597e376e0e}" done="0">
    <x18tc:text xml:space="preserve">1.17 No info as of now. I will follow up with Kenia.</x18tc:text>
  </x18tc:threadedComment>
  <x18tc:threadedComment ref="A1" dT="2025-05-07T23:44:30.00" personId="{70ef93c1-8205-4a4b-b2d2-ae0f451d890c}" id="{b53ac7f2-14a0-427e-a619-397df2dff574}" done="0">
    <x18tc:text xml:space="preserve">6/6-6/8</x18tc:text>
  </x18tc:threadedComment>
  <x18tc:threadedComment ref="A1" dT="2025-07-18T16:33:29.00" personId="{91ddd612-48c2-41c6-a628-68f42b3a1fa2}" id="{b3bb13ed-1023-4b2f-bc81-db0a9068022a}" done="0">
    <x18tc:text xml:space="preserve">1796 Starlight Ave
AM verified.
@isabel@coryhometeam.com 
@kenia@coryhometeam.com 
7.18 CI sent to Escrow.
Assigned to isabel@coryhometeam.com</x18tc:text>
    <x18tc:mentions>
      <x18tc:mention mentionpersonId="{7d00647f-be2a-4639-a5f7-08a67118a5cf}" mentionId="{95b66d68-969c-46ba-af80-bbdcb749a2d5}" startIndex="32" length="24"/>
      <x18tc:mention mentionpersonId="{c2b0de28-3b31-4aa3-82a3-f8aba187b3e9}" mentionId="{17785b59-39e5-419f-bd2e-ecb59b00e7a6}" startIndex="58" length="23"/>
    </x18tc:mentions>
  </x18tc:threadedComment>
  <x18tc:threadedComment ref="A1" dT="2025-12-08T22:47:52.00" personId="{e9fc873c-1c43-4e02-b893-c88033c9c8f6}" id="{dc89e572-93c3-467c-95db-7d28e4868fae}" done="0">
    <x18tc:text xml:space="preserve">Blake talking to tomorrow</x18tc:text>
  </x18tc:threadedComment>
  <x18tc:threadedComment ref="A1" dT="2025-05-27T22:45:13.00" personId="{d4b03686-3bed-491a-bd12-3b942153f8f5}" id="{49347cc5-f6a2-412b-ae21-ecfb088c3a57}" done="0">
    <x18tc:text xml:space="preserve">$1,000</x18tc:text>
  </x18tc:threadedComment>
  <x18tc:threadedComment ref="A1" dT="2025-05-15T21:33:28.00" personId="{70ef93c1-8205-4a4b-b2d2-ae0f451d890c}" id="{d13b8f04-85d8-4a53-b915-d9bbd8862098}" done="0">
    <x18tc:text xml:space="preserve">5/30-6/1</x18tc:text>
  </x18tc:threadedComment>
  <x18tc:threadedComment ref="A1" dT="2025-06-30T17:30:14.00" personId="{91ddd612-48c2-41c6-a628-68f42b3a1fa2}" id="{bda1549b-d08a-44fd-83d1-f6bec4b81b6d}" done="0">
    <x18tc:text xml:space="preserve">LA side to enter in Glide.</x18tc:text>
  </x18tc:threadedComment>
  <x18tc:threadedComment ref="A1" dT="2025-05-07T23:42:47.00" personId="{70ef93c1-8205-4a4b-b2d2-ae0f451d890c}" id="{5f6472c0-7a4b-4692-98f1-32e0729136e4}" done="0">
    <x18tc:text xml:space="preserve">5/3-5/5 cancelled
5/11-5/13</x18tc:text>
  </x18tc:threadedComment>
  <x18tc:threadedComment ref="A1" dT="2025-02-26T23:37:35.00" personId="{91ddd612-48c2-41c6-a628-68f42b3a1fa2}" id="{54793a47-ddb4-4bff-9812-a6e0382dfaa2}" done="0">
    <x18tc:text xml:space="preserve">60 days after the removal of COP</x18tc:text>
  </x18tc:threadedComment>
  <x18tc:threadedComment ref="A1" dT="2025-03-19T12:42:48.00" personId="{91ddd612-48c2-41c6-a628-68f42b3a1fa2}" id="{fe93b031-9da2-45ad-bae6-26ca901f7a08}" parentId="{54793a47-ddb4-4bff-9812-a6e0382dfaa2}">
    <x18tc:text xml:space="preserve">3.10 COE is 4.16 per AEA2.</x18tc:text>
  </x18tc:threadedComment>
  <x18tc:threadedComment ref="A1" dT="2025-08-13T18:17:11.00" personId="{d4b03686-3bed-491a-bd12-3b942153f8f5}" id="{3abe7744-ef9d-4c00-9f67-148076f1d54e}" done="0">
    <x18tc:text xml:space="preserve">HENDRIX AVE @isabel@coryhometeam.com VERIFIED
Assigned to isabel@coryhometeam.com</x18tc:text>
    <x18tc:mentions>
      <x18tc:mention mentionpersonId="{7d00647f-be2a-4639-a5f7-08a67118a5cf}" mentionId="{82a994d6-ea03-49ba-92e3-5955ab0d8bfd}" startIndex="12" length="24"/>
    </x18tc:mentions>
  </x18tc:threadedComment>
  <x18tc:threadedComment ref="A1" dT="2025-05-07T23:45:49.00" personId="{70ef93c1-8205-4a4b-b2d2-ae0f451d890c}" id="{63414c73-1ed2-4224-a796-c2bad93fec4e}" done="0">
    <x18tc:text xml:space="preserve">5/6-5/10</x18tc:text>
  </x18tc:threadedComment>
  <x18tc:threadedComment ref="A1" dT="2025-02-26T23:33:50.00" personId="{91ddd612-48c2-41c6-a628-68f42b3a1fa2}" id="{e977eb3d-57f9-4503-8943-8fc53eab788d}" done="0">
    <x18tc:text xml:space="preserve">2.26 60 days after the removal of COP.</x18tc:text>
  </x18tc:threadedComment>
  <x18tc:threadedComment ref="A1" dT="2025-03-26T13:12:43.00" personId="{91ddd612-48c2-41c6-a628-68f42b3a1fa2}" id="{03e04270-08e0-46db-9a7b-11eaff26e442}" done="0">
    <x18tc:text xml:space="preserve">AM verified.
@isabel@coryhometeam.com 
@kenia@coryhometeam.com 
3.26 CI sent to Escrow.
Assigned to isabel@coryhometeam.com</x18tc:text>
    <x18tc:mentions>
      <x18tc:mention mentionpersonId="{7d00647f-be2a-4639-a5f7-08a67118a5cf}" mentionId="{852f32bc-ed3a-4cd8-b026-73a84d6dd5ea}" startIndex="13" length="24"/>
      <x18tc:mention mentionpersonId="{c2b0de28-3b31-4aa3-82a3-f8aba187b3e9}" mentionId="{dc5d63c6-c341-48ff-bbff-7be978f5b4e1}" startIndex="39" length="23"/>
    </x18tc:mentions>
  </x18tc:threadedComment>
  <x18tc:threadedComment ref="A1" dT="2025-05-15T20:58:43.00" personId="{d4b03686-3bed-491a-bd12-3b942153f8f5}" id="{5ea8ae49-0de5-490f-9d44-2e12776685f8}" done="0">
    <x18tc:text xml:space="preserve">MACHADO ST @isabel@coryhometeam.com VERIFIED
Assigned to isabel@coryhometeam.com</x18tc:text>
    <x18tc:mentions>
      <x18tc:mention mentionpersonId="{7d00647f-be2a-4639-a5f7-08a67118a5cf}" mentionId="{c895fad7-b231-4521-a97c-d1116bd9d40d}" startIndex="11" length="24"/>
    </x18tc:mentions>
  </x18tc:threadedComment>
  <x18tc:threadedComment ref="A1" dT="2025-05-19T17:38:15.00" personId="{91ddd612-48c2-41c6-a628-68f42b3a1fa2}" id="{5500a4dd-c20e-4567-9555-9decaeed5ddd}" parentId="{5ea8ae49-0de5-490f-9d44-2e12776685f8}">
    <x18tc:text xml:space="preserve">AM verified 31750 Machado St #83
@isabel@coryhometeam.com 
@kenia@coryhometeam.com 
5.19 CI sent o Escrow.</x18tc:text>
    <x18tc:mentions>
      <x18tc:mention mentionpersonId="{7d00647f-be2a-4639-a5f7-08a67118a5cf}" mentionId="{27234dfd-1a48-4f84-902c-b15e9fff8cc0}" startIndex="33" length="24"/>
      <x18tc:mention mentionpersonId="{c2b0de28-3b31-4aa3-82a3-f8aba187b3e9}" mentionId="{b761f3d7-c6f5-4123-9c0b-b7bfefcf0ee1}" startIndex="59" length="23"/>
    </x18tc:mentions>
  </x18tc:threadedComment>
  <x18tc:threadedComment ref="A1" dT="2025-01-17T17:30:35.00" personId="{91ddd612-48c2-41c6-a628-68f42b3a1fa2}" id="{5cfaed6b-441a-4006-b887-d1bb287fc323}" done="0">
    <x18tc:text xml:space="preserve">1.17 All parties agreed to 7 day escrow as per AEA1.</x18tc:text>
  </x18tc:threadedComment>
  <x18tc:threadedComment ref="A1" dT="2025-01-30T18:09:05.00" personId="{91ddd612-48c2-41c6-a628-68f42b3a1fa2}" id="{e6ad9350-57ca-4b66-a156-18ac000e1394}" parentId="{5cfaed6b-441a-4006-b887-d1bb287fc323}">
    <x18tc:text xml:space="preserve">1.30 New COE date 2.3 as per ADM2.</x18tc:text>
  </x18tc:threadedComment>
  <x18tc:threadedComment ref="A1" dT="2025-05-07T23:45:02.00" personId="{70ef93c1-8205-4a4b-b2d2-ae0f451d890c}" id="{7413fee2-dccf-4236-b350-30edb1ad58e0}" done="0">
    <x18tc:text xml:space="preserve">5/15-5/17</x18tc:text>
  </x18tc:threadedComment>
  <x18tc:threadedComment ref="A1" dT="2025-05-15T17:52:27.00" personId="{70ef93c1-8205-4a4b-b2d2-ae0f451d890c}" id="{5d75510b-f2b2-453c-b19e-17ee191ebbf8}" parentId="{7413fee2-dccf-4236-b350-30edb1ad58e0}">
    <x18tc:text xml:space="preserve">MULTIPLE reservations</x18tc:text>
  </x18tc:threadedComment>
  <x18tc:threadedComment ref="A1" dT="2025-05-07T22:15:01.00" personId="{70ef93c1-8205-4a4b-b2d2-ae0f451d890c}" id="{849a586b-66f8-44ee-8d22-edfa1e13c846}" done="0">
    <x18tc:text xml:space="preserve">5/24-5/25</x18tc:text>
  </x18tc:threadedComment>
  <x18tc:threadedComment ref="A1" dT="2025-03-26T13:19:20.00" personId="{91ddd612-48c2-41c6-a628-68f42b3a1fa2}" id="{8cdc70a9-92ba-4124-b6b8-5ec0710b79f4}" done="0">
    <x18tc:text xml:space="preserve">AM verified.
@isabel@coryhometeam.com 
@kenia@coryhometeam.com 
3.26 CI sent to Escrow.
Assigned to isabel@coryhometeam.com</x18tc:text>
    <x18tc:mentions>
      <x18tc:mention mentionpersonId="{7d00647f-be2a-4639-a5f7-08a67118a5cf}" mentionId="{89bc46e6-4b9f-4c34-9077-2689bdeaa0ad}" startIndex="13" length="24"/>
      <x18tc:mention mentionpersonId="{c2b0de28-3b31-4aa3-82a3-f8aba187b3e9}" mentionId="{f34ba20d-6b01-4d1f-bdb6-a12079e8c8ea}" startIndex="39" length="23"/>
    </x18tc:mentions>
  </x18tc:threadedComment>
  <x18tc:threadedComment ref="A1" dT="2025-08-13T20:34:24.00" personId="{91ddd612-48c2-41c6-a628-68f42b3a1fa2}" id="{eb2a33b2-1f71-4be8-87d2-7f89478b7090}" done="0">
    <x18tc:text xml:space="preserve">Approved by Mel as per agent.</x18tc:text>
  </x18tc:threadedComment>
  <x18tc:threadedComment ref="A1" dT="2025-05-15T21:18:06.00" personId="{70ef93c1-8205-4a4b-b2d2-ae0f451d890c}" id="{6d4892cf-0449-424d-b0a0-2707b46d51ab}" done="0">
    <x18tc:text xml:space="preserve">1-day 5/18/2025</x18tc:text>
  </x18tc:threadedComment>
  <x18tc:threadedComment ref="A1" dT="2025-07-29T23:52:51.00" personId="{686b49bf-83f4-411b-b0f1-f0e341680f5a}" id="{7b793dde-11a5-4fa9-9493-0f9f11d5136a}" done="0">
    <x18tc:text xml:space="preserve">@dana@coryhometeam.com This closed on 07/07/25 - this date is correct. Final Closing Statement confirms this info.
Assigned to dana@coryhometeam.com</x18tc:text>
    <x18tc:mentions>
      <x18tc:mention mentionpersonId="{97a5b354-94ec-4750-87c3-99cebe208b41}" mentionId="{f404eef7-cc05-4c48-a311-ffe8799bbd33}" startIndex="0" length="22"/>
    </x18tc:mentions>
  </x18tc:threadedComment>
  <x18tc:threadedComment ref="A1" dT="2025-05-07T23:47:25.00" personId="{70ef93c1-8205-4a4b-b2d2-ae0f451d890c}" id="{c4c552ff-bba9-436a-8887-56c254374438}" done="0">
    <x18tc:text xml:space="preserve">5/16-5/18</x18tc:text>
  </x18tc:threadedComment>
  <x18tc:threadedComment ref="A1" dT="2025-06-24T14:14:04.00" personId="{91ddd612-48c2-41c6-a628-68f42b3a1fa2}" id="{f443f343-dbb3-484e-86e6-d23d43e67444}" done="0">
    <x18tc:text xml:space="preserve">1499 Old Mountain Ave #145
6.24 Per ADM1, the COE is set for 7/8 or sooner; however, a new ETA is pending signature, with a projected closing date of 7/16.</x18tc:text>
  </x18tc:threadedComment>
  <x18tc:threadedComment ref="A1" dT="2025-06-24T21:18:19.00" personId="{91ddd612-48c2-41c6-a628-68f42b3a1fa2}" id="{4f9a6455-2dc0-45d6-947a-3c8bd7056b46}" parentId="{f443f343-dbb3-484e-86e6-d23d43e67444}">
    <x18tc:text xml:space="preserve">6.24 ETA COE 7.16 received.</x18tc:text>
  </x18tc:threadedComment>
  <x18tc:threadedComment ref="A1" dT="2025-07-30T17:22:38.00" personId="{e9fc873c-1c43-4e02-b893-c88033c9c8f6}" id="{08b57e72-4dd5-4eda-8642-33f402af1946}" parentId="{f443f343-dbb3-484e-86e6-d23d43e67444}">
    <x18tc:text xml:space="preserve">pulled final statement, COE was 7/25, updated from 7/2 to 7/25</x18tc:text>
  </x18tc:threadedComment>
  <x18tc:threadedComment ref="A1" dT="2025-07-30T17:53:58.00" personId="{91ddd612-48c2-41c6-a628-68f42b3a1fa2}" id="{4ffdf529-fb7f-4d09-8620-aee1522ab376}" parentId="{f443f343-dbb3-484e-86e6-d23d43e67444}">
    <x18tc:text xml:space="preserve">Thank you for the update.</x18tc:text>
  </x18tc:threadedComment>
  <x18tc:threadedComment ref="A1" dT="2025-01-22T22:50:54.00" personId="{d4b03686-3bed-491a-bd12-3b942153f8f5}" id="{b75932bc-9504-4a12-9403-035283d32387}" done="0">
    <x18tc:text xml:space="preserve">LIVORNO CT @isabel@coryhometeam.com VERIFIED
Assigned to isabel@coryhometeam.com</x18tc:text>
    <x18tc:mentions>
      <x18tc:mention mentionpersonId="{7d00647f-be2a-4639-a5f7-08a67118a5cf}" mentionId="{9acf289b-508e-48ee-add1-803b0d62fb75}" startIndex="11" length="24"/>
    </x18tc:mentions>
  </x18tc:threadedComment>
  <x18tc:threadedComment ref="A1" dT="2025-05-16T12:23:08.00" personId="{91ddd612-48c2-41c6-a628-68f42b3a1fa2}" id="{712f9af5-b778-4d2a-a009-c800932ec5b1}" done="0">
    <x18tc:text xml:space="preserve">Complete lender info to follow.</x18tc:text>
  </x18tc:threadedComment>
  <x18tc:threadedComment ref="A1" dT="2025-12-08T23:19:35.00" personId="{91ddd612-48c2-41c6-a628-68f42b3a1fa2}" id="{2be49cbf-8577-4cff-9973-c9ace56947ef}" done="0">
    <x18tc:text xml:space="preserve">32970 Ethlene Dr
AM verified.
@isabel@coryhometeam.com
@kenia@coryhometeam.com
12.8 CI sent to Escrow.
Assigned to isabel@coryhometeam.com</x18tc:text>
    <x18tc:mentions>
      <x18tc:mention mentionpersonId="{7d00647f-be2a-4639-a5f7-08a67118a5cf}" mentionId="{767dca31-eebd-45a6-b783-b8cbdd9f1426}" startIndex="30" length="24"/>
      <x18tc:mention mentionpersonId="{c2b0de28-3b31-4aa3-82a3-f8aba187b3e9}" mentionId="{de6551f4-d5e6-4a88-b866-4175587e6ba8}" startIndex="55" length="23"/>
    </x18tc:mentions>
  </x18tc:threadedComment>
  <x18tc:threadedComment ref="A1" dT="2025-05-07T23:46:45.00" personId="{70ef93c1-8205-4a4b-b2d2-ae0f451d890c}" id="{2d252144-4af8-4a25-88fd-2868d4b04a64}" done="0">
    <x18tc:text xml:space="preserve">5/18-5/20</x18tc:text>
  </x18tc:threadedComment>
  <x18tc:threadedComment ref="A1" dT="2025-12-08T23:15:18.00" personId="{d4b03686-3bed-491a-bd12-3b942153f8f5}" id="{ba5ddea4-77e6-4d35-943e-e6420ecb507d}" done="0">
    <x18tc:text xml:space="preserve">PEIRCE ST 101 @isabel@coryhometeam.com VERIFIED
Assigned to isabel@coryhometeam.com</x18tc:text>
    <x18tc:mentions>
      <x18tc:mention mentionpersonId="{7d00647f-be2a-4639-a5f7-08a67118a5cf}" mentionId="{c17f6502-7cee-4125-87f4-9b22364bc2a6}" startIndex="14" length="24"/>
    </x18tc:mentions>
  </x18tc:threadedComment>
  <x18tc:threadedComment ref="A1" dT="2025-05-16T12:52:07.00" personId="{91ddd612-48c2-41c6-a628-68f42b3a1fa2}" id="{d09dc8be-bb32-4670-a5a2-8791b273aa53}" done="0">
    <x18tc:text xml:space="preserve">AM verified.
@isabel@coryhometeam.com 
@kenia@coryhometeam.com 
5.16 CI sent to Escrow.
Assigned to isabel@coryhometeam.com</x18tc:text>
    <x18tc:mentions>
      <x18tc:mention mentionpersonId="{7d00647f-be2a-4639-a5f7-08a67118a5cf}" mentionId="{2b82703c-d08a-4f27-b4fe-ac3a7d39a105}" startIndex="13" length="24"/>
      <x18tc:mention mentionpersonId="{c2b0de28-3b31-4aa3-82a3-f8aba187b3e9}" mentionId="{81c68850-10ca-4d60-9325-2811f8f22793}" startIndex="39" length="23"/>
    </x18tc:mentions>
  </x18tc:threadedComment>
  <x18tc:threadedComment ref="A1" dT="2025-05-07T23:47:58.00" personId="{70ef93c1-8205-4a4b-b2d2-ae0f451d890c}" id="{52cd8f77-a684-4b0e-93ad-c0c8ed950f1d}" done="0">
    <x18tc:text xml:space="preserve">multiple times</x18tc:text>
  </x18tc:threadedComment>
  <x18tc:threadedComment ref="A1" dT="2025-12-08T23:15:22.00" personId="{d4b03686-3bed-491a-bd12-3b942153f8f5}" id="{ad9f3e79-4302-421e-a18c-afb419e6c50b}" done="0">
    <x18tc:text xml:space="preserve">PEIRCE ST 101 @isabel@coryhometeam.com VERIFIED
Assigned to isabel@coryhometeam.com</x18tc:text>
    <x18tc:mentions>
      <x18tc:mention mentionpersonId="{7d00647f-be2a-4639-a5f7-08a67118a5cf}" mentionId="{7babacb1-0fba-46ee-8da1-884fee487565}" startIndex="14" length="24"/>
    </x18tc:mentions>
  </x18tc:threadedComment>
  <x18tc:threadedComment ref="A1" dT="2026-01-05T20:52:10.00" personId="{686b49bf-83f4-411b-b0f1-f0e341680f5a}" id="{47ffa218-48d4-4b40-9d36-0bef3e9f9137}" done="0">
    <x18tc:text xml:space="preserve">@dana@coryhometeam.com For additional listing fees paid upfront on Alicia's files, how do you want this tracked on the TS for closings?
Assigned to dana@coryhometeam.com</x18tc:text>
    <x18tc:mentions>
      <x18tc:mention mentionpersonId="{97a5b354-94ec-4750-87c3-99cebe208b41}" mentionId="{df756167-c1f0-4211-bbb3-a8766f2794c5}" startIndex="0" length="22"/>
    </x18tc:mentions>
  </x18tc:threadedComment>
  <x18tc:threadedComment ref="A1" dT="2025-01-17T23:53:37.00" personId="{d4b03686-3bed-491a-bd12-3b942153f8f5}" id="{ee3a95bb-c33a-43c7-a571-ab4f15fdd1a8}" done="0">
    <x18tc:text xml:space="preserve">CHAFFEE ST. @isabel@coryhometeam.com VERIFIED
Assigned to isabel@coryhometeam.com</x18tc:text>
    <x18tc:mentions>
      <x18tc:mention mentionpersonId="{7d00647f-be2a-4639-a5f7-08a67118a5cf}" mentionId="{174a2c9b-91d5-4401-b8b3-27c37d10a936}" startIndex="12" length="24"/>
    </x18tc:mentions>
  </x18tc:threadedComment>
  <x18tc:threadedComment ref="A1" dT="2025-04-28T18:12:03.00" personId="{2c0b40a3-d34a-4e30-997b-e7e5451e40bb}" id="{721add8c-c04a-46c9-80bb-9026c08a8d52}" done="1">
    <x18tc:text xml:space="preserve">@alexis@coryhometeam.com this is Dana Garcia's number
Assigned to alexis@coryhometeam.com</x18tc:text>
    <x18tc:mentions>
      <x18tc:mention mentionpersonId="{e0ede1ef-7aee-4904-9f47-62fb26fea2cd}" mentionId="{94eb2d7a-d778-45d7-aa10-e6056888aa60}" startIndex="0" length="24"/>
    </x18tc:mentions>
  </x18tc:threadedComment>
  <x18tc:threadedComment ref="A1" dT="2025-04-28T18:16:53.00" personId="{686b49bf-83f4-411b-b0f1-f0e341680f5a}" id="{bd4cb7ec-0f01-4383-be77-b4b84cbafcaa}" parentId="{721add8c-c04a-46c9-80bb-9026c08a8d52}">
    <x18tc:text xml:space="preserve">@remy@coryhometeam.com That is what the agent provided but I located the correct number for the buyer, Leidy Juarez De Leon. I updated it on the TS</x18tc:text>
    <x18tc:mentions>
      <x18tc:mention mentionpersonId="{5fc4901b-b525-40a8-b626-e780cd452fac}" mentionId="{44dfdfaa-9db4-48c2-b478-a22ec4a11d23}" startIndex="0" length="22"/>
    </x18tc:mentions>
  </x18tc:threadedComment>
  <x18tc:threadedComment ref="A1" dT="2025-11-18T13:04:40.00" personId="{d4b03686-3bed-491a-bd12-3b942153f8f5}" id="{20ffadd1-4220-4795-b1b6-c980c89a8e88}" done="0">
    <x18tc:text xml:space="preserve">JOAQUIN RIDGE DR @isabel@coryhometeam.com VERIFIED
Assigned to isabel@coryhometeam.com</x18tc:text>
    <x18tc:mentions>
      <x18tc:mention mentionpersonId="{7d00647f-be2a-4639-a5f7-08a67118a5cf}" mentionId="{11bb482d-a699-44d6-a02b-697ee4f61346}" startIndex="17" length="24"/>
    </x18tc:mentions>
  </x18tc:threadedComment>
  <x18tc:threadedComment ref="A1" dT="2025-07-16T10:27:54.00" personId="{91ddd612-48c2-41c6-a628-68f42b3a1fa2}" id="{0945a558-fe96-49a3-917c-a913721f1f69}" done="0">
    <x18tc:text xml:space="preserve">7.16 New COE as per ETA.</x18tc:text>
  </x18tc:threadedComment>
  <x18tc:threadedComment ref="A1" dT="2025-11-18T13:01:21.00" personId="{d4b03686-3bed-491a-bd12-3b942153f8f5}" id="{131217c2-dca2-4236-bf91-6fec551c6b00}" done="0">
    <x18tc:text xml:space="preserve">CHAPAE LN @isabel@coryhometeam.com VERIFIED
Assigned to isabel@coryhometeam.com</x18tc:text>
    <x18tc:mentions>
      <x18tc:mention mentionpersonId="{7d00647f-be2a-4639-a5f7-08a67118a5cf}" mentionId="{2c65fa91-b834-4540-98c1-3772f65a4521}" startIndex="10" length="24"/>
    </x18tc:mentions>
  </x18tc:threadedComment>
  <x18tc:threadedComment ref="A1" dT="2025-07-15T20:32:22.00" personId="{283cbab7-8785-4d8a-9d80-ae85deef9da8}" id="{94132f0f-b1cc-4118-8b39-334aafe891a4}" done="0">
    <x18tc:text xml:space="preserve">Need to Confirm w Mel if this will be a SHOWCASE ?</x18tc:text>
  </x18tc:threadedComment>
  <x18tc:threadedComment ref="A1" dT="2026-02-04T22:21:23.00" personId="{5a7b7df7-22eb-4b3a-a492-7d9d82a49202}" id="{27ff6fc7-a33d-4b46-9ecf-e435ebd6cc7e}" done="1">
    <x18tc:text xml:space="preserve">@mark@coryhometeam.com are you able to complete these?
Assigned to mark@coryhometeam.com</x18tc:text>
    <x18tc:mentions>
      <x18tc:mention mentionpersonId="{c3ab2f0a-6b13-4be6-bd93-ff88ef370cd6}" mentionId="{8628e5d5-10f5-4ac8-b0e9-582e7d1171f9}" startIndex="0" length="22"/>
    </x18tc:mentions>
  </x18tc:threadedComment>
  <x18tc:threadedComment ref="A1" dT="2025-09-29T20:31:22.00" personId="{d4b03686-3bed-491a-bd12-3b942153f8f5}" id="{03c1c07a-c399-4282-917a-5f398e360b26}" done="0">
    <x18tc:text xml:space="preserve">POPLAR CIRCLE @isabel@coryhometeam.com VERIFIED
Assigned to isabel@coryhometeam.com</x18tc:text>
    <x18tc:mentions>
      <x18tc:mention mentionpersonId="{7d00647f-be2a-4639-a5f7-08a67118a5cf}" mentionId="{686484da-6ef8-42b3-8c85-4ec4c89ae609}" startIndex="14" length="24"/>
    </x18tc:mentions>
  </x18tc:threadedComment>
  <x18tc:threadedComment ref="A1" dT="2025-11-19T19:43:53.00" personId="{91ddd612-48c2-41c6-a628-68f42b3a1fa2}" id="{cb649939-9054-4ff8-9ee9-c6b270ebb91a}" done="0">
    <x18tc:text xml:space="preserve">See SIP form</x18tc:text>
  </x18tc:threadedComment>
  <x18tc:threadedComment ref="A1" dT="2025-03-11T10:32:11.00" personId="{91ddd612-48c2-41c6-a628-68f42b3a1fa2}" id="{811a2d1f-8b66-4c07-b31f-2a4312b7512a}" done="0">
    <x18tc:text xml:space="preserve">AM verified.
@isabel@coryhometeam.com 
@kenia@coryhometeam.com 
3.12 CI sent to Escrow.
Assigned to isabel@coryhometeam.com</x18tc:text>
    <x18tc:mentions>
      <x18tc:mention mentionpersonId="{7d00647f-be2a-4639-a5f7-08a67118a5cf}" mentionId="{4e2335b7-28c4-4054-9d29-a363587ad9bf}" startIndex="13" length="24"/>
      <x18tc:mention mentionpersonId="{c2b0de28-3b31-4aa3-82a3-f8aba187b3e9}" mentionId="{dc4a6e21-e3df-48ca-846b-81b795aa7267}" startIndex="39" length="23"/>
    </x18tc:mentions>
  </x18tc:threadedComment>
  <x18tc:threadedComment ref="A1" dT="2025-04-07T16:08:45.00" personId="{91ddd612-48c2-41c6-a628-68f42b3a1fa2}" id="{9301e918-5c53-4a14-a634-53361012bc73}" done="0">
    <x18tc:text xml:space="preserve">4.7 LA commission to be confirmed by Kenia.</x18tc:text>
  </x18tc:threadedComment>
  <x18tc:threadedComment ref="A1" dT="2025-04-07T21:37:29.00" personId="{91ddd612-48c2-41c6-a628-68f42b3a1fa2}" id="{b0c721ad-c587-4eba-a539-97285caa3709}" parentId="{9301e918-5c53-4a14-a634-53361012bc73}">
    <x18tc:text xml:space="preserve">4.7 Per Kenia LA commission is $100 flat fee.</x18tc:text>
  </x18tc:threadedComment>
  <x18tc:threadedComment ref="A1" dT="2025-02-21T20:37:51.00" personId="{d4b03686-3bed-491a-bd12-3b942153f8f5}" id="{1adb4316-6f3e-47b3-8772-dbe64916009a}" done="0">
    <x18tc:text xml:space="preserve">VIA LA RUEDA @isabel@coryhometeam.com VERIFIED
Assigned to isabel@coryhometeam.com</x18tc:text>
    <x18tc:mentions>
      <x18tc:mention mentionpersonId="{7d00647f-be2a-4639-a5f7-08a67118a5cf}" mentionId="{465bcef7-73cb-47dc-9897-fa02fde2f983}" startIndex="13" length="24"/>
    </x18tc:mentions>
  </x18tc:threadedComment>
  <x18tc:threadedComment ref="A1" dT="2025-06-24T18:42:10.00" personId="{91ddd612-48c2-41c6-a628-68f42b3a1fa2}" id="{b33595bc-aa73-490b-b2fd-8ec23765c276}" done="0">
    <x18tc:text xml:space="preserve">6.24 As per Blake the agents commission is waived.</x18tc:text>
  </x18tc:threadedComment>
  <x18tc:threadedComment ref="A1" dT="2025-09-29T20:08:11.00" personId="{d4b03686-3bed-491a-bd12-3b942153f8f5}" id="{1066eae4-077f-43ec-97ea-c7620717d017}" done="0">
    <x18tc:text xml:space="preserve">MOHAVE DR. @isabel@coryhometeam.com VERIFIED
Assigned to isabel@coryhometeam.com</x18tc:text>
    <x18tc:mentions>
      <x18tc:mention mentionpersonId="{7d00647f-be2a-4639-a5f7-08a67118a5cf}" mentionId="{56583f43-1c01-44d0-91ee-99fd0df69a0c}" startIndex="11" length="24"/>
    </x18tc:mentions>
  </x18tc:threadedComment>
  <x18tc:threadedComment ref="A1" dT="2025-07-24T16:59:52.00" personId="{91ddd612-48c2-41c6-a628-68f42b3a1fa2}" id="{019d8845-41ac-4532-8109-c4c1dde7c0e4}" done="0">
    <x18tc:text xml:space="preserve">40240 Brook Trails Way
AM verified.
@isabel@coryhometeam.com 
@kenia@coryhometeam.com 
7.24 CI sent to Escrow.
Assigned to isabel@coryhometeam.com</x18tc:text>
    <x18tc:mentions>
      <x18tc:mention mentionpersonId="{7d00647f-be2a-4639-a5f7-08a67118a5cf}" mentionId="{323d7e75-0162-4c14-999c-8c6647f49515}" startIndex="36" length="24"/>
      <x18tc:mention mentionpersonId="{c2b0de28-3b31-4aa3-82a3-f8aba187b3e9}" mentionId="{766fbcca-7a9b-424d-8170-d20e77a3b67d}" startIndex="62" length="23"/>
    </x18tc:mentions>
  </x18tc:threadedComment>
  <x18tc:threadedComment ref="A1" dT="2025-08-29T13:50:28.00" personId="{91ddd612-48c2-41c6-a628-68f42b3a1fa2}" id="{35147619-ed6e-4ba3-acdf-99babd519859}" parentId="{019d8845-41ac-4532-8109-c4c1dde7c0e4}">
    <x18tc:text xml:space="preserve">@isabel@coryhometeam.com 
@kenia@coryhometeam.com 
8.28 CI sent to Escrow.</x18tc:text>
    <x18tc:mentions>
      <x18tc:mention mentionpersonId="{7d00647f-be2a-4639-a5f7-08a67118a5cf}" mentionId="{68d67401-c25a-4b2f-ab04-0db3b8e895a7}" startIndex="0" length="24"/>
      <x18tc:mention mentionpersonId="{c2b0de28-3b31-4aa3-82a3-f8aba187b3e9}" mentionId="{7a123112-5f08-4241-8a81-29462f3def19}" startIndex="26" length="23"/>
    </x18tc:mentions>
  </x18tc:threadedComment>
  <x18tc:threadedComment ref="A1" dT="2025-11-12T22:21:50.00" personId="{d4b03686-3bed-491a-bd12-3b942153f8f5}" id="{91fe89fa-274d-48a3-ae89-a513f9764d2f}" done="0">
    <x18tc:text xml:space="preserve">Buyer and Seller agent commission to be based on net purchase price of $600,000</x18tc:text>
  </x18tc:threadedComment>
  <x18tc:threadedComment ref="A1" dT="2025-08-04T17:46:24.00" personId="{91ddd612-48c2-41c6-a628-68f42b3a1fa2}" id="{c6bf49d3-3985-4277-acd1-652dbd010993}" done="0">
    <x18tc:text xml:space="preserve">4000 Shepherd Rd
8.4 ETA extending inspection &amp; loan to 8.8 for signature.</x18tc:text>
  </x18tc:threadedComment>
  <x18tc:threadedComment ref="A1" dT="2025-11-12T22:14:15.00" personId="{686b49bf-83f4-411b-b0f1-f0e341680f5a}" id="{e8f761e6-edb4-4868-a694-ee243b6c0e92}" done="0">
    <x18tc:text xml:space="preserve">ETA provided.</x18tc:text>
  </x18tc:threadedComment>
  <x18tc:threadedComment ref="A1" dT="2025-07-11T19:38:37.00" personId="{91ddd612-48c2-41c6-a628-68f42b3a1fa2}" id="{a32171c0-044f-4f17-bec7-1c8bd96d9eec}" done="0">
    <x18tc:text xml:space="preserve">7.11 Waiting on the removal of COP.</x18tc:text>
  </x18tc:threadedComment>
  <x18tc:threadedComment ref="A1" dT="2025-08-04T17:46:29.00" personId="{91ddd612-48c2-41c6-a628-68f42b3a1fa2}" id="{f2d18444-dd17-4b36-8772-f55f686e07cd}" done="0">
    <x18tc:text xml:space="preserve">4000 Shepherd Rd
8.4 ETA extending inspection &amp; loan to 8.8 for signature.</x18tc:text>
  </x18tc:threadedComment>
  <x18tc:threadedComment ref="A1" dT="2025-08-25T23:11:24.00" personId="{91ddd612-48c2-41c6-a628-68f42b3a1fa2}" id="{a0e6d4d4-0dd0-4cc1-bb2e-01a2664862a3}" parentId="{f2d18444-dd17-4b36-8772-f55f686e07cd}">
    <x18tc:text xml:space="preserve">8.25 Loan extended to 8/28. ETA form out for signature.</x18tc:text>
  </x18tc:threadedComment>
  <x18tc:threadedComment ref="A1" dT="2025-11-12T19:38:59.00" personId="{e9fc873c-1c43-4e02-b893-c88033c9c8f6}" id="{15f5ea6e-008c-4c05-ae4b-e789b64ef60e}" done="0">
    <x18tc:text xml:space="preserve">signed contract, but asked to hold off because she was sick, and now Mel and I havent heard from her.</x18tc:text>
  </x18tc:threadedComment>
  <x18tc:threadedComment ref="A1" dT="2025-11-19T18:26:35.00" personId="{e9fc873c-1c43-4e02-b893-c88033c9c8f6}" id="{61f6a34d-f5d8-4745-a5b8-a048e63f6c2a}" parentId="{15f5ea6e-008c-4c05-ae4b-e789b64ef60e}">
    <x18tc:text xml:space="preserve">met with Diana yesterday, shes finally ready to get started, contract resent for signature</x18tc:text>
  </x18tc:threadedComment>
  <x18tc:threadedComment ref="A1" dT="2025-11-24T17:33:07.00" personId="{e9fc873c-1c43-4e02-b893-c88033c9c8f6}" id="{a4c94dbe-04e6-4c0c-900f-4d660d79bbed}" parentId="{15f5ea6e-008c-4c05-ae4b-e789b64ef60e}">
    <x18tc:text xml:space="preserve">Diana said she has been sick but will begin the application this week.</x18tc:text>
  </x18tc:threadedComment>
  <x18tc:threadedComment ref="A1" dT="2025-11-05T17:58:55.00" personId="{e9fc873c-1c43-4e02-b893-c88033c9c8f6}" id="{72cf3a54-b513-4537-8111-ff4f9e811de2}" done="0">
    <x18tc:text xml:space="preserve">planning to begin next steps next week</x18tc:text>
  </x18tc:threadedComment>
  <x18tc:threadedComment ref="A1" dT="2025-11-19T18:29:13.00" personId="{e9fc873c-1c43-4e02-b893-c88033c9c8f6}" id="{d92b3fb0-07a3-4ab5-af48-c6c58a7485d0}" parentId="{72cf3a54-b513-4537-8111-ff4f9e811de2}">
    <x18tc:text xml:space="preserve">text back to Mel/Me last night, shes needed to work to make $ before she can get started, isnt ready quite yet</x18tc:text>
  </x18tc:threadedComment>
  <x18tc:threadedComment ref="A1" dT="2026-04-02T17:45:31.00" personId="{91ddd612-48c2-41c6-a628-68f42b3a1fa2}" id="{638087ee-9c49-4793-9d87-841d76e3cb0a}" done="0">
    <x18tc:text xml:space="preserve">(Estimated date only; COE to occur a specified number of days after short sale approval.)</x18tc:text>
  </x18tc:threadedComment>
  <x18tc:threadedComment ref="A1" dT="2025-11-12T17:29:36.00" personId="{91ddd612-48c2-41c6-a628-68f42b3a1fa2}" id="{76d50824-8642-4de3-a89f-f5a26075f6e2}" done="0">
    <x18tc:text xml:space="preserve">Waiting confirmation from Eddie.</x18tc:text>
  </x18tc:threadedComment>
  <x18tc:threadedComment ref="A1" dT="2025-04-15T18:40:14.00" personId="{d4b03686-3bed-491a-bd12-3b942153f8f5}" id="{626e689b-6ed8-4fc2-9050-7b8f649d6826}" done="0">
    <x18tc:text xml:space="preserve">PORTSMOUTH DR @isabel@coryhometeam.com VERIFIED
Assigned to isabel@coryhometeam.com</x18tc:text>
    <x18tc:mentions>
      <x18tc:mention mentionpersonId="{7d00647f-be2a-4639-a5f7-08a67118a5cf}" mentionId="{5fb6d3a6-626e-4f67-89ef-fe687f85a9a8}" startIndex="14" length="24"/>
    </x18tc:mentions>
  </x18tc:threadedComment>
  <x18tc:threadedComment ref="A1" dT="2025-11-06T23:36:53.00" personId="{d4b03686-3bed-491a-bd12-3b942153f8f5}" id="{e07ca856-a650-4039-89e5-f0c31154780f}" done="0">
    <x18tc:text xml:space="preserve">$100.00</x18tc:text>
  </x18tc:threadedComment>
  <x18tc:threadedComment ref="A1" dT="2025-07-14T19:17:44.00" personId="{d4b03686-3bed-491a-bd12-3b942153f8f5}" id="{26317a9c-3c44-4feb-ac47-84f453f14e65}" done="0">
    <x18tc:text xml:space="preserve">EXETER COURT @isabel@coryhometeam.com VERIFIED
Assigned to isabel@coryhometeam.com</x18tc:text>
    <x18tc:mentions>
      <x18tc:mention mentionpersonId="{7d00647f-be2a-4639-a5f7-08a67118a5cf}" mentionId="{3660313b-873c-45ae-ae47-b0be027a6ba8}" startIndex="13" length="24"/>
    </x18tc:mentions>
  </x18tc:threadedComment>
  <x18tc:threadedComment ref="A1" dT="2025-05-05T17:54:40.00" personId="{91ddd612-48c2-41c6-a628-68f42b3a1fa2}" id="{1123bab0-c233-4b85-aebe-1bf8c58ed7a2}" done="0">
    <x18tc:text xml:space="preserve">Sellers Choice per RPA.</x18tc:text>
  </x18tc:threadedComment>
  <x18tc:threadedComment ref="A1" dT="2025-12-03T00:48:56.00" personId="{d4b03686-3bed-491a-bd12-3b942153f8f5}" id="{884f8148-c305-4378-b9d6-675c83dfd879}" done="0">
    <x18tc:text xml:space="preserve">HENDRIX AVE @isabel@coryhometeam.com VERIFIED
Assigned to isabel@coryhometeam.com</x18tc:text>
    <x18tc:mentions>
      <x18tc:mention mentionpersonId="{7d00647f-be2a-4639-a5f7-08a67118a5cf}" mentionId="{f6ebd068-220a-4ced-8200-524312493f13}" startIndex="12" length="24"/>
    </x18tc:mentions>
  </x18tc:threadedComment>
  <x18tc:threadedComment ref="A1" dT="2025-11-05T18:22:45.00" personId="{91ddd612-48c2-41c6-a628-68f42b3a1fa2}" id="{2f6ead8f-a885-486a-b358-1333dd889041}" done="0">
    <x18tc:text xml:space="preserve">801 Buttercup Dr
AM verified.
@isabel@coryhometeam.com
@kenia@coryhometeam.com
11.5 CI sent to Escrow.
Assigned to isabel@coryhometeam.com</x18tc:text>
    <x18tc:mentions>
      <x18tc:mention mentionpersonId="{7d00647f-be2a-4639-a5f7-08a67118a5cf}" mentionId="{82e13128-8953-460f-a359-55bf221732e7}" startIndex="30" length="24"/>
      <x18tc:mention mentionpersonId="{c2b0de28-3b31-4aa3-82a3-f8aba187b3e9}" mentionId="{cf5c4c7a-a0ac-497b-b145-b989461a59e8}" startIndex="55" length="23"/>
    </x18tc:mentions>
  </x18tc:threadedComment>
  <x18tc:threadedComment ref="A1" dT="2025-08-04T18:42:26.00" personId="{91ddd612-48c2-41c6-a628-68f42b3a1fa2}" id="{89a0ac8e-3ed1-4ec7-bed6-5307c2922716}" done="0">
    <x18tc:text xml:space="preserve">136 W Mayberry Ave
AM verified.
@isabel@coryhometeam.com 
@kenia@coryhometeam.com 
8.4 CI sent to Escrow.
Assigned to isabel@coryhometeam.com</x18tc:text>
    <x18tc:mentions>
      <x18tc:mention mentionpersonId="{7d00647f-be2a-4639-a5f7-08a67118a5cf}" mentionId="{7f3408c2-348d-4641-878b-c84671e2a320}" startIndex="32" length="24"/>
      <x18tc:mention mentionpersonId="{c2b0de28-3b31-4aa3-82a3-f8aba187b3e9}" mentionId="{a150376d-140b-417e-aeba-88c5141fd5f8}" startIndex="58" length="23"/>
    </x18tc:mentions>
  </x18tc:threadedComment>
  <x18tc:threadedComment ref="A1" dT="2025-07-11T22:24:57.00" personId="{d4b03686-3bed-491a-bd12-3b942153f8f5}" id="{f3099d6b-251d-4ca8-b894-02cbdd1e72eb}" done="0">
    <x18tc:text xml:space="preserve">SAN JACINTO AVE @isabel@coryhometeam.com VERIFIED
Assigned to isabel@coryhometeam.com</x18tc:text>
    <x18tc:mentions>
      <x18tc:mention mentionpersonId="{7d00647f-be2a-4639-a5f7-08a67118a5cf}" mentionId="{7af71be8-73ee-4200-82b6-d2e2b8e2126d}" startIndex="16" length="24"/>
    </x18tc:mentions>
  </x18tc:threadedComment>
  <x18tc:threadedComment ref="A1" dT="2025-12-03T00:45:44.00" personId="{d4b03686-3bed-491a-bd12-3b942153f8f5}" id="{857c7ef5-b73d-4c08-ab9f-1f2a2547ac9e}" done="0">
    <x18tc:text xml:space="preserve">MANCHESTER LN @isabel@coryhometeam.com VERIFIED
Assigned to isabel@coryhometeam.com</x18tc:text>
    <x18tc:mentions>
      <x18tc:mention mentionpersonId="{7d00647f-be2a-4639-a5f7-08a67118a5cf}" mentionId="{46be9c1b-20fd-46a6-9641-da91893accd8}" startIndex="14" length="24"/>
    </x18tc:mentions>
  </x18tc:threadedComment>
  <x18tc:threadedComment ref="A1" dT="2025-12-08T23:20:00.00" personId="{d4b03686-3bed-491a-bd12-3b942153f8f5}" id="{9b8c2b4a-121c-4a5f-8b94-1bbc69dc470a}" done="0">
    <x18tc:text xml:space="preserve">LIDO BAY DRIVE @isabel@coryhometeam.com VERIFIED
Assigned to isabel@coryhometeam.com</x18tc:text>
    <x18tc:mentions>
      <x18tc:mention mentionpersonId="{7d00647f-be2a-4639-a5f7-08a67118a5cf}" mentionId="{ced5c27d-c8a2-492c-81ad-57e12fa1961a}" startIndex="15" length="24"/>
    </x18tc:mentions>
  </x18tc:threadedComment>
  <x18tc:threadedComment ref="A1" dT="2025-03-12T15:59:23.00" personId="{d4b03686-3bed-491a-bd12-3b942153f8f5}" id="{b9089482-283f-4db9-ac4b-ff28fc23a1fe}" done="0">
    <x18tc:text xml:space="preserve">INDUS WAY @isabel@coryhometeam.com VERIFIED
Assigned to isabel@coryhometeam.com</x18tc:text>
    <x18tc:mentions>
      <x18tc:mention mentionpersonId="{7d00647f-be2a-4639-a5f7-08a67118a5cf}" mentionId="{634dc54d-4f3b-42b9-9fdb-c2d755d14fde}" startIndex="10" length="24"/>
    </x18tc:mentions>
  </x18tc:threadedComment>
  <x18tc:threadedComment ref="A1" dT="2025-09-30T17:21:02.00" personId="{91ddd612-48c2-41c6-a628-68f42b3a1fa2}" id="{668846bc-76d5-4044-9847-94243b06baaa}" done="0">
    <x18tc:text xml:space="preserve">9.30 COE moved 10.3 per ETA1.</x18tc:text>
  </x18tc:threadedComment>
  <x18tc:threadedComment ref="A1" dT="2025-10-03T23:13:13.00" personId="{91ddd612-48c2-41c6-a628-68f42b3a1fa2}" id="{0de25ce0-d0cb-4072-9f17-40135e7bb606}" parentId="{668846bc-76d5-4044-9847-94243b06baaa}">
    <x18tc:text xml:space="preserve">10.3 NEW COE as per ETA2 10.6</x18tc:text>
  </x18tc:threadedComment>
  <x18tc:threadedComment ref="A1" dT="2025-11-10T23:08:33.00" personId="{686b49bf-83f4-411b-b0f1-f0e341680f5a}" id="{711a04be-b352-4ffc-b6e9-8f4ea914a965}" done="0">
    <x18tc:text xml:space="preserve">Kathy is crediting the buyer's $595 fee from her commission</x18tc:text>
  </x18tc:threadedComment>
  <x18tc:threadedComment ref="A1" dT="2025-06-04T23:13:25.00" personId="{d4b03686-3bed-491a-bd12-3b942153f8f5}" id="{5873bb31-0bea-46db-babf-1a9884a80150}" done="0">
    <x18tc:text xml:space="preserve">SATTUI ST. @isabel@coryhometeam.com VERIFIED
Assigned to isabel@coryhometeam.com</x18tc:text>
    <x18tc:mentions>
      <x18tc:mention mentionpersonId="{7d00647f-be2a-4639-a5f7-08a67118a5cf}" mentionId="{7d5ac57c-187e-4d15-8233-b8669c096cec}" startIndex="11" length="24"/>
    </x18tc:mentions>
  </x18tc:threadedComment>
  <x18tc:threadedComment ref="A1" dT="2025-12-03T00:52:35.00" personId="{d4b03686-3bed-491a-bd12-3b942153f8f5}" id="{fd4eef3c-1603-4ef4-9e4e-82fee0b6aad8}" done="0">
    <x18tc:text xml:space="preserve">WHIRLAWAY LN @isabel@coryhometeam.com VERIFIED
Assigned to isabel@coryhometeam.com</x18tc:text>
    <x18tc:mentions>
      <x18tc:mention mentionpersonId="{7d00647f-be2a-4639-a5f7-08a67118a5cf}" mentionId="{ecd0dde2-92c8-46db-a835-b46f92685458}" startIndex="13" length="24"/>
    </x18tc:mentions>
  </x18tc:threadedComment>
  <x18tc:threadedComment ref="A1" dT="2025-04-24T07:06:00.00" personId="{91ddd612-48c2-41c6-a628-68f42b3a1fa2}" id="{1a0d46e9-e600-46ca-96c1-afec618169b8}" done="0">
    <x18tc:text xml:space="preserve">4.24 Per Petra's take sheet the commission is $6K flat fee.</x18tc:text>
  </x18tc:threadedComment>
  <x18tc:threadedComment ref="A1" dT="2025-11-18T19:15:34.00" personId="{91ddd612-48c2-41c6-a628-68f42b3a1fa2}" id="{4d4bd357-1c08-463d-8051-154d2a50d3c9}" done="0">
    <x18tc:text xml:space="preserve">33140 Hill St
AM verified.
@isabel@coryhometeam.com
@kenia@coryhometeam.com
11.17 CI sent to Escrow.
Assigned to isabel@coryhometeam.com</x18tc:text>
    <x18tc:mentions>
      <x18tc:mention mentionpersonId="{7d00647f-be2a-4639-a5f7-08a67118a5cf}" mentionId="{f786c94a-7527-46b6-9a0f-9e1e06d4cfc5}" startIndex="27" length="24"/>
      <x18tc:mention mentionpersonId="{c2b0de28-3b31-4aa3-82a3-f8aba187b3e9}" mentionId="{e1727ff8-b7b9-4d45-b140-2755bbee1e0b}" startIndex="52" length="23"/>
    </x18tc:mentions>
  </x18tc:threadedComment>
  <x18tc:threadedComment ref="A1" dT="2025-08-04T17:12:17.00" personId="{91ddd612-48c2-41c6-a628-68f42b3a1fa2}" id="{15dfdbf5-90c8-41c3-a16c-a676332088c1}" done="0">
    <x18tc:text xml:space="preserve">750 E Rialto Ave # 77
8.3 ETA COE 8.8 out for signature.</x18tc:text>
  </x18tc:threadedComment>
  <x18tc:threadedComment ref="A1" dT="2025-04-28T15:39:50.00" personId="{91ddd612-48c2-41c6-a628-68f42b3a1fa2}" id="{621eff27-52b2-4478-a224-8229bd3a7709}" done="0">
    <x18tc:text xml:space="preserve">AM verified.
@isabel@coryhometeam.com 
@kenia@coryhometeam.com 
4.28 CI sent to Escrow.
Assigned to isabel@coryhometeam.com</x18tc:text>
    <x18tc:mentions>
      <x18tc:mention mentionpersonId="{7d00647f-be2a-4639-a5f7-08a67118a5cf}" mentionId="{af6bcef1-d710-4cbb-bf08-e47c264024b1}" startIndex="13" length="24"/>
      <x18tc:mention mentionpersonId="{c2b0de28-3b31-4aa3-82a3-f8aba187b3e9}" mentionId="{3ec7cbc1-0d3d-4299-8a38-ea4997bd2c5d}" startIndex="39" length="23"/>
    </x18tc:mentions>
  </x18tc:threadedComment>
  <x18tc:threadedComment ref="A1" dT="2025-10-03T19:55:39.00" personId="{91ddd612-48c2-41c6-a628-68f42b3a1fa2}" id="{bb54d279-ba1e-4f7e-a133-fcde217ec71d}" done="0">
    <x18tc:text xml:space="preserve">10.3 All contingencies are removed except HOA.</x18tc:text>
  </x18tc:threadedComment>
  <x18tc:threadedComment ref="A1" dT="2025-11-06T15:46:54.00" personId="{91ddd612-48c2-41c6-a628-68f42b3a1fa2}" id="{d8f4a0e2-5c35-4b05-a13e-04671e75442a}" done="0">
    <x18tc:text xml:space="preserve">22813 Mirileste Dr
AM verified.
@isabel@coryhometeam.com
@kenia@coryhometeam.com
11.6 CI sent to Escrow.
Assigned to isabel@coryhometeam.com</x18tc:text>
    <x18tc:mentions>
      <x18tc:mention mentionpersonId="{7d00647f-be2a-4639-a5f7-08a67118a5cf}" mentionId="{4a65c0b3-8bf4-4890-bb06-ab025d36d139}" startIndex="32" length="24"/>
      <x18tc:mention mentionpersonId="{c2b0de28-3b31-4aa3-82a3-f8aba187b3e9}" mentionId="{13cfc467-8e1a-4b09-9226-e2726c35e533}" startIndex="57" length="23"/>
    </x18tc:mentions>
  </x18tc:threadedComment>
  <x18tc:threadedComment ref="A1" dT="2025-10-24T16:28:06.00" personId="{686b49bf-83f4-411b-b0f1-f0e341680f5a}" id="{6139b63a-2c29-4ba5-b52d-d681e64fef10}" done="0">
    <x18tc:text xml:space="preserve">This listing was prior to 10/01, old splits should apply.</x18tc:text>
  </x18tc:threadedComment>
  <x18tc:threadedComment ref="A1" dT="2025-10-24T18:06:46.00" personId="{e9fc873c-1c43-4e02-b893-c88033c9c8f6}" id="{92178b85-5718-4f54-a1c2-117b57c78861}" parentId="{6139b63a-2c29-4ba5-b52d-d681e64fef10}">
    <x18tc:text xml:space="preserve">@isabel@coryhometeam.com</x18tc:text>
    <x18tc:mentions>
      <x18tc:mention mentionpersonId="{7d00647f-be2a-4639-a5f7-08a67118a5cf}" mentionId="{f8db9a87-4be6-4756-85c2-cff199c3592b}" startIndex="0" length="24"/>
    </x18tc:mentions>
  </x18tc:threadedComment>
  <x18tc:threadedComment ref="A1" dT="2025-11-06T15:29:09.00" personId="{91ddd612-48c2-41c6-a628-68f42b3a1fa2}" id="{eec6999c-37c5-48e6-bbf4-2f38de6625aa}" done="0">
    <x18tc:text xml:space="preserve">13864 Grant Way
AM verified.
@isabel@coryhometeam.com
@kenia@coryhometeam.com
11.6 CI sent to Escrow.
Assigned to isabel@coryhometeam.com</x18tc:text>
    <x18tc:mentions>
      <x18tc:mention mentionpersonId="{7d00647f-be2a-4639-a5f7-08a67118a5cf}" mentionId="{6c1ae8f1-c74c-4089-8f1f-d93e21f4d1b8}" startIndex="29" length="24"/>
      <x18tc:mention mentionpersonId="{c2b0de28-3b31-4aa3-82a3-f8aba187b3e9}" mentionId="{863945fb-16d3-4fba-9322-2cb6393b6428}" startIndex="54" length="23"/>
    </x18tc:mentions>
  </x18tc:threadedComment>
  <x18tc:threadedComment ref="A1" dT="2025-05-07T18:37:13.00" personId="{91ddd612-48c2-41c6-a628-68f42b3a1fa2}" id="{1dddd2f4-d8a4-40b3-badf-a6b7276c34d7}" done="0">
    <x18tc:text xml:space="preserve">AM verified.
@isabel@coryhometeam.com 
@kenia@coryhometeam.com 
5.7 CI sent to Escrow.
Assigned to isabel@coryhometeam.com</x18tc:text>
    <x18tc:mentions>
      <x18tc:mention mentionpersonId="{7d00647f-be2a-4639-a5f7-08a67118a5cf}" mentionId="{4d1d912e-a414-4d6a-85a7-0840bdd7459e}" startIndex="13" length="24"/>
      <x18tc:mention mentionpersonId="{c2b0de28-3b31-4aa3-82a3-f8aba187b3e9}" mentionId="{a90f4e75-384f-4d31-ae2e-7305260da2a2}" startIndex="39" length="23"/>
    </x18tc:mentions>
  </x18tc:threadedComment>
  <x18tc:threadedComment ref="A1" dT="2025-02-14T22:38:28.00" personId="{91ddd612-48c2-41c6-a628-68f42b3a1fa2}" id="{a45cf5f3-d3ec-450e-bab6-55be77749fc5}" done="0">
    <x18tc:text xml:space="preserve">2.14 ETA COE 2.21 out for signature.</x18tc:text>
  </x18tc:threadedComment>
  <x18tc:threadedComment ref="A1" dT="2025-02-14T23:25:55.00" personId="{d4b03686-3bed-491a-bd12-3b942153f8f5}" id="{09bb713f-c5f7-4682-b8d1-7a3bcfc839b2}" done="0">
    <x18tc:text xml:space="preserve">CRISS AVE @isabel@coryhometeam.com VERIFIED
Assigned to isabel@coryhometeam.com</x18tc:text>
    <x18tc:mentions>
      <x18tc:mention mentionpersonId="{7d00647f-be2a-4639-a5f7-08a67118a5cf}" mentionId="{f5b59d3a-5ef4-4ccb-8f5e-38a6691cb883}" startIndex="10" length="24"/>
    </x18tc:mentions>
  </x18tc:threadedComment>
  <x18tc:threadedComment ref="A1" dT="2025-01-29T20:07:39.00" personId="{e9fc873c-1c43-4e02-b893-c88033c9c8f6}" id="{299897c8-78c6-4f05-9ef8-454efcc2ed7e}" done="0">
    <x18tc:text xml:space="preserve">payoff demand sent to escrow- 32526 Iris, 1/29/25</x18tc:text>
  </x18tc:threadedComment>
  <x18tc:threadedComment ref="A1" dT="2025-04-15T16:07:06.00" personId="{91ddd612-48c2-41c6-a628-68f42b3a1fa2}" id="{84222177-07d1-48ef-946a-50383a0ae4e6}" done="0">
    <x18tc:text xml:space="preserve">AM Verified.
@isabel@coryhometeam.com 
@kenia@coryhometeam.com 
4.15 CI sent to Escrow.
Assigned to isabel@coryhometeam.com</x18tc:text>
    <x18tc:mentions>
      <x18tc:mention mentionpersonId="{7d00647f-be2a-4639-a5f7-08a67118a5cf}" mentionId="{61654422-6cff-4376-8716-6e31ff02df79}" startIndex="13" length="24"/>
      <x18tc:mention mentionpersonId="{c2b0de28-3b31-4aa3-82a3-f8aba187b3e9}" mentionId="{8dca7288-0d99-4621-9ff0-48dc5ae95103}" startIndex="39" length="23"/>
    </x18tc:mentions>
  </x18tc:threadedComment>
  <x18tc:threadedComment ref="A1" dT="2025-02-14T23:17:13.00" personId="{d4b03686-3bed-491a-bd12-3b942153f8f5}" id="{296d46cf-3a83-42c8-96f0-59518c2388ee}" done="0">
    <x18tc:text xml:space="preserve">CLEMSON ST. @isabel@coryhometeam.com VERIFIED
Assigned to isabel@coryhometeam.com</x18tc:text>
    <x18tc:mentions>
      <x18tc:mention mentionpersonId="{7d00647f-be2a-4639-a5f7-08a67118a5cf}" mentionId="{109022ea-b439-4310-b0b6-38bc7202d95a}" startIndex="12" length="24"/>
    </x18tc:mentions>
  </x18tc:threadedComment>
  <x18tc:threadedComment ref="A1" dT="2025-11-06T18:27:05.00" personId="{d4b03686-3bed-491a-bd12-3b942153f8f5}" id="{1b4fa215-a0c3-4b6d-9f0b-ffe40ac479c7}" done="0">
    <x18tc:text xml:space="preserve">W ACACIA AVE @isabel@coryhometeam.com VERIFIED
Assigned to isabel@coryhometeam.com</x18tc:text>
    <x18tc:mentions>
      <x18tc:mention mentionpersonId="{7d00647f-be2a-4639-a5f7-08a67118a5cf}" mentionId="{2d95a187-21a1-49e3-a4a5-60f4c8687873}" startIndex="13" length="24"/>
    </x18tc:mentions>
  </x18tc:threadedComment>
  <x18tc:threadedComment ref="A1" dT="2025-10-24T16:30:17.00" personId="{686b49bf-83f4-411b-b0f1-f0e341680f5a}" id="{f75fd022-a621-4bf2-b2e0-4ac7fc863ead}" done="0">
    <x18tc:text xml:space="preserve">This listing was prior to 10/01, old splits should apply.</x18tc:text>
  </x18tc:threadedComment>
  <x18tc:threadedComment ref="A1" dT="2025-10-24T18:07:26.00" personId="{e9fc873c-1c43-4e02-b893-c88033c9c8f6}" id="{b5e26031-cfd4-47f5-9ac0-a45536bee693}" parentId="{f75fd022-a621-4bf2-b2e0-4ac7fc863ead}">
    <x18tc:text xml:space="preserve">@isabel@coryhometeam.com</x18tc:text>
    <x18tc:mentions>
      <x18tc:mention mentionpersonId="{7d00647f-be2a-4639-a5f7-08a67118a5cf}" mentionId="{f214041c-3773-43f7-9f06-ad66c2a104d5}" startIndex="0" length="24"/>
    </x18tc:mentions>
  </x18tc:threadedComment>
  <x18tc:threadedComment ref="A1" dT="2025-01-29T20:51:31.00" personId="{d4b03686-3bed-491a-bd12-3b942153f8f5}" id="{2b8c7858-1c19-4c0e-a0cb-a5a1f6756521}" done="0">
    <x18tc:text xml:space="preserve">S FORSYTH PASEO @isabel@coryhometeam.com VERIFIED
Assigned to isabel@coryhometeam.com</x18tc:text>
    <x18tc:mentions>
      <x18tc:mention mentionpersonId="{7d00647f-be2a-4639-a5f7-08a67118a5cf}" mentionId="{d8b489d9-26cd-49c7-ad20-a6b39408f2d4}" startIndex="16" length="24"/>
    </x18tc:mentions>
  </x18tc:threadedComment>
  <x18tc:threadedComment ref="A1" dT="2025-07-10T23:24:20.00" personId="{91ddd612-48c2-41c6-a628-68f42b3a1fa2}" id="{16beb964-aae3-4cf3-a961-ddb175e005e1}" done="0">
    <x18tc:text xml:space="preserve">12650 Kingfisher Rd
AM verified.
@isabel@coryhometeam.com 
@kenia@coryhometeam.com 
7.10 CI sent to Escrow.
Assigned to isabel@coryhometeam.com</x18tc:text>
    <x18tc:mentions>
      <x18tc:mention mentionpersonId="{7d00647f-be2a-4639-a5f7-08a67118a5cf}" mentionId="{e4a7ce09-b7f1-45db-b0d8-c04999d22bdf}" startIndex="33" length="24"/>
      <x18tc:mention mentionpersonId="{c2b0de28-3b31-4aa3-82a3-f8aba187b3e9}" mentionId="{18b5e730-191c-43ce-b49d-f3f7aaff8197}" startIndex="59" length="23"/>
    </x18tc:mentions>
  </x18tc:threadedComment>
  <x18tc:threadedComment ref="A1" dT="2025-08-21T15:08:26.00" personId="{91ddd612-48c2-41c6-a628-68f42b3a1fa2}" id="{670f8fa5-a220-4657-bb7b-e48525c0f92e}" done="0">
    <x18tc:text xml:space="preserve">1639 Hendy Woods Cir
8.21 From Nate: Hi Kenia, looks like I made a boo boo on Hendy woods, I put in the escrow take sheet that it was at 2.0% but it’s actually at 2.5 and seller is aware. Also he is wanting to make sure the buyer agent commission is only 2%. I looked but couldn’t confirm.</x18tc:text>
  </x18tc:threadedComment>
  <x18tc:threadedComment ref="A1" dT="2025-10-24T16:29:40.00" personId="{686b49bf-83f4-411b-b0f1-f0e341680f5a}" id="{0ee84f7e-530f-494d-ad4d-4ddc0a3afb8b}" done="0">
    <x18tc:text xml:space="preserve">This listing was prior to 10/01, old splits should apply.</x18tc:text>
  </x18tc:threadedComment>
  <x18tc:threadedComment ref="A1" dT="2025-10-24T18:07:19.00" personId="{e9fc873c-1c43-4e02-b893-c88033c9c8f6}" id="{bc2dc99b-91ef-465e-a708-fcc7cef854d4}" parentId="{0ee84f7e-530f-494d-ad4d-4ddc0a3afb8b}">
    <x18tc:text xml:space="preserve">@isabel@coryhometeam.com</x18tc:text>
    <x18tc:mentions>
      <x18tc:mention mentionpersonId="{7d00647f-be2a-4639-a5f7-08a67118a5cf}" mentionId="{02ce805a-0193-4c9f-b122-593fb9b6caeb}" startIndex="0" length="24"/>
    </x18tc:mentions>
  </x18tc:threadedComment>
  <x18tc:threadedComment ref="A1" dT="2025-01-29T20:51:58.00" personId="{d4b03686-3bed-491a-bd12-3b942153f8f5}" id="{8a5df992-bbcc-4f98-b09a-dfeeba3d1252}" done="0">
    <x18tc:text xml:space="preserve">CRESCENT AVE @isabel@coryhometeam.com VERIFIED
Assigned to isabel@coryhometeam.com</x18tc:text>
    <x18tc:mentions>
      <x18tc:mention mentionpersonId="{7d00647f-be2a-4639-a5f7-08a67118a5cf}" mentionId="{0c04ab40-4126-42c1-8168-7c795d22d3dd}" startIndex="13" length="24"/>
    </x18tc:mentions>
  </x18tc:threadedComment>
  <x18tc:threadedComment ref="A1" dT="2025-02-14T23:26:00.00" personId="{d4b03686-3bed-491a-bd12-3b942153f8f5}" id="{8b5f84bd-52ba-46ac-ab67-5d117245b23e}" done="0">
    <x18tc:text xml:space="preserve">CRISS AVE @isabel@coryhometeam.com VERIFIED
Assigned to isabel@coryhometeam.com</x18tc:text>
    <x18tc:mentions>
      <x18tc:mention mentionpersonId="{7d00647f-be2a-4639-a5f7-08a67118a5cf}" mentionId="{b5524971-7d13-4f3c-bc57-396cbae66e84}" startIndex="10" length="24"/>
    </x18tc:mentions>
  </x18tc:threadedComment>
  <x18tc:threadedComment ref="A1" dT="2025-05-21T17:00:56.00" personId="{d4b03686-3bed-491a-bd12-3b942153f8f5}" id="{61ca4ed2-f37f-4322-be75-f7198b43292d}" done="0">
    <x18tc:text xml:space="preserve">APN: 378-114-017 @isabel@coryhometeam.com VERIFIED
Assigned to isabel@coryhometeam.com</x18tc:text>
    <x18tc:mentions>
      <x18tc:mention mentionpersonId="{7d00647f-be2a-4639-a5f7-08a67118a5cf}" mentionId="{f362ca59-d110-402c-b99a-1227a9f3a722}" startIndex="17" length="24"/>
    </x18tc:mentions>
  </x18tc:threadedComment>
  <x18tc:threadedComment ref="A1" dT="2025-11-06T18:18:20.00" personId="{d4b03686-3bed-491a-bd12-3b942153f8f5}" id="{1d3f418d-b3d2-4e40-997f-40ff1691ac51}" done="0">
    <x18tc:text xml:space="preserve">N LINDEN AVE @isabel@coryhometeam.com VERIFIED
Assigned to isabel@coryhometeam.com</x18tc:text>
    <x18tc:mentions>
      <x18tc:mention mentionpersonId="{7d00647f-be2a-4639-a5f7-08a67118a5cf}" mentionId="{120f0a21-b0cb-48cc-86f8-3d909001fb74}" startIndex="13" length="24"/>
    </x18tc:mentions>
  </x18tc:threadedComment>
  <x18tc:threadedComment ref="A1" dT="2025-10-24T16:29:24.00" personId="{686b49bf-83f4-411b-b0f1-f0e341680f5a}" id="{b2ba71a1-1807-439c-aa04-2d9451078ffc}" done="0">
    <x18tc:text xml:space="preserve">This listing was prior to 10/01, old splits should apply.</x18tc:text>
  </x18tc:threadedComment>
  <x18tc:threadedComment ref="A1" dT="2025-10-24T18:07:14.00" personId="{e9fc873c-1c43-4e02-b893-c88033c9c8f6}" id="{70384df3-d435-452d-b11d-f2690242f0ca}" parentId="{b2ba71a1-1807-439c-aa04-2d9451078ffc}">
    <x18tc:text xml:space="preserve">@isabel@coryhometeam.com</x18tc:text>
    <x18tc:mentions>
      <x18tc:mention mentionpersonId="{7d00647f-be2a-4639-a5f7-08a67118a5cf}" mentionId="{9b757453-8ae0-412b-97f4-6a4492e2a9b8}" startIndex="0" length="24"/>
    </x18tc:mentions>
  </x18tc:threadedComment>
  <x18tc:threadedComment ref="A1" dT="2025-01-29T22:52:41.00" personId="{70ef93c1-8205-4a4b-b2d2-ae0f451d890c}" id="{64a2022f-5272-4d5d-8f5b-f1961e3f8519}" done="0">
    <x18tc:text xml:space="preserve">Reservation 2/14-2/17</x18tc:text>
  </x18tc:threadedComment>
  <x18tc:threadedComment ref="A1" dT="2025-07-10T23:37:21.00" personId="{91ddd612-48c2-41c6-a628-68f42b3a1fa2}" id="{79db26e4-d9fe-41a5-9792-daeca305a102}" done="0">
    <x18tc:text xml:space="preserve">8247 Concord St
AM verified.
@isabel@coryhometeam.com 
@kenia@coryhometeam.com 
7.10 CI sent to Escrow.
Assigned to isabel@coryhometeam.com</x18tc:text>
    <x18tc:mentions>
      <x18tc:mention mentionpersonId="{7d00647f-be2a-4639-a5f7-08a67118a5cf}" mentionId="{c155b3a0-6579-472b-a099-a01b0245de83}" startIndex="29" length="24"/>
      <x18tc:mention mentionpersonId="{c2b0de28-3b31-4aa3-82a3-f8aba187b3e9}" mentionId="{b501e80a-5788-4325-80e2-c935ec3d6c7b}" startIndex="55" length="23"/>
    </x18tc:mentions>
  </x18tc:threadedComment>
  <x18tc:threadedComment ref="A1" dT="2025-10-24T16:28:24.00" personId="{686b49bf-83f4-411b-b0f1-f0e341680f5a}" id="{f1e51367-6def-47aa-937d-472288f055bc}" done="0">
    <x18tc:text xml:space="preserve">This listing was prior to 10/01, old splits should apply.</x18tc:text>
  </x18tc:threadedComment>
  <x18tc:threadedComment ref="A1" dT="2025-10-24T18:07:06.00" personId="{e9fc873c-1c43-4e02-b893-c88033c9c8f6}" id="{03b0377e-cfe0-4741-8984-13cd150749e0}" parentId="{f1e51367-6def-47aa-937d-472288f055bc}">
    <x18tc:text xml:space="preserve">@isabel@coryhometeam.com</x18tc:text>
    <x18tc:mentions>
      <x18tc:mention mentionpersonId="{7d00647f-be2a-4639-a5f7-08a67118a5cf}" mentionId="{6cd3b709-511e-4d4d-a8ab-1e7ff169a826}" startIndex="0" length="24"/>
    </x18tc:mentions>
  </x18tc:threadedComment>
  <x18tc:threadedComment ref="A1" dT="2025-01-30T00:00:58.00" personId="{d4b03686-3bed-491a-bd12-3b942153f8f5}" id="{18f3bb6b-2792-483c-b90a-8dd7d7663066}" done="0">
    <x18tc:text xml:space="preserve">ALRU ST @isabel@coryhometeam.com VERIFIED
Assigned to isabel@coryhometeam.com</x18tc:text>
    <x18tc:mentions>
      <x18tc:mention mentionpersonId="{7d00647f-be2a-4639-a5f7-08a67118a5cf}" mentionId="{7a380198-b6db-4156-8e6a-2dc1cea5cee1}" startIndex="8" length="24"/>
    </x18tc:mentions>
  </x18tc:threadedComment>
  <x18tc:threadedComment ref="A1" dT="2025-07-10T23:32:44.00" personId="{91ddd612-48c2-41c6-a628-68f42b3a1fa2}" id="{f3b13ca8-f53f-4e10-9330-cb68d747b9ec}" done="0">
    <x18tc:text xml:space="preserve">750 E Rialto Ave # 77
AM verified.
@isabel@coryhometeam.com 
@kenia@coryhometeam.com 
7.10 CI sent to Escrow.
Assigned to isabel@coryhometeam.com</x18tc:text>
    <x18tc:mentions>
      <x18tc:mention mentionpersonId="{7d00647f-be2a-4639-a5f7-08a67118a5cf}" mentionId="{48326d91-a688-4803-aaee-18109ff4849e}" startIndex="35" length="24"/>
      <x18tc:mention mentionpersonId="{c2b0de28-3b31-4aa3-82a3-f8aba187b3e9}" mentionId="{6d079533-fc28-45ca-ab91-33581db2dc17}" startIndex="61" length="23"/>
    </x18tc:mentions>
  </x18tc:threadedComment>
  <x18tc:threadedComment ref="A1" dT="2025-07-21T17:46:57.00" personId="{91ddd612-48c2-41c6-a628-68f42b3a1fa2}" id="{660e0b2a-a539-4b1b-b145-cb3b0ba5ec9e}" parentId="{f3b13ca8-f53f-4e10-9330-cb68d747b9ec}">
    <x18tc:text xml:space="preserve">7.21 AMENDED CI form sent to escrow.
@isabel@coryhometeam.com</x18tc:text>
    <x18tc:mentions>
      <x18tc:mention mentionpersonId="{7d00647f-be2a-4639-a5f7-08a67118a5cf}" mentionId="{66b6f463-0a8d-47ab-96ea-3d45ea49e773}" startIndex="37" length="24"/>
    </x18tc:mentions>
  </x18tc:threadedComment>
  <x18tc:threadedComment ref="A1" dT="2025-10-24T17:02:01.00" personId="{283cbab7-8785-4d8a-9d80-ae85deef9da8}" id="{db3aed57-d8a1-468f-bb3f-7e18d0108d4f}" done="0">
    <x18tc:text xml:space="preserve">Kendra agreed to credit seller $131.00 towards AB38 inspection/repairs
@dana@coryhometeam.com 
@isabel@coryhometeam.com</x18tc:text>
    <x18tc:mentions>
      <x18tc:mention mentionpersonId="{97a5b354-94ec-4750-87c3-99cebe208b41}" mentionId="{92c33d7e-cf5d-4aad-a4c1-a0061432ebf4}" startIndex="71" length="22"/>
      <x18tc:mention mentionpersonId="{7d00647f-be2a-4639-a5f7-08a67118a5cf}" mentionId="{836dd04d-a6e8-4723-a3b5-e5cbe9e725fc}" startIndex="95" length="24"/>
    </x18tc:mentions>
  </x18tc:threadedComment>
  <x18tc:threadedComment ref="A1" dT="2025-10-28T15:57:25.00" personId="{c7fad490-24e0-4859-bb84-4307c52d4768}" id="{bde7e139-c016-4f33-8472-e696bc34ff11}" parentId="{db3aed57-d8a1-468f-bb3f-7e18d0108d4f}">
    <x18tc:text xml:space="preserve">$1,000 Comm holdback, based on CDA and final check</x18tc:text>
  </x18tc:threadedComment>
  <x18tc:threadedComment ref="A1" dT="2025-11-06T21:48:41.00" personId="{686b49bf-83f4-411b-b0f1-f0e341680f5a}" id="{da8fd149-39fd-4e0c-ab31-037ad0d5b44f}" done="0">
    <x18tc:text xml:space="preserve">CHT to cover Sellers Coverage.</x18tc:text>
  </x18tc:threadedComment>
  <x18tc:threadedComment ref="A1" dT="2025-01-29T19:05:37.00" personId="{91ddd612-48c2-41c6-a628-68f42b3a1fa2}" id="{2679fdfa-5a84-4ba4-a11d-d06ad5711f63}" done="0">
    <x18tc:text xml:space="preserve">AM verified.
@isabel@coryhometeam.com 
@kenia@coryhometeam.com 
1.29 CI sent to Escrow.
Assigned to isabel@coryhometeam.com</x18tc:text>
    <x18tc:mentions>
      <x18tc:mention mentionpersonId="{7d00647f-be2a-4639-a5f7-08a67118a5cf}" mentionId="{ad4390d3-c62c-4c8a-83bc-4a9e1fabd9bc}" startIndex="13" length="24"/>
      <x18tc:mention mentionpersonId="{c2b0de28-3b31-4aa3-82a3-f8aba187b3e9}" mentionId="{376e4a00-da02-44ed-8ef2-5764058eba07}" startIndex="39" length="23"/>
    </x18tc:mentions>
  </x18tc:threadedComment>
  <x18tc:threadedComment ref="A1" dT="2025-10-24T16:30:42.00" personId="{686b49bf-83f4-411b-b0f1-f0e341680f5a}" id="{33ddca00-c78b-45a3-98e7-41e97434ae0a}" done="0">
    <x18tc:text xml:space="preserve">This listing was prior to 10/01, old splits should apply.</x18tc:text>
  </x18tc:threadedComment>
  <x18tc:threadedComment ref="A1" dT="2025-10-24T18:07:36.00" personId="{e9fc873c-1c43-4e02-b893-c88033c9c8f6}" id="{309def76-479e-43d5-902c-f541d52c7460}" parentId="{33ddca00-c78b-45a3-98e7-41e97434ae0a}">
    <x18tc:text xml:space="preserve">@isabel@coryhometeam.com</x18tc:text>
    <x18tc:mentions>
      <x18tc:mention mentionpersonId="{7d00647f-be2a-4639-a5f7-08a67118a5cf}" mentionId="{5c620570-8172-4dbd-ac05-b111d9c68394}" startIndex="0" length="24"/>
    </x18tc:mentions>
  </x18tc:threadedComment>
  <x18tc:threadedComment ref="A1" dT="2025-03-12T17:10:14.00" personId="{d4b03686-3bed-491a-bd12-3b942153f8f5}" id="{ec97e5a5-6d50-417a-903c-4f7f0943728c}" done="0">
    <x18tc:text xml:space="preserve">OSO LN @isabel@coryhometeam.com VERIFIED</x18tc:text>
    <x18tc:mentions>
      <x18tc:mention mentionpersonId="{7d00647f-be2a-4639-a5f7-08a67118a5cf}" mentionId="{81c94efc-69ee-4543-8822-054ac4095427}" startIndex="7" length="24"/>
    </x18tc:mentions>
  </x18tc:threadedComment>
  <x18tc:threadedComment ref="A1" dT="2025-08-30T00:24:34.00" personId="{d4b03686-3bed-491a-bd12-3b942153f8f5}" id="{4748ebdd-4bd6-47d8-bf95-819fbcfeff0b}" done="0">
    <x18tc:text xml:space="preserve">BUCHANAN ST @isabel@coryhometeam.com VERIFIED
Assigned to isabel@coryhometeam.com</x18tc:text>
    <x18tc:mentions>
      <x18tc:mention mentionpersonId="{7d00647f-be2a-4639-a5f7-08a67118a5cf}" mentionId="{92571645-df7b-4fc8-86c7-a84c0739fff7}" startIndex="12" length="24"/>
    </x18tc:mentions>
  </x18tc:threadedComment>
  <x18tc:threadedComment ref="A1" dT="2025-03-28T20:43:21.00" personId="{91ddd612-48c2-41c6-a628-68f42b3a1fa2}" id="{daada13d-b9b6-4885-9849-f26328c22c4d}" done="0">
    <x18tc:text xml:space="preserve">AM verified.
@isabel@coryhometeam.com 
@kenia@coryhometeam.com 
3.28 CI sent to Escrow.
Assigned to isabel@coryhometeam.com</x18tc:text>
    <x18tc:mentions>
      <x18tc:mention mentionpersonId="{7d00647f-be2a-4639-a5f7-08a67118a5cf}" mentionId="{5dce12b5-6bf6-4256-948e-e072731b554b}" startIndex="13" length="24"/>
      <x18tc:mention mentionpersonId="{c2b0de28-3b31-4aa3-82a3-f8aba187b3e9}" mentionId="{779be9b7-d62a-4ac6-97f6-a274acb3a938}" startIndex="39" length="23"/>
    </x18tc:mentions>
  </x18tc:threadedComment>
  <x18tc:threadedComment ref="A1" dT="2025-10-24T16:30:27.00" personId="{686b49bf-83f4-411b-b0f1-f0e341680f5a}" id="{94ef3144-a5dd-4fd5-a840-9abb4cb795ad}" done="0">
    <x18tc:text xml:space="preserve">This listing was prior to 10/01, old splits should apply.</x18tc:text>
  </x18tc:threadedComment>
  <x18tc:threadedComment ref="A1" dT="2025-10-24T18:07:31.00" personId="{e9fc873c-1c43-4e02-b893-c88033c9c8f6}" id="{dc34dbba-6f01-47aa-a9e0-6dfca50662c4}" parentId="{94ef3144-a5dd-4fd5-a840-9abb4cb795ad}">
    <x18tc:text xml:space="preserve">@isabel@coryhometeam.com</x18tc:text>
    <x18tc:mentions>
      <x18tc:mention mentionpersonId="{7d00647f-be2a-4639-a5f7-08a67118a5cf}" mentionId="{078df8f9-53d0-4f68-9db1-3ca92e41d204}" startIndex="0" length="24"/>
    </x18tc:mentions>
  </x18tc:threadedComment>
  <x18tc:threadedComment ref="A1" dT="2025-08-30T00:30:42.00" personId="{d4b03686-3bed-491a-bd12-3b942153f8f5}" id="{3cdd4922-92c7-44d4-a610-434ad9b8d374}" done="0">
    <x18tc:text xml:space="preserve">S STATE #271 @isabel@coryhometeam.com VERIFIED
Assigned to isabel@coryhometeam.com</x18tc:text>
    <x18tc:mentions>
      <x18tc:mention mentionpersonId="{7d00647f-be2a-4639-a5f7-08a67118a5cf}" mentionId="{57246f55-18fb-4046-89f5-e697c6bc9e5a}" startIndex="13" length="24"/>
    </x18tc:mentions>
  </x18tc:threadedComment>
  <x18tc:threadedComment ref="A1" dT="2025-07-10T23:19:56.00" personId="{91ddd612-48c2-41c6-a628-68f42b3a1fa2}" id="{3eaaf8dd-d049-43c4-bb33-a929999b9523}" done="0">
    <x18tc:text xml:space="preserve">14768 Ingram Way
AM verified.
@isabel@coryhometeam.com 
@kenia@coryhometeam.com 
7.10 CI sent to Escrow.
Assigned to isabel@coryhometeam.com</x18tc:text>
    <x18tc:mentions>
      <x18tc:mention mentionpersonId="{7d00647f-be2a-4639-a5f7-08a67118a5cf}" mentionId="{f795ff5f-7cbc-4535-821f-013dabd863ad}" startIndex="30" length="24"/>
      <x18tc:mention mentionpersonId="{c2b0de28-3b31-4aa3-82a3-f8aba187b3e9}" mentionId="{4fd3a6f7-0fcc-418c-bdd1-652b51b771de}" startIndex="56" length="23"/>
    </x18tc:mentions>
  </x18tc:threadedComment>
  <x18tc:threadedComment ref="A1" dT="2025-11-10T23:35:46.00" personId="{d4b03686-3bed-491a-bd12-3b942153f8f5}" id="{d3302d53-ba1b-40c5-8396-2ee61c728bf7}" done="0">
    <x18tc:text xml:space="preserve">TAMARIND LN @isabel@coryhometeam.com VERIFIED
Assigned to isabel@coryhometeam.com</x18tc:text>
    <x18tc:mentions>
      <x18tc:mention mentionpersonId="{7d00647f-be2a-4639-a5f7-08a67118a5cf}" mentionId="{8333f0fa-a9aa-4c88-baec-704b4d8ae71e}" startIndex="12" length="24"/>
    </x18tc:mentions>
  </x18tc:threadedComment>
  <x18tc:threadedComment ref="A1" dT="2025-08-04T19:38:16.00" personId="{91ddd612-48c2-41c6-a628-68f42b3a1fa2}" id="{a2f19df2-b0b4-4cf3-b8e2-3bbcd24abce7}" done="0">
    <x18tc:text xml:space="preserve">1796 Starlight Ave
AM verified.
@isabel@coryhometeam.com 
@kenia@coryhometeam.com 
8.4 CI sent to Escrow.
Assigned to isabel@coryhometeam.com</x18tc:text>
    <x18tc:mentions>
      <x18tc:mention mentionpersonId="{7d00647f-be2a-4639-a5f7-08a67118a5cf}" mentionId="{75a8ca1a-6b9f-4ab2-a7e6-d2fc349644b4}" startIndex="32" length="24"/>
      <x18tc:mention mentionpersonId="{c2b0de28-3b31-4aa3-82a3-f8aba187b3e9}" mentionId="{1ca27b40-bed6-4e66-a095-cdcc9de6a334}" startIndex="58" length="23"/>
    </x18tc:mentions>
  </x18tc:threadedComment>
  <x18tc:threadedComment ref="A1" dT="2025-11-10T23:14:03.00" personId="{d4b03686-3bed-491a-bd12-3b942153f8f5}" id="{a3c9545b-9205-4e0a-9374-49832a222645}" done="0">
    <x18tc:text xml:space="preserve">FAIRWAY RD @isabel@coryhometeam.com VERIFIED
Assigned to isabel@coryhometeam.com</x18tc:text>
    <x18tc:mentions>
      <x18tc:mention mentionpersonId="{7d00647f-be2a-4639-a5f7-08a67118a5cf}" mentionId="{a26c4c37-e489-4e17-b030-b805d5310394}" startIndex="11" length="24"/>
    </x18tc:mentions>
  </x18tc:threadedComment>
  <x18tc:threadedComment ref="A1" dT="2025-04-15T16:46:19.00" personId="{91ddd612-48c2-41c6-a628-68f42b3a1fa2}" id="{15a9ec00-4833-4b3f-8181-ac5ec6957e5a}" done="0">
    <x18tc:text xml:space="preserve">AM verified.
@isabel@coryhometeam.com 
@kenia@coryhometeam.com 
4.15 CI sent to Escrow.
Assigned to isabel@coryhometeam.com</x18tc:text>
    <x18tc:mentions>
      <x18tc:mention mentionpersonId="{7d00647f-be2a-4639-a5f7-08a67118a5cf}" mentionId="{0ecabfaf-7d28-423d-9fdf-d20b5cfeb5ed}" startIndex="13" length="24"/>
      <x18tc:mention mentionpersonId="{c2b0de28-3b31-4aa3-82a3-f8aba187b3e9}" mentionId="{d8e8a221-e533-41f3-8712-18e27be038e1}" startIndex="39" length="23"/>
    </x18tc:mentions>
  </x18tc:threadedComment>
  <x18tc:threadedComment ref="A1" dT="2025-04-28T22:07:33.00" personId="{91ddd612-48c2-41c6-a628-68f42b3a1fa2}" id="{0c018476-5681-4f0a-865e-3a63f3c1b9d9}" parentId="{15a9ec00-4833-4b3f-8181-ac5ec6957e5a}">
    <x18tc:text xml:space="preserve">4.28 REVISED CI sent to Escrow.
@isabel@coryhometeam.com</x18tc:text>
    <x18tc:mentions>
      <x18tc:mention mentionpersonId="{7d00647f-be2a-4639-a5f7-08a67118a5cf}" mentionId="{72c16b5b-81b5-43f4-9cb8-2d60387e27c8}" startIndex="32" length="24"/>
    </x18tc:mentions>
  </x18tc:threadedComment>
  <x18tc:threadedComment ref="A1" dT="2025-02-14T19:47:08.00" personId="{d4b03686-3bed-491a-bd12-3b942153f8f5}" id="{dc63d9c3-2666-49ab-a7d1-db307658ac36}" done="0">
    <x18tc:text xml:space="preserve">DERBY DR. @isabel@coryhometeam.com VERIFIED
Assigned to isabel@coryhometeam.com</x18tc:text>
    <x18tc:mentions>
      <x18tc:mention mentionpersonId="{7d00647f-be2a-4639-a5f7-08a67118a5cf}" mentionId="{397a1239-5fdb-45fa-b6cf-c9905acbbdd6}" startIndex="10" length="24"/>
    </x18tc:mentions>
  </x18tc:threadedComment>
  <x18tc:threadedComment ref="A1" dT="2025-10-24T17:02:59.00" personId="{283cbab7-8785-4d8a-9d80-ae85deef9da8}" id="{996d9d91-f7d9-4054-9802-790c10592184}" done="0">
    <x18tc:text xml:space="preserve">Kendra agreed Escrow is instructed to hold back $1,000.00 from Listing Agent Commission. This is to ensure that the seller is able to repair the stove as agreed by November 2, 2025. If the seller is unable to complete the repairs, the buyer may submit the invoice to escrow for
replacement of the stove at the seller's expense from holdback
@dana@coryhometeam.com 
@isabel@coryhometeam.com
Assigned to dana@coryhometeam.com</x18tc:text>
    <x18tc:mentions>
      <x18tc:mention mentionpersonId="{97a5b354-94ec-4750-87c3-99cebe208b41}" mentionId="{51146805-645c-4bee-bbae-18826d0f22f2}" startIndex="342" length="22"/>
      <x18tc:mention mentionpersonId="{7d00647f-be2a-4639-a5f7-08a67118a5cf}" mentionId="{505ab437-2257-4d84-8030-0005ef400595}" startIndex="366" length="24"/>
    </x18tc:mentions>
  </x18tc:threadedComment>
  <x18tc:threadedComment ref="A1" dT="2025-03-03T20:46:23.00" personId="{d4b03686-3bed-491a-bd12-3b942153f8f5}" id="{bd20da46-6102-45ad-b3fc-da32d2afefcf}" done="0">
    <x18tc:text xml:space="preserve">SHEILA LN @isabel@coryhometeam.com VERIFIED
Assigned to isabel@coryhometeam.com</x18tc:text>
    <x18tc:mentions>
      <x18tc:mention mentionpersonId="{7d00647f-be2a-4639-a5f7-08a67118a5cf}" mentionId="{bdc10ed4-8659-44c2-aa32-8163496515a7}" startIndex="10" length="24"/>
    </x18tc:mentions>
  </x18tc:threadedComment>
  <x18tc:threadedComment ref="A1" dT="2025-03-03T18:57:26.00" personId="{91ddd612-48c2-41c6-a628-68f42b3a1fa2}" id="{aab7e3af-33ef-4fd9-b8b6-3f93103bf2b6}" done="0">
    <x18tc:text xml:space="preserve">AM verified.
@isabel@coryhometeam.com 
@kenia@coryhometeam.com 
3.3 CI sent to Escrow.
Assigned to isabel@coryhometeam.com</x18tc:text>
    <x18tc:mentions>
      <x18tc:mention mentionpersonId="{7d00647f-be2a-4639-a5f7-08a67118a5cf}" mentionId="{4fe27dcb-4994-4468-acec-389bc9dc8daf}" startIndex="13" length="24"/>
      <x18tc:mention mentionpersonId="{c2b0de28-3b31-4aa3-82a3-f8aba187b3e9}" mentionId="{e453d853-2cd0-4322-a48b-4135dc5e9c38}" startIndex="39" length="23"/>
    </x18tc:mentions>
  </x18tc:threadedComment>
  <x18tc:threadedComment ref="A1" dT="2026-03-02T18:17:34.00" personId="{e9fc873c-1c43-4e02-b893-c88033c9c8f6}" id="{0cefedec-e0d9-4517-9726-c7f1115f2853}" done="0">
    <x18tc:text xml:space="preserve">Kiona told not a good fit</x18tc:text>
  </x18tc:threadedComment>
  <x18tc:threadedComment ref="A1" dT="2025-09-29T23:29:21.00" personId="{91ddd612-48c2-41c6-a628-68f42b3a1fa2}" id="{96a86ae1-b9e9-4e1e-856d-4853c217e50a}" done="0">
    <x18tc:text xml:space="preserve">9.29 Price decreased from 120k to 119K per RR1 and AEA1.</x18tc:text>
  </x18tc:threadedComment>
  <x18tc:threadedComment ref="A1" dT="2025-05-19T22:31:43.00" personId="{d4b03686-3bed-491a-bd12-3b942153f8f5}" id="{1d19ba11-5555-4775-adc1-dbe818343c77}" done="0">
    <x18tc:text xml:space="preserve">W FLORIDA AVE @isabel@coryhometeam.com VERIFIED
Assigned to isabel@coryhometeam.com</x18tc:text>
    <x18tc:mentions>
      <x18tc:mention mentionpersonId="{7d00647f-be2a-4639-a5f7-08a67118a5cf}" mentionId="{87a61ebb-cc9f-425a-9ee6-c24f4e24d6c0}" startIndex="14" length="24"/>
    </x18tc:mentions>
  </x18tc:threadedComment>
  <x18tc:threadedComment ref="A1" dT="2025-03-21T23:51:31.00" personId="{91ddd612-48c2-41c6-a628-68f42b3a1fa2}" id="{4896e0d4-717c-4e72-8c45-3b54fb92471e}" done="0">
    <x18tc:text xml:space="preserve">3.21 Escrow info is missing.</x18tc:text>
  </x18tc:threadedComment>
  <x18tc:threadedComment ref="A1" dT="2025-02-26T17:24:53.00" personId="{d4b03686-3bed-491a-bd12-3b942153f8f5}" id="{52370f48-f7e8-483a-8cf2-18aaf0a4e932}" done="0">
    <x18tc:text xml:space="preserve">ANGELICA DR @isabel@coryhometeam.com VERIFIED
Assigned to isabel@coryhometeam.com</x18tc:text>
    <x18tc:mentions>
      <x18tc:mention mentionpersonId="{7d00647f-be2a-4639-a5f7-08a67118a5cf}" mentionId="{4786744e-f368-4cbd-af1b-f403a7fc13fa}" startIndex="12" length="24"/>
    </x18tc:mentions>
  </x18tc:threadedComment>
  <x18tc:threadedComment ref="A1" dT="2025-07-24T06:33:12.00" personId="{91ddd612-48c2-41c6-a628-68f42b3a1fa2}" id="{88912d1a-8209-48a6-9c64-30c9f7f4f390}" done="0">
    <x18tc:text xml:space="preserve">14768 Ingram Way
As ETA new COE is 7.25 or sooner.</x18tc:text>
  </x18tc:threadedComment>
  <x18tc:threadedComment ref="A1" dT="2025-06-20T23:19:48.00" personId="{d4b03686-3bed-491a-bd12-3b942153f8f5}" id="{36a2a75e-fd07-416c-83b6-47d0eade59c6}" done="0">
    <x18tc:text xml:space="preserve">N IVY ST @isabel@coryhometeam.com VERIFIED
Assigned to isabel@coryhometeam.com</x18tc:text>
    <x18tc:mentions>
      <x18tc:mention mentionpersonId="{7d00647f-be2a-4639-a5f7-08a67118a5cf}" mentionId="{97074b8c-4a42-49f3-a7d6-ae980fa7ee40}" startIndex="9" length="24"/>
    </x18tc:mentions>
  </x18tc:threadedComment>
  <x18tc:threadedComment ref="A1" dT="2025-06-20T23:24:05.00" personId="{d4b03686-3bed-491a-bd12-3b942153f8f5}" id="{48886a62-f7ff-40c9-b232-07a24c62adb3}" done="0">
    <x18tc:text xml:space="preserve">ANTOINETTE LN @isabel@coryhometeam.com VERIFIED
Assigned to isabel@coryhometeam.com</x18tc:text>
    <x18tc:mentions>
      <x18tc:mention mentionpersonId="{7d00647f-be2a-4639-a5f7-08a67118a5cf}" mentionId="{c6fb2c86-50f4-4846-b1b5-b935f9f41602}" startIndex="14" length="24"/>
    </x18tc:mentions>
  </x18tc:threadedComment>
  <x18tc:threadedComment ref="A1" dT="2025-10-20T14:56:25.00" personId="{91ddd612-48c2-41c6-a628-68f42b3a1fa2}" id="{6de07742-e9c2-4f40-9a90-221753409edf}" done="0">
    <x18tc:text xml:space="preserve">10.20 Per ETA new COE is 10.23.</x18tc:text>
  </x18tc:threadedComment>
  <x18tc:threadedComment ref="A1" dT="2025-10-24T18:00:20.00" personId="{91ddd612-48c2-41c6-a628-68f42b3a1fa2}" id="{5ecbce72-627b-403c-856a-7332031a92ca}" parentId="{6de07742-e9c2-4f40-9a90-221753409edf}">
    <x18tc:text xml:space="preserve">10.24 ETA2 COE 11.7</x18tc:text>
  </x18tc:threadedComment>
  <x18tc:threadedComment ref="A1" dT="2025-08-12T22:00:34.00" personId="{d4b03686-3bed-491a-bd12-3b942153f8f5}" id="{23590b7b-a385-45a0-9dc6-e2b449635621}" done="0">
    <x18tc:text xml:space="preserve">OAK CREEK DR @isabel@coryhometeam.com VERIFIED
Assigned to isabel@coryhometeam.com</x18tc:text>
    <x18tc:mentions>
      <x18tc:mention mentionpersonId="{7d00647f-be2a-4639-a5f7-08a67118a5cf}" mentionId="{8d10992b-adc0-4ade-a445-29c00ab9eaf0}" startIndex="13" length="24"/>
    </x18tc:mentions>
  </x18tc:threadedComment>
  <x18tc:threadedComment ref="A1" dT="2025-05-20T23:07:54.00" personId="{91ddd612-48c2-41c6-a628-68f42b3a1fa2}" id="{be23459f-69e4-4b1a-b339-955aa02d7c4f}" done="0">
    <x18tc:text xml:space="preserve">This transaction is contingent on seller property. COE and time periods to be determined after SPRP removal.</x18tc:text>
  </x18tc:threadedComment>
  <x18tc:threadedComment ref="A1" dT="2025-03-03T21:18:08.00" personId="{91ddd612-48c2-41c6-a628-68f42b3a1fa2}" id="{8db8ae78-2852-4dcf-80ed-156c73ceddd0}" done="0">
    <x18tc:text xml:space="preserve">3.3 COE date adjusted from 4/1 to 3/31. Per RPA it's 30 days after acceptance date.</x18tc:text>
  </x18tc:threadedComment>
  <x18tc:threadedComment ref="A1" dT="2025-05-20T22:26:24.00" personId="{d4b03686-3bed-491a-bd12-3b942153f8f5}" id="{0a7ad40b-a8a2-484f-b707-b0332fee2cdf}" done="0">
    <x18tc:text xml:space="preserve">Buyers Agent compensation of $7,000</x18tc:text>
  </x18tc:threadedComment>
  <x18tc:threadedComment ref="A1" dT="2025-03-03T19:02:42.00" personId="{91ddd612-48c2-41c6-a628-68f42b3a1fa2}" id="{6b488482-5ad8-40af-8b78-0728dd0f9eb6}" done="0">
    <x18tc:text xml:space="preserve">AM verified.
@isabel@coryhometeam.com 
@kenia@coryhometeam.com 
3.3 CI sent to Escrow.
Assigned to isabel@coryhometeam.com</x18tc:text>
    <x18tc:mentions>
      <x18tc:mention mentionpersonId="{7d00647f-be2a-4639-a5f7-08a67118a5cf}" mentionId="{4be98ee8-3987-47f6-9cb4-52c7e6b556d7}" startIndex="13" length="24"/>
      <x18tc:mention mentionpersonId="{c2b0de28-3b31-4aa3-82a3-f8aba187b3e9}" mentionId="{78832644-67cf-4d5f-8335-59d15db53638}" startIndex="39" length="23"/>
    </x18tc:mentions>
  </x18tc:threadedComment>
  <x18tc:threadedComment ref="A1" dT="2025-01-21T20:29:54.00" personId="{686b49bf-83f4-411b-b0f1-f0e341680f5a}" id="{c608d5f6-7b10-4a20-ab12-bdf8fed526ef}" done="0">
    <x18tc:text xml:space="preserve">Kiona approved via text - $320 off the top credit to Buyer to cover per diem for the Seller to remain in the home until 01/31/25.</x18tc:text>
  </x18tc:threadedComment>
  <x18tc:threadedComment ref="A1" dT="2025-08-12T17:44:07.00" personId="{283cbab7-8785-4d8a-9d80-ae85deef9da8}" id="{4b90312d-9fe1-4b8f-a45c-9357e46800dc}" done="0">
    <x18tc:text xml:space="preserve">8/12/25 Nate Text asking to change RLA LA comm from 2% to 1.75%</x18tc:text>
  </x18tc:threadedComment>
  <x18tc:threadedComment ref="A1" dT="2025-08-11T19:31:29.00" personId="{91ddd612-48c2-41c6-a628-68f42b3a1fa2}" id="{f08ce365-5f2c-44cb-8a96-6a91eaa9a509}" done="0">
    <x18tc:text xml:space="preserve">8.11 COE moved to 8.12 per ETA.</x18tc:text>
  </x18tc:threadedComment>
  <x18tc:threadedComment ref="A1" dT="2025-08-14T14:18:04.00" personId="{91ddd612-48c2-41c6-a628-68f42b3a1fa2}" id="{96e7702d-1beb-4680-a52d-1908cd9b00cf}" parentId="{f08ce365-5f2c-44cb-8a96-6a91eaa9a509}">
    <x18tc:text xml:space="preserve">8.14 COE moved to 8.14 per ETA.</x18tc:text>
  </x18tc:threadedComment>
  <x18tc:threadedComment ref="A1" dT="2025-05-21T16:57:39.00" personId="{d4b03686-3bed-491a-bd12-3b942153f8f5}" id="{5bcd2125-51d8-44b5-ae42-92f767fbfb85}" done="0">
    <x18tc:text xml:space="preserve">0 MOUNTAIN VIEW @isabel@coryhometeam.com VERIFIED
Assigned to isabel@coryhometeam.com</x18tc:text>
    <x18tc:mentions>
      <x18tc:mention mentionpersonId="{7d00647f-be2a-4639-a5f7-08a67118a5cf}" mentionId="{1ff10b87-465a-4c61-bf48-5845d0dcb277}" startIndex="16" length="24"/>
    </x18tc:mentions>
  </x18tc:threadedComment>
  <x18tc:threadedComment ref="A1" dT="2025-05-22T05:42:31.00" personId="{91ddd612-48c2-41c6-a628-68f42b3a1fa2}" id="{21fa72fc-51d1-4f6e-bde8-899a0c53b52c}" done="0">
    <x18tc:text xml:space="preserve">0 Ramona Dr
AM verified.
@isabel@coryhometeam.com 
@kenia@coryhometeam.com 
5.20 CI sent to Escrow.
Assigned to isabel@coryhometeam.com</x18tc:text>
    <x18tc:mentions>
      <x18tc:mention mentionpersonId="{7d00647f-be2a-4639-a5f7-08a67118a5cf}" mentionId="{8877f7f2-d6dc-4dc1-8a06-05c7c81139c8}" startIndex="25" length="24"/>
      <x18tc:mention mentionpersonId="{c2b0de28-3b31-4aa3-82a3-f8aba187b3e9}" mentionId="{8012cad2-c4ea-437c-8009-0e704b9cebec}" startIndex="51" length="23"/>
    </x18tc:mentions>
  </x18tc:threadedComment>
  <x18tc:threadedComment ref="A1" dT="2025-03-03T19:00:33.00" personId="{91ddd612-48c2-41c6-a628-68f42b3a1fa2}" id="{fef65de5-7930-44ae-9c6e-16f0f2ca3c34}" done="0">
    <x18tc:text xml:space="preserve">AM verified.
@isabel@coryhometeam.com 
@kenia@coryhometeam.com 
3.3 CI sent to Escrow.
Assigned to isabel@coryhometeam.com</x18tc:text>
    <x18tc:mentions>
      <x18tc:mention mentionpersonId="{7d00647f-be2a-4639-a5f7-08a67118a5cf}" mentionId="{b486a72a-eb70-406c-adab-4347a5c85b51}" startIndex="13" length="24"/>
      <x18tc:mention mentionpersonId="{c2b0de28-3b31-4aa3-82a3-f8aba187b3e9}" mentionId="{59a64bd5-37bc-4434-9eed-1e966ffb0941}" startIndex="39" length="23"/>
    </x18tc:mentions>
  </x18tc:threadedComment>
  <x18tc:threadedComment ref="A1" dT="2025-03-03T21:40:19.00" personId="{91ddd612-48c2-41c6-a628-68f42b3a1fa2}" id="{74b7f6ce-dfdf-4a9f-9366-86948cc12639}" done="0">
    <x18tc:text xml:space="preserve">3.3 Sales price from 98759.20 to 82K. See ADM (Exhibit A)</x18tc:text>
  </x18tc:threadedComment>
  <x18tc:threadedComment ref="AD24" dT="2026-06-09T14:55:43.00" personId="{d4b03686-3bed-491a-bd12-3b942153f8f5}" id="{8f1cea74-06ef-4ae0-96f1-6fc18d524436}" done="0">
    <x18tc:text xml:space="preserve">$5000.00 Flat Rate</x18tc:text>
  </x18tc:threadedComment>
  <x18tc:threadedComment ref="A1" dT="2025-09-29T06:40:53.00" personId="{91ddd612-48c2-41c6-a628-68f42b3a1fa2}" id="{251d1e19-a578-4d84-a498-1c7efbd18c10}" done="0">
    <x18tc:text xml:space="preserve">9.28 Per Kenia and Ron: Gelsomina is 94 years old and need assistance in signing the docs electronically.</x18tc:text>
  </x18tc:threadedComment>
  <x18tc:threadedComment ref="A1" dT="2025-08-04T21:45:56.00" personId="{91ddd612-48c2-41c6-a628-68f42b3a1fa2}" id="{597844fe-ad8f-4749-9ee0-b2e21194bd68}" done="0">
    <x18tc:text xml:space="preserve">566 Ebbtide Cir
8.4 CR FULL extended to to 8.6.</x18tc:text>
  </x18tc:threadedComment>
  <x18tc:threadedComment ref="A1" dT="2025-10-07T22:33:27.00" personId="{91ddd612-48c2-41c6-a628-68f42b3a1fa2}" id="{6a11f572-b7ef-45cb-a98c-7ac784c98e25}" done="0">
    <x18tc:text xml:space="preserve">10.7 ETA COE 10.15 out to LA.</x18tc:text>
  </x18tc:threadedComment>
  <x18tc:threadedComment ref="A1" dT="2025-11-19T00:15:58.00" personId="{d4b03686-3bed-491a-bd12-3b942153f8f5}" id="{47f2d330-8e2d-466c-9aa2-fda79035aaed}" done="0">
    <x18tc:text xml:space="preserve">MALAGA RD @isabel@coryhometeam.com VERIFIED
Assigned to isabel@coryhometeam.com</x18tc:text>
    <x18tc:mentions>
      <x18tc:mention mentionpersonId="{7d00647f-be2a-4639-a5f7-08a67118a5cf}" mentionId="{0ed65faa-4d6b-4f5c-aa09-b562226bc73f}" startIndex="10" length="24"/>
    </x18tc:mentions>
  </x18tc:threadedComment>
  <x18tc:threadedComment ref="A1" dT="2025-10-07T23:35:34.00" personId="{d4b03686-3bed-491a-bd12-3b942153f8f5}" id="{38c4b0cc-1e17-410d-a2c9-6d3ef86f2b87}" done="0">
    <x18tc:text xml:space="preserve">BLUE CEDAR DR @isabel@coryhometeam.com VERIFIED
Assigned to isabel@coryhometeam.com</x18tc:text>
    <x18tc:mentions>
      <x18tc:mention mentionpersonId="{7d00647f-be2a-4639-a5f7-08a67118a5cf}" mentionId="{19a63955-2b43-4bff-8aae-4e363796f37b}" startIndex="14" length="24"/>
    </x18tc:mentions>
  </x18tc:threadedComment>
  <x18tc:threadedComment ref="A1" dT="2025-08-27T22:19:33.00" personId="{d4b03686-3bed-491a-bd12-3b942153f8f5}" id="{63d1046b-c449-42ca-81b5-cc62b13a8293}" done="0">
    <x18tc:text xml:space="preserve">MESQUITE DR @isabel@coryhometeam.com VERIFIED
Assigned to isabel@coryhometeam.com</x18tc:text>
    <x18tc:mentions>
      <x18tc:mention mentionpersonId="{7d00647f-be2a-4639-a5f7-08a67118a5cf}" mentionId="{774cb652-d463-46d6-8cf0-c86226cc9642}" startIndex="12" length="24"/>
    </x18tc:mentions>
  </x18tc:threadedComment>
  <x18tc:threadedComment ref="A1" dT="2025-05-22T05:28:19.00" personId="{91ddd612-48c2-41c6-a628-68f42b3a1fa2}" id="{1fdc855d-bd20-4b3b-9ace-5ba49fd726d5}" done="0">
    <x18tc:text xml:space="preserve">13063 5th Street #5
AM verified.
@isabel@coryhometeam.com 
@kenia@coryhometeam.com 
5.22 CI sent to Escrow.
Assigned to isabel@coryhometeam.com</x18tc:text>
    <x18tc:mentions>
      <x18tc:mention mentionpersonId="{7d00647f-be2a-4639-a5f7-08a67118a5cf}" mentionId="{00cc59ea-ab19-4ccd-b383-2c9919aa3bea}" startIndex="33" length="24"/>
      <x18tc:mention mentionpersonId="{c2b0de28-3b31-4aa3-82a3-f8aba187b3e9}" mentionId="{090b71e3-f63b-4e3a-894a-462ddc20336f}" startIndex="59" length="23"/>
    </x18tc:mentions>
  </x18tc:threadedComment>
  <x18tc:threadedComment ref="A1" dT="2025-11-19T00:13:06.00" personId="{d4b03686-3bed-491a-bd12-3b942153f8f5}" id="{748a4d0e-d6ed-499c-b11f-674fe25db861}" done="0">
    <x18tc:text xml:space="preserve">RONDO STREET @isabel@coryhometeam.com VERIFIED
Assigned to isabel@coryhometeam.com</x18tc:text>
    <x18tc:mentions>
      <x18tc:mention mentionpersonId="{7d00647f-be2a-4639-a5f7-08a67118a5cf}" mentionId="{8896ce47-76ac-4674-91b8-399505e43bd0}" startIndex="13" length="24"/>
    </x18tc:mentions>
  </x18tc:threadedComment>
  <x18tc:threadedComment ref="A1" dT="2025-07-10T17:15:38.00" personId="{686b49bf-83f4-411b-b0f1-f0e341680f5a}" id="{77c51142-ac00-45b2-88d3-a9aa496e175c}" done="0">
    <x18tc:text xml:space="preserve">@kenia@coryhometeam.com Do you know if this one is moving forward? The DB folder has a HFL signed in June and I didn't see a RLA in DocuSign.
Assigned to kenia@coryhometeam.com</x18tc:text>
    <x18tc:mentions>
      <x18tc:mention mentionpersonId="{c2b0de28-3b31-4aa3-82a3-f8aba187b3e9}" mentionId="{c01b7328-67bc-47b2-a59a-9c630d6b877f}" startIndex="0" length="23"/>
    </x18tc:mentions>
  </x18tc:threadedComment>
  <x18tc:threadedComment ref="A1" dT="2025-07-10T17:52:51.00" personId="{283cbab7-8785-4d8a-9d80-ae85deef9da8}" id="{2fe2cba9-8a4e-4f91-9772-a8e98f98d387}" parentId="{77c51142-ac00-45b2-88d3-a9aa496e175c}">
    <x18tc:text xml:space="preserve">seller stopped communicating as of 6/16 I moved it to Cancelled tab</x18tc:text>
  </x18tc:threadedComment>
  <x18tc:threadedComment ref="A1" dT="2025-08-04T21:45:21.00" personId="{91ddd612-48c2-41c6-a628-68f42b3a1fa2}" id="{f6a7a185-b0d1-447a-b2fd-e960f5987da2}" done="0">
    <x18tc:text xml:space="preserve">566 Ebbtide Cir
8.4 COE extended to to 8.6.</x18tc:text>
  </x18tc:threadedComment>
  <x18tc:threadedComment ref="A1" dT="2025-01-21T17:29:04.00" personId="{91ddd612-48c2-41c6-a628-68f42b3a1fa2}" id="{8d798f3b-69cd-4a1d-bf70-0b5ffee7ad01}" done="0">
    <x18tc:text xml:space="preserve">AM verified.
@isabel@coryhometeam.com 
@kenia@coryhometeam.com 
1.21 CI sent to Escrow.
Assigned to isabel@coryhometeam.com</x18tc:text>
    <x18tc:mentions>
      <x18tc:mention mentionpersonId="{7d00647f-be2a-4639-a5f7-08a67118a5cf}" mentionId="{10a00028-29c7-4afe-93df-d86ea7f9dd09}" startIndex="13" length="24"/>
      <x18tc:mention mentionpersonId="{c2b0de28-3b31-4aa3-82a3-f8aba187b3e9}" mentionId="{c62aa4cb-daf2-49af-8030-fc00a6cd8e46}" startIndex="39" length="23"/>
    </x18tc:mentions>
  </x18tc:threadedComment>
  <x18tc:threadedComment ref="A1" dT="2025-03-03T21:56:34.00" personId="{283cbab7-8785-4d8a-9d80-ae85deef9da8}" id="{0336dbf6-ed50-46fc-b839-34ac758946f7}" done="0">
    <x18tc:text xml:space="preserve">Rachele Lacey
12:11 PM (1 hour ago)
to me, Melissa
Yes
Rachele Lacey
REALTOR
Blake Cory Home Selling Team
Check Our Reviews on Zillow
Call me today at (619) 559-6176
https://rachele.searchcaliforniahomes.net/
DRE# 02223207
Broker: eXp Realty of California Inc. DRE#01878277
On Mon, Mar 3, 2025 at 11:30 AM Kenia Bautista &lt;kenia@coryhometeam.com&gt; wrote:
Hi Rachele, ok noted $2,900.00 Correct? 
On Mon, Mar 3, 2025 at 11:23 AM Rachele Lacey &lt;rachele@coryhometeam.com&gt; wrote:
Mel approves the adjustment in commission!
Rachele Lacey
REALTOR
Blake Cory Home Selling Team
Check Our Reviews on Zillow
Call me today at (619) 559-6176
https://rachele.searchcaliforniahomes.net/
DRE# 02223207
Broker: eXp Realty of California Inc. DRE#01878277
On Fri, Feb 28, 2025 at 6:26 PM Kenia Bautista &lt;kenia@coryhometeam.com&gt; wrote:
Rachele, was this Mel approved? 
We are required to provide an eXp Commission reduction form but I need Mel's approval so I can get that out for signatures. 
I believe the commission reduction amount is $2,900.00 Correct?</x18tc:text>
    <x18tc:extLst>
      <ext uri="{F7C98A9C-CBB3-438F-8F68-D28B6AF4A901}">
        <xltc2:checksum/>
        <xltc2:hyperlink startIndex="172" length="42" url="https://rachele.searchcaliforniahomes.net/"/>
        <xltc2:hyperlink startIndex="645" length="42" url="https://rachele.searchcaliforniahomes.net/"/>
      </ext>
    </x18tc:extLst>
  </x18tc:threadedComment>
  <x18tc:threadedComment ref="A1" dT="2025-03-04T00:08:17.00" personId="{91ddd612-48c2-41c6-a628-68f42b3a1fa2}" id="{ed02bcf7-c26f-434a-85bf-794f3c3fb25b}" done="0">
    <x18tc:text xml:space="preserve">3.3 Per Kenia: Hi Monica, I have a request for a Revised CDA for commission from 2.5% to 2% from Rachele's Commission.</x18tc:text>
  </x18tc:threadedComment>
  <x18tc:threadedComment ref="A1" dT="2025-03-19T16:51:08.00" personId="{d4b03686-3bed-491a-bd12-3b942153f8f5}" id="{c26302cb-55e8-487c-a76f-39f4b78e4d85}" done="0">
    <x18tc:text xml:space="preserve">CORTE CABRERA @isabel@coryhometeam.com VERIFIED
Assigned to isabel@coryhometeam.com</x18tc:text>
    <x18tc:mentions>
      <x18tc:mention mentionpersonId="{7d00647f-be2a-4639-a5f7-08a67118a5cf}" mentionId="{3abee7fb-8c66-43aa-a849-8bb583629a47}" startIndex="14" length="24"/>
    </x18tc:mentions>
  </x18tc:threadedComment>
  <x18tc:threadedComment ref="A1" dT="2025-03-03T23:31:10.00" personId="{d4b03686-3bed-491a-bd12-3b942153f8f5}" id="{485763af-dbc5-4405-9a64-4f583a9a7d4a}" done="0">
    <x18tc:text xml:space="preserve">ANASAZI DR @isabel@coryhometeam.com VERIFIED
Assigned to isabel@coryhometeam.com</x18tc:text>
    <x18tc:mentions>
      <x18tc:mention mentionpersonId="{7d00647f-be2a-4639-a5f7-08a67118a5cf}" mentionId="{809cde26-c214-48b7-be3e-9d73657dba2e}" startIndex="11" length="24"/>
    </x18tc:mentions>
  </x18tc:threadedComment>
  <x18tc:threadedComment ref="A1" dT="2025-05-19T20:32:22.00" personId="{283cbab7-8785-4d8a-9d80-ae85deef9da8}" id="{dd5bf87f-e455-4438-a4e8-b2cff10bb181}" done="0">
    <x18tc:text xml:space="preserve">Sign was ordered. Sunset Setters went out, but Seller refused to allow a sign up. They threatened w a weapon.</x18tc:text>
  </x18tc:threadedComment>
  <x18tc:threadedComment ref="A1" dT="2025-03-19T17:28:44.00" personId="{686b49bf-83f4-411b-b0f1-f0e341680f5a}" id="{03f6ff10-f5fa-413d-b075-4f76b79b488e}" done="0">
    <x18tc:text xml:space="preserve">Update from New Build Team; COE has been extended to 03/31/25</x18tc:text>
  </x18tc:threadedComment>
  <x18tc:threadedComment ref="A1" dT="2025-04-01T01:39:33.00" personId="{686b49bf-83f4-411b-b0f1-f0e341680f5a}" id="{f9e95259-cce7-4c11-97ba-2d20e0d5f493}" parentId="{03f6ff10-f5fa-413d-b075-4f76b79b488e}">
    <x18tc:text xml:space="preserve">Lender update advising COE has been pushed to 04/04/25</x18tc:text>
  </x18tc:threadedComment>
  <x18tc:threadedComment ref="A1" dT="2025-05-19T17:11:43.00" personId="{c7fad490-24e0-4859-bb84-4307c52d4768}" id="{b72ef4bb-ac2d-4979-8dab-3819cf301b12}" done="0">
    <x18tc:text xml:space="preserve">@alexis@coryhometeam.com We received the $595 per final check. Please confirm if this needs to be corrected, or if $595 needs to be returned to escrow/buyer. Thanks</x18tc:text>
    <x18tc:mentions>
      <x18tc:mention mentionpersonId="{e0ede1ef-7aee-4904-9f47-62fb26fea2cd}" mentionId="{6b3bae04-d6df-4a9d-ad68-7e8d4b168811}" startIndex="0" length="24"/>
    </x18tc:mentions>
  </x18tc:threadedComment>
  <x18tc:threadedComment ref="A1" dT="2025-05-19T19:49:29.00" personId="{686b49bf-83f4-411b-b0f1-f0e341680f5a}" id="{b3ca8620-c76c-4ad1-8dfe-0062c86d15a0}" parentId="{b72ef4bb-ac2d-4979-8dab-3819cf301b12}">
    <x18tc:text xml:space="preserve">@isabel@coryhometeam.com This is a VA Loan. It was collected in error.</x18tc:text>
    <x18tc:mentions>
      <x18tc:mention mentionpersonId="{7d00647f-be2a-4639-a5f7-08a67118a5cf}" mentionId="{a76719ae-27e3-4888-a8d9-f256cffc3973}" startIndex="0" length="24"/>
    </x18tc:mentions>
  </x18tc:threadedComment>
  <x18tc:threadedComment ref="A1" dT="2025-03-03T22:53:17.00" personId="{d4b03686-3bed-491a-bd12-3b942153f8f5}" id="{41714db9-6930-44d0-b1da-22d42a90d7b4}" done="0">
    <x18tc:text xml:space="preserve">BASALT WAY @isabel@coryhometeam.com VERIFIED
Assigned to isabel@coryhometeam.com</x18tc:text>
    <x18tc:mentions>
      <x18tc:mention mentionpersonId="{7d00647f-be2a-4639-a5f7-08a67118a5cf}" mentionId="{96854432-57f0-44e2-9a5b-d13c2f229c75}" startIndex="11" length="24"/>
    </x18tc:mentions>
  </x18tc:threadedComment>
  <x18tc:threadedComment ref="A1" dT="2025-03-19T11:16:17.00" personId="{91ddd612-48c2-41c6-a628-68f42b3a1fa2}" id="{51a45d58-22cb-4f45-9ae2-4bc9579c67ed}" done="0">
    <x18tc:text xml:space="preserve">AM verified.
@isabel@coryhometeam.com 
@kenia@coryhometeam.com 
3.19 CI sent to Escrow.
Assigned to isabel@coryhometeam.com</x18tc:text>
    <x18tc:mentions>
      <x18tc:mention mentionpersonId="{7d00647f-be2a-4639-a5f7-08a67118a5cf}" mentionId="{2914d90f-ce92-47ed-856c-d57a50fed7e2}" startIndex="13" length="24"/>
      <x18tc:mention mentionpersonId="{c2b0de28-3b31-4aa3-82a3-f8aba187b3e9}" mentionId="{f895cab4-3e8b-4891-8516-86e9c97c3f89}" startIndex="39" length="23"/>
    </x18tc:mentions>
  </x18tc:threadedComment>
  <x18tc:threadedComment ref="A1" dT="2025-03-19T21:02:39.00" personId="{d4b03686-3bed-491a-bd12-3b942153f8f5}" id="{97e62f1c-23ab-4470-a950-5cc4a1e1aa32}" done="0">
    <x18tc:text xml:space="preserve">ARBORGLENN DR @isabel@coryhometeam.com VERIFIED
Assigned to isabel@coryhometeam.com</x18tc:text>
    <x18tc:mentions>
      <x18tc:mention mentionpersonId="{7d00647f-be2a-4639-a5f7-08a67118a5cf}" mentionId="{f09fcb1a-7d6e-41ee-aa75-aec6869b739a}" startIndex="14" length="24"/>
    </x18tc:mentions>
  </x18tc:threadedComment>
  <x18tc:threadedComment ref="A1" dT="2026-04-02T23:29:44.00" personId="{d4b03686-3bed-491a-bd12-3b942153f8f5}" id="{fb0f37d7-9565-437c-8f90-a93ba2806aa0}" done="0">
    <x18tc:text xml:space="preserve">S RIVERSIDE @isabel@coryhometeam.com
VERIFIED
Assigned to isabel@coryhometeam.com</x18tc:text>
    <x18tc:mentions>
      <x18tc:mention mentionpersonId="{7d00647f-be2a-4639-a5f7-08a67118a5cf}" mentionId="{86e739ca-3995-4e11-8302-4142c12ad54d}" startIndex="12" length="24"/>
    </x18tc:mentions>
  </x18tc:threadedComment>
  <x18tc:threadedComment ref="A1" dT="2025-09-02T18:31:19.00" personId="{91ddd612-48c2-41c6-a628-68f42b3a1fa2}" id="{88a61d56-b9ef-4f80-9d17-96c749b02e9c}" done="0">
    <x18tc:text xml:space="preserve">3663 Buchanan St #154
AM verified.
@isabel@coryhometeam.com
@kenia@coryhometeam.com
9.2 CI sent to Escrow.
Assigned to isabel@coryhometeam.com</x18tc:text>
    <x18tc:mentions>
      <x18tc:mention mentionpersonId="{7d00647f-be2a-4639-a5f7-08a67118a5cf}" mentionId="{4d9408e3-f4a7-4436-a818-a48f2acefef0}" startIndex="35" length="24"/>
      <x18tc:mention mentionpersonId="{c2b0de28-3b31-4aa3-82a3-f8aba187b3e9}" mentionId="{ff0d7f99-c986-4728-be06-5a591e9eb421}" startIndex="60" length="23"/>
    </x18tc:mentions>
  </x18tc:threadedComment>
  <x18tc:threadedComment ref="A1" dT="2025-01-02T04:51:46.00" personId="{bd81d93e-be55-44dd-b62e-6a2b19efdd84}" id="{e3dacdc8-5261-4ab4-a21e-7e1381bcafae}" done="0">
    <x18tc:text xml:space="preserve">@rafael@coryhometeam.com 
11.20 Price reduction from 109K to 97K per ADM2.
Assigned to rafael@coryhometeam.com</x18tc:text>
    <x18tc:mentions>
      <x18tc:mention mentionpersonId="{9bdf134a-8804-4ab3-a81d-c648bae0f1b8}" mentionId="{af7e63bb-862c-4866-a0ad-9cfbf8849f9a}" startIndex="0" length="24"/>
    </x18tc:mentions>
  </x18tc:threadedComment>
  <x18tc:threadedComment ref="A1" dT="2025-01-16T16:59:01.00" personId="{91ddd612-48c2-41c6-a628-68f42b3a1fa2}" id="{cce4377c-38c9-4d3b-8396-2ac0215e78fd}" parentId="{e3dacdc8-5261-4ab4-a21e-7e1381bcafae}">
    <x18tc:text xml:space="preserve">1.16 Price changed to $550,500 per ADM2.</x18tc:text>
  </x18tc:threadedComment>
  <x18tc:threadedComment ref="A1" dT="2025-01-02T04:50:47.00" personId="{bd81d93e-be55-44dd-b62e-6a2b19efdd84}" id="{bfaa4ad9-94f7-4814-8fba-5905ed865f20}" done="0">
    <x18tc:text xml:space="preserve">@rafael@coryhometeam.com 
12.18 Price reduced per AEA2.
Assigned to rafael@coryhometeam.com</x18tc:text>
    <x18tc:mentions>
      <x18tc:mention mentionpersonId="{9bdf134a-8804-4ab3-a81d-c648bae0f1b8}" mentionId="{9c20caa3-5ac2-4953-ab42-85714cb5fdcb}" startIndex="0" length="24"/>
    </x18tc:mentions>
  </x18tc:threadedComment>
  <x18tc:threadedComment ref="A1" dT="2025-01-02T04:43:05.00" personId="{bd81d93e-be55-44dd-b62e-6a2b19efdd84}" id="{7fbf7b9d-c3a9-45be-aa9c-ce6ba29ad36f}" done="0">
    <x18tc:text xml:space="preserve">12.12 flex seller- open door @isabel@coryhometeam.com
Assigned to isabel@coryhometeam.com</x18tc:text>
    <x18tc:mentions>
      <x18tc:mention mentionpersonId="{7d00647f-be2a-4639-a5f7-08a67118a5cf}" mentionId="{7693b7ea-6974-41e0-b66c-12bf53b934ff}" startIndex="29" length="24"/>
    </x18tc:mentions>
  </x18tc:threadedComment>
  <x18tc:threadedComment ref="A1" dT="2025-09-09T23:55:32.00" personId="{d4b03686-3bed-491a-bd12-3b942153f8f5}" id="{b69817d6-2f8e-42b2-8eaa-4753d5f03696}" done="0">
    <x18tc:text xml:space="preserve">GOLDEN FIELD COURT @isabel@coryhometeam.com VERIFIED
Assigned to isabel@coryhometeam.com</x18tc:text>
    <x18tc:mentions>
      <x18tc:mention mentionpersonId="{7d00647f-be2a-4639-a5f7-08a67118a5cf}" mentionId="{78cd7a61-c409-4fbf-90dc-02c8e9cd2940}" startIndex="19" length="24"/>
    </x18tc:mentions>
  </x18tc:threadedComment>
  <x18tc:threadedComment ref="A1" dT="2025-10-29T22:26:48.00" personId="{e9fc873c-1c43-4e02-b893-c88033c9c8f6}" id="{fb176d8d-4ab9-453b-93ea-2792c50cfb74}" done="0">
    <x18tc:text xml:space="preserve">per TC Seller is paying</x18tc:text>
  </x18tc:threadedComment>
  <x18tc:threadedComment ref="A1" dT="2025-01-02T05:27:49.00" personId="{bd81d93e-be55-44dd-b62e-6a2b19efdd84}" id="{5f778d8c-56fc-4c98-a4ad-91624cae386a}" done="0">
    <x18tc:text xml:space="preserve">@alexis@coryhometeam.com 
12.30 Per Richard these internal splits for Corte Zamora are not 2.0% to each agent - pending direction/approval from Mel.
Assigned to alexis@coryhometeam.com</x18tc:text>
    <x18tc:mentions>
      <x18tc:mention mentionpersonId="{e0ede1ef-7aee-4904-9f47-62fb26fea2cd}" mentionId="{b960e85a-127e-4835-bff5-7b3786b5d548}" startIndex="0" length="24"/>
    </x18tc:mentions>
  </x18tc:threadedComment>
  <x18tc:threadedComment ref="A1" dT="2025-01-02T05:02:17.00" personId="{bd81d93e-be55-44dd-b62e-6a2b19efdd84}" id="{6a3059ba-8ef0-4cb8-9dff-f18e9eaba9ca}" done="0">
    <x18tc:text xml:space="preserve">@jamesa@coryhometeam.com 
12.18 $100.00
Assigned to jamesa@coryhometeam.com</x18tc:text>
    <x18tc:mentions>
      <x18tc:mention mentionpersonId="{2e62d27e-283c-4022-9a11-29871798bb74}" mentionId="{1907782e-388c-4493-be0a-854369fff011}" startIndex="0" length="24"/>
    </x18tc:mentions>
  </x18tc:threadedComment>
  <x18tc:threadedComment ref="A1" dT="2025-01-27T12:18:11.00" personId="{c7fad490-24e0-4859-bb84-4307c52d4768}" id="{d757ebe3-8722-4a62-b63a-f762cc8ab717}" done="1">
    <x18tc:text xml:space="preserve">@alexis@coryhometeam.com Is this waived? Final check and FSS has no $695 credit/collection</x18tc:text>
    <x18tc:mentions>
      <x18tc:mention mentionpersonId="{e0ede1ef-7aee-4904-9f47-62fb26fea2cd}" mentionId="{e7a6ec68-d438-4bff-8841-225e6730ddc4}" startIndex="0" length="24"/>
    </x18tc:mentions>
  </x18tc:threadedComment>
  <x18tc:threadedComment ref="A1" dT="2025-01-27T16:48:14.00" personId="{686b49bf-83f4-411b-b0f1-f0e341680f5a}" id="{0890a818-6888-4e0c-9358-6fc06e8e183d}" parentId="{d757ebe3-8722-4a62-b63a-f762cc8ab717}">
    <x18tc:text xml:space="preserve">This is waived with approval from Kiona.
Marked as resolved</x18tc:text>
  </x18tc:threadedComment>
  <x18tc:threadedComment ref="A1" dT="2025-01-02T05:01:33.00" personId="{bd81d93e-be55-44dd-b62e-6a2b19efdd84}" id="{faca8c53-7ab3-4109-906e-4820eb77f495}" done="0">
    <x18tc:text xml:space="preserve">@jamesa@coryhometeam.com 
12.6 2% from the Seller 1% from the Buyer.
Assigned to jamesa@coryhometeam.com</x18tc:text>
    <x18tc:mentions>
      <x18tc:mention mentionpersonId="{2e62d27e-283c-4022-9a11-29871798bb74}" mentionId="{66c96bad-61cd-4dfa-8592-11d9ff99d3c7}" startIndex="0" length="24"/>
    </x18tc:mentions>
  </x18tc:threadedComment>
  <x18tc:threadedComment ref="A1" dT="2025-01-10T20:11:07.00" personId="{c7fad490-24e0-4859-bb84-4307c52d4768}" id="{58a82871-2c75-4655-b0eb-6ee04a0d11bc}" parentId="{faca8c53-7ab3-4109-906e-4820eb77f495}">
    <x18tc:text xml:space="preserve">final check is only at 2% - Seller (no 1% from buyer)</x18tc:text>
  </x18tc:threadedComment>
  <x18tc:threadedComment ref="A1" dT="2025-01-02T04:18:21.00" personId="{bd81d93e-be55-44dd-b62e-6a2b19efdd84}" id="{9c4d7970-51a0-4bdd-ac8f-ed1ada337df3}" done="0">
    <x18tc:text xml:space="preserve">@rafael@coryhometeam.com 
9.30 Per agent closing is end of Feb 2025.
Assigned to rafael@coryhometeam.com</x18tc:text>
    <x18tc:mentions>
      <x18tc:mention mentionpersonId="{9bdf134a-8804-4ab3-a81d-c648bae0f1b8}" mentionId="{910de8ca-06fb-4077-a258-24b2c6dbfb9e}" startIndex="0" length="24"/>
    </x18tc:mentions>
  </x18tc:threadedComment>
  <x18tc:threadedComment ref="A1" dT="2025-01-02T03:03:26.00" personId="{bd81d93e-be55-44dd-b62e-6a2b19efdd84}" id="{e3851954-bef0-4697-b2b2-b020906eb833}" done="0">
    <x18tc:text xml:space="preserve">By @rafael@coryhometeam.com 12.30 ADM to follow to correct acceptance date to 12.26.
Assigned to rafael@coryhometeam.com</x18tc:text>
    <x18tc:mentions>
      <x18tc:mention mentionpersonId="{9bdf134a-8804-4ab3-a81d-c648bae0f1b8}" mentionId="{cc84e05e-c15b-4fc9-b2e6-46e5a3669d52}" startIndex="3" length="24"/>
    </x18tc:mentions>
  </x18tc:threadedComment>
  <x18tc:threadedComment ref="A1" dT="2025-10-02T22:56:15.00" personId="{91ddd612-48c2-41c6-a628-68f42b3a1fa2}" id="{e5f8e561-3909-44ff-971a-ac600b0d52b2}" done="0">
    <x18tc:text xml:space="preserve">10.2 Commission is flat rate 1K.</x18tc:text>
  </x18tc:threadedComment>
  <x18tc:threadedComment ref="A1" dT="2025-01-02T03:00:45.00" personId="{bd81d93e-be55-44dd-b62e-6a2b19efdd84}" id="{8c12c825-79e4-4f01-8e83-d33450e727db}" done="0">
    <x18tc:text xml:space="preserve">By @rafael@coryhometeam.com 11/6 - Waived but to confirm with Blake per Kenia.
Assigned to rafael@coryhometeam.com</x18tc:text>
    <x18tc:mentions>
      <x18tc:mention mentionpersonId="{9bdf134a-8804-4ab3-a81d-c648bae0f1b8}" mentionId="{08c53f8e-a75f-404c-92c2-7bd28643df3a}" startIndex="3" length="24"/>
    </x18tc:mentions>
  </x18tc:threadedComment>
  <x18tc:threadedComment ref="A1" dT="2025-01-02T04:41:50.00" personId="{bd81d93e-be55-44dd-b62e-6a2b19efdd84}" id="{43f63ad2-ad7b-41c5-bb5c-eefe03e363e4}" done="0">
    <x18tc:text xml:space="preserve">@kenia@coryhometeam.com 
12.27 This is a Short sale. Pending Approval
Assigned to kenia@coryhometeam.com</x18tc:text>
    <x18tc:mentions>
      <x18tc:mention mentionpersonId="{c2b0de28-3b31-4aa3-82a3-f8aba187b3e9}" mentionId="{a65240cd-a3cc-402f-ba10-cea529053f5a}" startIndex="0" length="23"/>
    </x18tc:mentions>
  </x18tc:threadedComment>
  <x18tc:threadedComment ref="AT8" dT="2026-05-20T19:07:36.00" personId="{91ddd612-48c2-41c6-a628-68f42b3a1fa2}" id="{48ff2c17-7b71-4164-bc48-c32d345d53f5}" done="0">
    <x18tc:text xml:space="preserve">29757 Northshore St
AM verified.
@isabel@coryhometeam.com
@kenia@coryhometeam.com
5.20 CI sent to Escrow.
Assigned to isabel@coryhometeam.com</x18tc:text>
    <x18tc:mentions>
      <x18tc:mention mentionpersonId="{7d00647f-be2a-4639-a5f7-08a67118a5cf}" mentionId="{0aee917c-771d-4214-8680-047d07c1f68a}" startIndex="33" length="24"/>
      <x18tc:mention mentionpersonId="{c2b0de28-3b31-4aa3-82a3-f8aba187b3e9}" mentionId="{eb450762-21a8-423e-9709-46f992fc0efe}" startIndex="58" length="23"/>
    </x18tc:mentions>
  </x18tc:threadedComment>
  <x18tc:threadedComment ref="A1" dT="2025-03-05T16:15:51.00" personId="{686b49bf-83f4-411b-b0f1-f0e341680f5a}" id="{6ac7768a-145f-4ea5-898b-aa4d8adafbcf}" done="0">
    <x18tc:text xml:space="preserve">Seller requested extension to April 1st.</x18tc:text>
  </x18tc:threadedComment>
  <x18tc:threadedComment ref="A1" dT="2025-01-02T04:19:46.00" personId="{bd81d93e-be55-44dd-b62e-6a2b19efdd84}" id="{d030e89e-e74b-4979-9b82-5ccc1668a72b}" done="0">
    <x18tc:text xml:space="preserve">@alexis@coryhometeam.com 
12.20 Tax Clearance is still pending.
Assigned to alexis@coryhometeam.com</x18tc:text>
    <x18tc:mentions>
      <x18tc:mention mentionpersonId="{e0ede1ef-7aee-4904-9f47-62fb26fea2cd}" mentionId="{3ca840c4-37e6-47a4-9994-493ee9244a45}" startIndex="0" length="24"/>
    </x18tc:mentions>
  </x18tc:threadedComment>
  <x18tc:threadedComment ref="A1" dT="2025-06-09T12:24:14.00" personId="{91ddd612-48c2-41c6-a628-68f42b3a1fa2}" id="{9e9ab2d2-d9d3-433f-ae65-7d42ad01c5fa}" done="0">
    <x18tc:text xml:space="preserve">6.29 possession moved to 7.18 as per ADM2.</x18tc:text>
  </x18tc:threadedComment>
  <x18tc:threadedComment ref="A1" dT="2025-01-02T04:18:51.00" personId="{bd81d93e-be55-44dd-b62e-6a2b19efdd84}" id="{2b383d78-eba0-4140-99e4-5b4610923d51}" done="0">
    <x18tc:text xml:space="preserve">@rafael@coryhometeam.com 
12.20 Close of escrow to be 45 days after written short sale approval.
Assigned to rafael@coryhometeam.com</x18tc:text>
    <x18tc:mentions>
      <x18tc:mention mentionpersonId="{9bdf134a-8804-4ab3-a81d-c648bae0f1b8}" mentionId="{3abd3156-5dff-439b-a618-ee8f75375357}" startIndex="0" length="24"/>
    </x18tc:mentions>
  </x18tc:threadedComment>
  <x18tc:threadedComment ref="A1" dT="2025-01-02T04:19:14.00" personId="{bd81d93e-be55-44dd-b62e-6a2b19efdd84}" id="{554e8c30-6642-446d-8bcb-33f67b4d9b1a}" parentId="{2b383d78-eba0-4140-99e4-5b4610923d51}">
    <x18tc:text xml:space="preserve">@kenia@coryhometeam.com 
12.27 
RE: 1340 Roger St Lake Elsinore CA 92530 - REVISED CI Signed | Rosas &amp; Angeles
External
Inbox
Cynthia Bealer
2:50 PM (1 minute ago)
to me, Petra, Jenn
Hi kenia,
I haven’t received the shortsale approval yet and once I do, it will be 45 day escrow.
Thank you
Cynthia Bealer
Escrow Officer
1325 Corona Pointe Court Suite 103
Corona, CA. 92879
Phone: 951-229-0870
Fax: 951-496-4084
Reassigned to kenia@coryhometeam.com</x18tc:text>
    <x18tc:mentions>
      <x18tc:mention mentionpersonId="{c2b0de28-3b31-4aa3-82a3-f8aba187b3e9}" mentionId="{815919a3-e855-4e90-bbf9-18fed55b3d7f}" startIndex="0" length="23"/>
    </x18tc:mentions>
  </x18tc:threadedComment>
  <x18tc:threadedComment ref="A1" dT="2025-01-16T16:58:21.00" personId="{91ddd612-48c2-41c6-a628-68f42b3a1fa2}" id="{4b703309-26ff-4061-8836-becd43c5770b}" parentId="{2b383d78-eba0-4140-99e4-5b4610923d51}">
    <x18tc:text xml:space="preserve">1.16 New COE is 2.5 per ADM2.</x18tc:text>
  </x18tc:threadedComment>
  <x18tc:threadedComment ref="A1" dT="2025-10-02T17:18:39.00" personId="{d4b03686-3bed-491a-bd12-3b942153f8f5}" id="{d5dac387-6b19-40ad-a976-9a207ad837ed}" done="0">
    <x18tc:text xml:space="preserve">NORTHPOINTE ST @isabel@coryhometeam.com VERIFIED
Assigned to isabel@coryhometeam.com</x18tc:text>
    <x18tc:mentions>
      <x18tc:mention mentionpersonId="{7d00647f-be2a-4639-a5f7-08a67118a5cf}" mentionId="{2637f19c-7717-438f-b264-54ad140b4fd8}" startIndex="15" length="24"/>
    </x18tc:mentions>
  </x18tc:threadedComment>
  <x18tc:threadedComment ref="A1" dT="2025-08-20T22:49:12.00" personId="{91ddd612-48c2-41c6-a628-68f42b3a1fa2}" id="{38c91fbc-6f61-4efb-b523-30352607f178}" done="0">
    <x18tc:text xml:space="preserve">12650 Kingfisher Rd
8.20 Per ETA loan contingency or FULL moved to 8.22.</x18tc:text>
  </x18tc:threadedComment>
  <x18tc:threadedComment ref="A1" dT="2025-08-12T16:07:14.00" personId="{283cbab7-8785-4d8a-9d80-ae85deef9da8}" id="{2b66cb43-d025-43f4-b471-7327b89f3125}" done="0">
    <x18tc:text xml:space="preserve">@aileen@coryhometeam.com RLA signed 8/8 Please complete the initial tasks asap. Thank you
Assigned to aileen@coryhometeam.com</x18tc:text>
    <x18tc:mentions>
      <x18tc:mention mentionpersonId="{d84aad15-fe10-4ace-a111-49c543015ec6}" mentionId="{cefb96c8-7fdb-45ed-93d7-28940c02ea01}" startIndex="0" length="24"/>
    </x18tc:mentions>
  </x18tc:threadedComment>
  <x18tc:threadedComment ref="A1" dT="2025-03-14T23:25:16.00" personId="{686b49bf-83f4-411b-b0f1-f0e341680f5a}" id="{60c043ae-cf55-4265-ac57-9e2db9e52603}" done="0">
    <x18tc:text xml:space="preserve">Credit off the top for Buyer's Home Warranty Coverage to meet CHT minimum plan promised</x18tc:text>
  </x18tc:threadedComment>
  <x18tc:threadedComment ref="A1" dT="2025-10-02T17:18:34.00" personId="{d4b03686-3bed-491a-bd12-3b942153f8f5}" id="{2e2c9e46-579c-4285-a911-ce9bd9374a2e}" done="0">
    <x18tc:text xml:space="preserve">NORTHPOINTE ST @isabel@coryhometeam.com VERIFIED
Assigned to isabel@coryhometeam.com</x18tc:text>
    <x18tc:mentions>
      <x18tc:mention mentionpersonId="{7d00647f-be2a-4639-a5f7-08a67118a5cf}" mentionId="{33655558-5ead-4c9c-b8b2-2e85ebc84b9f}" startIndex="15" length="24"/>
    </x18tc:mentions>
  </x18tc:threadedComment>
  <x18tc:threadedComment ref="A1" dT="2025-07-18T20:02:36.00" personId="{c7fad490-24e0-4859-bb84-4307c52d4768}" id="{69bbe443-571a-4b9f-8cfd-d7b6ed0147c3}" done="1">
    <x18tc:text xml:space="preserve">@dana@coryhometeam.com REF-11927 Cliffrose splits in SS, ready for review/approval. Thank you!</x18tc:text>
    <x18tc:mentions>
      <x18tc:mention mentionpersonId="{97a5b354-94ec-4750-87c3-99cebe208b41}" mentionId="{9cb4e1b6-e609-4d48-8571-705f1f5c69fa}" startIndex="0" length="22"/>
    </x18tc:mentions>
  </x18tc:threadedComment>
  <x18tc:threadedComment ref="A1" dT="2025-08-20T23:00:45.00" personId="{283cbab7-8785-4d8a-9d80-ae85deef9da8}" id="{c65c1cc0-75f0-4ab7-b405-cccfe502524e}" done="0">
    <x18tc:text xml:space="preserve">Kendra Harlan
Attachments
Wed, Jul 23, 7:00 PM
to me
Hey! 
Can you send a response for this? We are saying no and offering buyer a $1k credit - $500 from my commission and $500 from buyer agent commission. 
Thank you!</x18tc:text>
  </x18tc:threadedComment>
  <x18tc:threadedComment ref="A1" dT="2025-07-29T23:57:28.00" personId="{686b49bf-83f4-411b-b0f1-f0e341680f5a}" id="{26bf6efd-66c3-44f7-9a0d-555919675540}" done="0">
    <x18tc:text xml:space="preserve">@dana@coryhometeam.com The COE is 07/16/25 - Final Closing Statement used to confirm this info.
Assigned to dana@coryhometeam.com</x18tc:text>
    <x18tc:mentions>
      <x18tc:mention mentionpersonId="{97a5b354-94ec-4750-87c3-99cebe208b41}" mentionId="{1cea70cf-666f-4dd2-a817-61f145a138ba}" startIndex="0" length="22"/>
    </x18tc:mentions>
  </x18tc:threadedComment>
  <x18tc:threadedComment ref="A1" dT="2025-06-09T12:23:49.00" personId="{91ddd612-48c2-41c6-a628-68f42b3a1fa2}" id="{8a6d4e67-bffd-4e3d-b0b3-55ae07de43db}" done="0">
    <x18tc:text xml:space="preserve">6.9 COE extended to 7.10 as per ADM2.</x18tc:text>
  </x18tc:threadedComment>
  <x18tc:threadedComment ref="A1" dT="2025-03-14T23:23:05.00" personId="{91ddd612-48c2-41c6-a628-68f42b3a1fa2}" id="{6a1f0086-691c-4ed7-a8e3-662fde5c6533}" done="0">
    <x18tc:text xml:space="preserve">AM verified.
@isabel@coryhometeam.com
@kenia@coryhometeam.com 
3.14 CI sent to Escrow.
Assigned to isabel@coryhometeam.com</x18tc:text>
    <x18tc:mentions>
      <x18tc:mention mentionpersonId="{7d00647f-be2a-4639-a5f7-08a67118a5cf}" mentionId="{215c1b7b-f33d-4e52-9b24-bd15fca5c89f}" startIndex="13" length="24"/>
      <x18tc:mention mentionpersonId="{c2b0de28-3b31-4aa3-82a3-f8aba187b3e9}" mentionId="{609457e9-1dd8-4ef1-b6d5-69a69fac4912}" startIndex="38" length="23"/>
    </x18tc:mentions>
  </x18tc:threadedComment>
  <x18tc:threadedComment ref="A1" dT="2025-01-21T16:26:08.00" personId="{91ddd612-48c2-41c6-a628-68f42b3a1fa2}" id="{b1c2d6a1-8037-4b1d-90f0-c74dc0113431}" done="0">
    <x18tc:text xml:space="preserve">AM verified.
@isabel@coryhometeam.com 
@kenia@coryhometeam.com 
1.21 CI sent to Escrow.
Assigned to isabel@coryhometeam.com</x18tc:text>
    <x18tc:mentions>
      <x18tc:mention mentionpersonId="{7d00647f-be2a-4639-a5f7-08a67118a5cf}" mentionId="{12f50a29-5114-42c5-8dfa-57ef747e0370}" startIndex="13" length="24"/>
      <x18tc:mention mentionpersonId="{c2b0de28-3b31-4aa3-82a3-f8aba187b3e9}" mentionId="{72100103-fb17-461a-bda1-94fefd0efba9}" startIndex="39" length="23"/>
    </x18tc:mentions>
  </x18tc:threadedComment>
  <x18tc:threadedComment ref="A1" dT="2025-08-12T16:09:13.00" personId="{283cbab7-8785-4d8a-9d80-ae85deef9da8}" id="{ef54a70e-adb7-4abc-b0e6-ca8ac1cf36f8}" done="0">
    <x18tc:text xml:space="preserve">@aileen@coryhometeam.com 
RLA signed 8/11 Please complete the initial tasks asap. Thank you
Assigned to aileen@coryhometeam.com</x18tc:text>
    <x18tc:mentions>
      <x18tc:mention mentionpersonId="{d84aad15-fe10-4ace-a111-49c543015ec6}" mentionId="{1e16a296-5b3b-4797-ba11-df63b47f1945}" startIndex="0" length="24"/>
    </x18tc:mentions>
  </x18tc:threadedComment>
  <x18tc:threadedComment ref="A1" dT="2025-03-14T18:54:19.00" personId="{d4b03686-3bed-491a-bd12-3b942153f8f5}" id="{a31d040e-053b-4e17-a54a-b7e9eb26bf3d}" done="0">
    <x18tc:text xml:space="preserve">CARRARA CT @isabel@coryhometeam.com VERIFIED
Assigned to isabel@coryhometeam.com</x18tc:text>
    <x18tc:mentions>
      <x18tc:mention mentionpersonId="{7d00647f-be2a-4639-a5f7-08a67118a5cf}" mentionId="{840777ce-5759-40b6-b330-671b4ce9f31c}" startIndex="11" length="24"/>
    </x18tc:mentions>
  </x18tc:threadedComment>
  <x18tc:threadedComment ref="A1" dT="2025-02-28T18:40:25.00" personId="{91ddd612-48c2-41c6-a628-68f42b3a1fa2}" id="{1eae4e18-7b31-409e-b34b-a0505e94196e}" done="0">
    <x18tc:text xml:space="preserve">2.28 Per RPA is MyNHD. An AEA will follow to correct it to FIRST AMERICAN.</x18tc:text>
  </x18tc:threadedComment>
  <x18tc:threadedComment ref="A1" dT="2025-09-02T04:50:01.00" personId="{2c0b40a3-d34a-4e30-997b-e7e5451e40bb}" id="{fa239c5b-35f7-4aee-9484-3d51ed451cc0}" done="1">
    <x18tc:text xml:space="preserve">@kenia@coryhometeam.com @rafael@coryhometeam.com Please confirm correct property address. Zillow PA shows transaction address is 44521 state HWY 74, #68, Hemet, CA 92545
Assigned to kenia@coryhometeam.com</x18tc:text>
    <x18tc:mentions>
      <x18tc:mention mentionpersonId="{c2b0de28-3b31-4aa3-82a3-f8aba187b3e9}" mentionId="{b417f1a4-7c9f-4fc7-b76c-86804482d070}" startIndex="0" length="23"/>
      <x18tc:mention mentionpersonId="{9bdf134a-8804-4ab3-a81d-c648bae0f1b8}" mentionId="{510175f1-f789-4170-ab6d-be713f1003aa}" startIndex="24" length="24"/>
    </x18tc:mentions>
  </x18tc:threadedComment>
  <x18tc:threadedComment ref="A1" dT="2025-09-02T18:22:48.00" personId="{91ddd612-48c2-41c6-a628-68f42b3a1fa2}" id="{ab3d3a19-38a3-4a7e-90f0-da788f2b83e7}" parentId="{fa239c5b-35f7-4aee-9484-3d51ed451cc0}">
    <x18tc:text xml:space="preserve">Hi Remy! As per MLS sheet the correct address is 45521 State Highway 74 #68 Hemet, CA 92544. The HWY is an abbreviation for Highway. Please let know if this helps. Thank you!</x18tc:text>
  </x18tc:threadedComment>
  <x18tc:threadedComment ref="A1" dT="2025-09-15T16:24:04.00" personId="{91ddd612-48c2-41c6-a628-68f42b3a1fa2}" id="{fb0b4edb-e77a-4d67-b1ba-6826b73f9987}" done="0">
    <x18tc:text xml:space="preserve">1455 S State St #282
9.15 Per ADM1 line #2 in SCO1 is 28 days or sooner.</x18tc:text>
  </x18tc:threadedComment>
  <x18tc:threadedComment ref="A1" dT="2025-05-13T18:03:31.00" personId="{91ddd612-48c2-41c6-a628-68f42b3a1fa2}" id="{abd58092-6671-4e63-a9c6-7546a204203c}" done="0">
    <x18tc:text xml:space="preserve">Rosie is 50/50 with Mario</x18tc:text>
  </x18tc:threadedComment>
  <x18tc:threadedComment ref="A1" dT="2025-06-27T18:50:59.00" personId="{e9fc873c-1c43-4e02-b893-c88033c9c8f6}" id="{1cac7045-b8c4-464c-9171-f4796dc1d474}" parentId="{abd58092-6671-4e63-a9c6-7546a204203c}">
    <x18tc:text xml:space="preserve">@isabel@coryhometeam.com just want to make sure you saw this note to split the commission</x18tc:text>
    <x18tc:mentions>
      <x18tc:mention mentionpersonId="{7d00647f-be2a-4639-a5f7-08a67118a5cf}" mentionId="{bf3e4e29-6ab6-4661-b2a6-b6661b0f546f}" startIndex="0" length="24"/>
    </x18tc:mentions>
  </x18tc:threadedComment>
  <x18tc:threadedComment ref="A1" dT="2025-05-01T23:29:18.00" personId="{91ddd612-48c2-41c6-a628-68f42b3a1fa2}" id="{20299f22-0139-471c-a42b-c5ff26c8bdb7}" done="0">
    <x18tc:text xml:space="preserve">5.1 ETA loan extended to 5.5</x18tc:text>
  </x18tc:threadedComment>
  <x18tc:threadedComment ref="A1" dT="2025-08-12T15:48:30.00" personId="{91ddd612-48c2-41c6-a628-68f42b3a1fa2}" id="{8842eb90-8862-41f8-9024-6c2017d266e7}" done="0">
    <x18tc:text xml:space="preserve">33340 Gisborne Way
AM verified.
@isabel@coryhometeam.com 
@kenia@coryhometeam.com 
8.12 CI sent to Escrow.
Assigned to isabel@coryhometeam.com</x18tc:text>
    <x18tc:mentions>
      <x18tc:mention mentionpersonId="{7d00647f-be2a-4639-a5f7-08a67118a5cf}" mentionId="{30d4ca51-2b3b-4bc6-95b5-026544e31c8e}" startIndex="32" length="24"/>
      <x18tc:mention mentionpersonId="{c2b0de28-3b31-4aa3-82a3-f8aba187b3e9}" mentionId="{2746ad39-86c3-4320-bd49-34cff2d33d98}" startIndex="58" length="23"/>
    </x18tc:mentions>
  </x18tc:threadedComment>
  <x18tc:threadedComment ref="A1" dT="2025-10-02T17:24:31.00" personId="{91ddd612-48c2-41c6-a628-68f42b3a1fa2}" id="{5ff35fab-9e5f-40ed-8505-0e49396a4b1b}" done="0">
    <x18tc:text xml:space="preserve">1380 W Florida Ave #22
AM verified.
@isabel@coryhometeam.com
@kenia@coryhometeam.com
10.2 CI sent to Escrow.
Assigned to isabel@coryhometeam.com</x18tc:text>
    <x18tc:mentions>
      <x18tc:mention mentionpersonId="{7d00647f-be2a-4639-a5f7-08a67118a5cf}" mentionId="{8d7d1234-4b98-439b-a37a-1a8a06f7ac38}" startIndex="36" length="24"/>
      <x18tc:mention mentionpersonId="{c2b0de28-3b31-4aa3-82a3-f8aba187b3e9}" mentionId="{78aa9775-09af-4155-a435-31c89d7e8e69}" startIndex="61" length="23"/>
    </x18tc:mentions>
  </x18tc:threadedComment>
  <x18tc:threadedComment ref="A1" dT="2025-08-20T22:48:19.00" personId="{91ddd612-48c2-41c6-a628-68f42b3a1fa2}" id="{c15ee938-925f-4061-a91f-658830a90e2b}" done="0">
    <x18tc:text xml:space="preserve">12650 Kingfisher Rd
8.20 New COE per ETA 8.29.</x18tc:text>
  </x18tc:threadedComment>
  <x18tc:threadedComment ref="A1" dT="2025-09-23T22:25:43.00" personId="{91ddd612-48c2-41c6-a628-68f42b3a1fa2}" id="{39633634-4b58-440c-8779-830eb6610324}" parentId="{c15ee938-925f-4061-a91f-658830a90e2b}">
    <x18tc:text xml:space="preserve">9.23 Per ETA2 new COE is 9.26</x18tc:text>
  </x18tc:threadedComment>
  <x18tc:threadedComment ref="A1" dT="2025-08-12T16:04:11.00" personId="{283cbab7-8785-4d8a-9d80-ae85deef9da8}" id="{dc70d6c5-a1bd-4066-a3bd-8a47f8b80072}" done="0">
    <x18tc:text xml:space="preserve">@aileen@coryhometeam.com RLA signed 8/4 Please complete the initial tasks asap. Thank you
Assigned to aileen@coryhometeam.com</x18tc:text>
    <x18tc:mentions>
      <x18tc:mention mentionpersonId="{d84aad15-fe10-4ace-a111-49c543015ec6}" mentionId="{f89bd14d-b9b8-4b87-be0b-922138157a28}" startIndex="0" length="24"/>
    </x18tc:mentions>
  </x18tc:threadedComment>
  <x18tc:threadedComment ref="A1" dT="2025-08-12T21:36:50.00" personId="{686b49bf-83f4-411b-b0f1-f0e341680f5a}" id="{3f858e8c-8b22-4a86-b168-59a55b24c99f}" done="0">
    <x18tc:text xml:space="preserve">Buyer's sales property will not close in FL until 08/21 which are the funds required to close this transaction.</x18tc:text>
  </x18tc:threadedComment>
  <x18tc:threadedComment ref="A1" dT="2025-04-14T18:03:13.00" personId="{91ddd612-48c2-41c6-a628-68f42b3a1fa2}" id="{247a0403-fb84-461b-a9ad-e24e3c323f6c}" done="0">
    <x18tc:text xml:space="preserve">AM verified.
@isabel@coryhometeam.com 
@kenia@coryhometeam.com 
4.14 CI sent to Escrow.
Assigned to isabel@coryhometeam.com</x18tc:text>
    <x18tc:mentions>
      <x18tc:mention mentionpersonId="{7d00647f-be2a-4639-a5f7-08a67118a5cf}" mentionId="{c0b8aa0e-8742-462c-8648-4c1def825027}" startIndex="13" length="24"/>
      <x18tc:mention mentionpersonId="{c2b0de28-3b31-4aa3-82a3-f8aba187b3e9}" mentionId="{dbfae297-0757-4022-8c3d-d0473900e27e}" startIndex="39" length="23"/>
    </x18tc:mentions>
  </x18tc:threadedComment>
  <x18tc:threadedComment ref="A1" dT="2025-04-28T19:02:32.00" personId="{d4b03686-3bed-491a-bd12-3b942153f8f5}" id="{29a2b3fd-b819-48d3-9b10-8087f66cbe5a}" done="0">
    <x18tc:text xml:space="preserve">DAFFODIL CIR @isabel@coryhometeam.com VERIFIED
Assigned to isabel@coryhometeam.com</x18tc:text>
    <x18tc:mentions>
      <x18tc:mention mentionpersonId="{7d00647f-be2a-4639-a5f7-08a67118a5cf}" mentionId="{7ad59ac1-7af7-4aa4-8d21-095a2282e780}" startIndex="13" length="24"/>
    </x18tc:mentions>
  </x18tc:threadedComment>
  <x18tc:threadedComment ref="A1" dT="2025-08-20T16:25:27.00" personId="{d4b03686-3bed-491a-bd12-3b942153f8f5}" id="{431c41a0-e38d-4323-8a38-81764a41356c}" done="0">
    <x18tc:text xml:space="preserve">TERRARAMA AVE @isabel@coryhometeam.com VERIFIED
Assigned to isabel@coryhometeam.com</x18tc:text>
    <x18tc:mentions>
      <x18tc:mention mentionpersonId="{7d00647f-be2a-4639-a5f7-08a67118a5cf}" mentionId="{6809a390-fd42-491b-80a0-187b91b8ab96}" startIndex="14" length="24"/>
    </x18tc:mentions>
  </x18tc:threadedComment>
  <x18tc:threadedComment ref="A1" dT="2025-01-02T05:39:44.00" personId="{bd81d93e-be55-44dd-b62e-6a2b19efdd84}" id="{04c4f60b-d5d1-4c4e-8e5d-b6280dc3af33}" done="0">
    <x18tc:text xml:space="preserve">@jamesa@coryhometeam.com 
12.4 POPPY FIELD CT @isabel@coryhometeam.com VERIFIED</x18tc:text>
    <x18tc:mentions>
      <x18tc:mention mentionpersonId="{2e62d27e-283c-4022-9a11-29871798bb74}" mentionId="{cc1eeb89-c9e9-426d-8b57-e21ad5414401}" startIndex="0" length="24"/>
      <x18tc:mention mentionpersonId="{7d00647f-be2a-4639-a5f7-08a67118a5cf}" mentionId="{71557d46-7806-49e2-a492-1f711c396c27}" startIndex="46" length="24"/>
    </x18tc:mentions>
  </x18tc:threadedComment>
  <x18tc:threadedComment ref="A1" dT="2025-08-12T14:48:00.00" personId="{91ddd612-48c2-41c6-a628-68f42b3a1fa2}" id="{252bb347-704b-4c39-b604-2d5d45d7c3aa}" done="0">
    <x18tc:text xml:space="preserve">This sale is contingent on the seller’s property (SPRP). No definite COE or contingency dates will be set until the SPRP is removed and park approval is obtained as per SCO1.</x18tc:text>
  </x18tc:threadedComment>
  <x18tc:threadedComment ref="A1" dT="2025-08-20T14:47:18.00" personId="{91ddd612-48c2-41c6-a628-68f42b3a1fa2}" id="{56e597ff-08d2-413e-84af-f4e1b4a7af79}" done="0">
    <x18tc:text xml:space="preserve">16473 Green Tree Blvd #34
AM verified.
@isabel@coryhometeam.com
@kenia@coryhometeam.com
8.20 CI sent to Escrow.
Assigned to isabel@coryhometeam.com</x18tc:text>
    <x18tc:mentions>
      <x18tc:mention mentionpersonId="{7d00647f-be2a-4639-a5f7-08a67118a5cf}" mentionId="{e6636f6a-0882-45aa-bbf8-152af332510b}" startIndex="39" length="24"/>
      <x18tc:mention mentionpersonId="{c2b0de28-3b31-4aa3-82a3-f8aba187b3e9}" mentionId="{3eb6a018-250d-4f5a-bad5-eccce6093380}" startIndex="64" length="23"/>
    </x18tc:mentions>
  </x18tc:threadedComment>
  <x18tc:threadedComment ref="A1" dT="2025-08-12T14:50:53.00" personId="{91ddd612-48c2-41c6-a628-68f42b3a1fa2}" id="{5af0e2dd-f427-46fe-8913-2a406b8ebfb3}" done="0">
    <x18tc:text xml:space="preserve">Please see comment on tab 67 A.</x18tc:text>
  </x18tc:threadedComment>
  <x18tc:threadedComment ref="A1" dT="2025-08-20T14:49:59.00" personId="{91ddd612-48c2-41c6-a628-68f42b3a1fa2}" id="{394e9f28-6c40-4d13-a119-3c20b39ae5b4}" done="0">
    <x18tc:text xml:space="preserve">32314 Penstemon Way
AM verified.
@isabel@coryhometeam.com
@kenia@coryhometeam.com
8.20 CI sent to Escrow.
Assigned to isabel@coryhometeam.com</x18tc:text>
    <x18tc:mentions>
      <x18tc:mention mentionpersonId="{7d00647f-be2a-4639-a5f7-08a67118a5cf}" mentionId="{0718dd7c-ef79-41d8-92b7-a76f3a7f8a15}" startIndex="33" length="24"/>
      <x18tc:mention mentionpersonId="{c2b0de28-3b31-4aa3-82a3-f8aba187b3e9}" mentionId="{785e504a-5c90-45f4-bc4b-6d91b0a5f1e9}" startIndex="58" length="23"/>
    </x18tc:mentions>
  </x18tc:threadedComment>
  <x18tc:threadedComment ref="A1" dT="2025-08-12T14:51:53.00" personId="{91ddd612-48c2-41c6-a628-68f42b3a1fa2}" id="{f90e7227-2f46-4015-b7cc-cd9c9fd78258}" done="0">
    <x18tc:text xml:space="preserve">Please see comment on tab 67 A.</x18tc:text>
  </x18tc:threadedComment>
  <x18tc:threadedComment ref="A1" dT="2025-04-14T18:13:20.00" personId="{d4b03686-3bed-491a-bd12-3b942153f8f5}" id="{ae462318-b430-4aa1-b6ed-92e9b71955c7}" done="0">
    <x18tc:text xml:space="preserve">PONTO DR @isabel@coryhometeam.com VERIFIED
Assigned to isabel@coryhometeam.com</x18tc:text>
    <x18tc:mentions>
      <x18tc:mention mentionpersonId="{7d00647f-be2a-4639-a5f7-08a67118a5cf}" mentionId="{661a4983-40f2-4976-be01-66ac46391e73}" startIndex="9" length="24"/>
    </x18tc:mentions>
  </x18tc:threadedComment>
  <x18tc:threadedComment ref="A1" dT="2025-10-24T18:09:32.00" personId="{e9fc873c-1c43-4e02-b893-c88033c9c8f6}" id="{f1b8f9b0-110f-4afe-9326-88ff65fdd5b5}" done="0">
    <x18tc:text xml:space="preserve">@isabel@coryhometeam.com Listing RLA dated 10/2- new splits
Assigned to isabel@coryhometeam.com</x18tc:text>
    <x18tc:mentions>
      <x18tc:mention mentionpersonId="{7d00647f-be2a-4639-a5f7-08a67118a5cf}" mentionId="{cfb37584-e315-496f-a154-9cf4b2c34019}" startIndex="0" length="24"/>
    </x18tc:mentions>
  </x18tc:threadedComment>
  <x18tc:threadedComment ref="A1" dT="2026-04-28T06:43:56.00" personId="{91ddd612-48c2-41c6-a628-68f42b3a1fa2}" id="{865a793e-1b6e-4c68-8944-6f5a5ecff26a}" done="0">
    <x18tc:text xml:space="preserve">4.27 Araceli removed from the transaction.</x18tc:text>
  </x18tc:threadedComment>
  <x18tc:threadedComment ref="A1" dT="2025-10-24T18:41:26.00" personId="{e9fc873c-1c43-4e02-b893-c88033c9c8f6}" id="{ae3c503f-a006-4bd7-abae-ae2ef3b4690c}" done="0">
    <x18tc:text xml:space="preserve">This file was originally 2981 Orchard Glen, the sales office made a mistake and paid us for 2981 orchard which was a different client/agent. we refunded the commission, and was repaid on 10/16 for the correct file 2921 Orchard Glen. Same commission amounts. Informing Zillow of the changes, and verifying there is no overpayments to zillow due to the 2 closings.</x18tc:text>
  </x18tc:threadedComment>
  <x18tc:threadedComment ref="A1" dT="2025-03-13T18:17:45.00" personId="{91ddd612-48c2-41c6-a628-68f42b3a1fa2}" id="{ea9cee1e-1080-4df1-9eb7-db4f2b968129}" done="0">
    <x18tc:text xml:space="preserve">AM verified.
@isabel@coryhometeam.com 
@kenia@coryhometeam.com 
3.13 CI sent to Escrow.
Assigned to isabel@coryhometeam.com</x18tc:text>
    <x18tc:mentions>
      <x18tc:mention mentionpersonId="{7d00647f-be2a-4639-a5f7-08a67118a5cf}" mentionId="{15dd25c8-6a72-47ff-aee0-d94125750f8a}" startIndex="13" length="24"/>
      <x18tc:mention mentionpersonId="{c2b0de28-3b31-4aa3-82a3-f8aba187b3e9}" mentionId="{f3fb18f1-92f9-4d57-886d-cea3b8c4335b}" startIndex="39" length="23"/>
    </x18tc:mentions>
  </x18tc:threadedComment>
  <x18tc:threadedComment ref="A1" dT="2025-02-05T20:54:31.00" personId="{70ef93c1-8205-4a4b-b2d2-ae0f451d890c}" id="{5be3087e-1978-47c4-87db-36ff04a9b657}" done="0">
    <x18tc:text xml:space="preserve">Reservation 2/7-2/9</x18tc:text>
  </x18tc:threadedComment>
  <x18tc:threadedComment ref="A1" dT="2025-02-05T23:55:24.00" personId="{70ef93c1-8205-4a4b-b2d2-ae0f451d890c}" id="{9bcfb93e-d567-4a11-a6b7-66ba91bfa319}" done="0">
    <x18tc:text xml:space="preserve">Reservation 4/18/25</x18tc:text>
  </x18tc:threadedComment>
  <x18tc:threadedComment ref="A1" dT="2025-02-05T21:01:52.00" personId="{70ef93c1-8205-4a4b-b2d2-ae0f451d890c}" id="{4473638a-13b1-4198-ab18-db74195570eb}" done="0">
    <x18tc:text xml:space="preserve">9th reservation</x18tc:text>
  </x18tc:threadedComment>
  <x18tc:threadedComment ref="A1" dT="2025-07-21T17:49:44.00" personId="{91ddd612-48c2-41c6-a628-68f42b3a1fa2}" id="{ceb80ee5-37da-4935-bbb1-cdcec76fa65b}" done="0">
    <x18tc:text xml:space="preserve">1812 Olive Green St # 1
AM verified.
@isabel@coryhometeam.com 
@kenia@coryhometeam.com 
7.21 CI sent to Escrow.
Assigned to isabel@coryhometeam.com</x18tc:text>
    <x18tc:mentions>
      <x18tc:mention mentionpersonId="{7d00647f-be2a-4639-a5f7-08a67118a5cf}" mentionId="{b82a2bfc-9ced-4b7d-91ef-ea973c52f27c}" startIndex="37" length="24"/>
      <x18tc:mention mentionpersonId="{c2b0de28-3b31-4aa3-82a3-f8aba187b3e9}" mentionId="{8dde360e-bd30-4fcb-b8e8-658ff9a9284e}" startIndex="63" length="23"/>
    </x18tc:mentions>
  </x18tc:threadedComment>
  <x18tc:threadedComment ref="A1" dT="2025-02-05T20:53:22.00" personId="{70ef93c1-8205-4a4b-b2d2-ae0f451d890c}" id="{91461510-975e-4b95-ba55-77a37ced3eb9}" done="0">
    <x18tc:text xml:space="preserve">Reservation 2/21-2/22</x18tc:text>
  </x18tc:threadedComment>
  <x18tc:threadedComment ref="A1" dT="2025-04-25T08:41:16.00" personId="{91ddd612-48c2-41c6-a628-68f42b3a1fa2}" id="{89da9ed4-9b80-4a2e-962f-889848aa0fa6}" done="0">
    <x18tc:text xml:space="preserve">AM verified.
@isabel@coryhometeam.com 
@kenia@coryhometeam.com 
4.25 CI sent to Escrow.
Assigned to isabel@coryhometeam.com</x18tc:text>
    <x18tc:mentions>
      <x18tc:mention mentionpersonId="{7d00647f-be2a-4639-a5f7-08a67118a5cf}" mentionId="{2a10364d-6143-41d2-90d2-ab58167fa4f7}" startIndex="13" length="24"/>
      <x18tc:mention mentionpersonId="{c2b0de28-3b31-4aa3-82a3-f8aba187b3e9}" mentionId="{0c96bc9f-5798-443d-bad2-3d39d61ae511}" startIndex="39" length="23"/>
    </x18tc:mentions>
  </x18tc:threadedComment>
  <x18tc:threadedComment ref="A1" dT="2025-02-05T16:14:19.00" personId="{91ddd612-48c2-41c6-a628-68f42b3a1fa2}" id="{4d7add7b-3030-4972-b2b3-db92fae7c047}" done="0">
    <x18tc:text xml:space="preserve">AM verified.
@isabel@coryhometeam.com 
@kenia@coryhometeam.com 
2.5 CI sent to Escrow.
Assigned to isabel@coryhometeam.com</x18tc:text>
    <x18tc:mentions>
      <x18tc:mention mentionpersonId="{7d00647f-be2a-4639-a5f7-08a67118a5cf}" mentionId="{f3221f44-cf29-421a-8520-32dd289bead4}" startIndex="13" length="24"/>
      <x18tc:mention mentionpersonId="{c2b0de28-3b31-4aa3-82a3-f8aba187b3e9}" mentionId="{a369f80c-def1-4dda-8de9-bc89da9bbe42}" startIndex="39" length="23"/>
    </x18tc:mentions>
  </x18tc:threadedComment>
  <x18tc:threadedComment ref="A1" dT="2025-06-16T17:56:57.00" personId="{d4b03686-3bed-491a-bd12-3b942153f8f5}" id="{cc9a1982-89ca-4b46-a160-16d62d0db563}" done="0">
    <x18tc:text xml:space="preserve">RIDGECREST ST. @isabel@coryhometeam.com VERIFIED
Assigned to isabel@coryhometeam.com</x18tc:text>
    <x18tc:mentions>
      <x18tc:mention mentionpersonId="{7d00647f-be2a-4639-a5f7-08a67118a5cf}" mentionId="{0483c15d-1d9c-44a0-86f7-57e9e9780901}" startIndex="15" length="24"/>
    </x18tc:mentions>
  </x18tc:threadedComment>
  <x18tc:threadedComment ref="A1" dT="2025-02-20T15:09:17.00" personId="{2c0b40a3-d34a-4e30-997b-e7e5451e40bb}" id="{d31f1d16-47a7-4dac-882b-f04f3a9984c2}" done="1">
    <x18tc:text xml:space="preserve">Confirm source from Petra by VA-Remy</x18tc:text>
  </x18tc:threadedComment>
  <x18tc:threadedComment ref="A1" dT="2025-04-25T07:36:32.00" personId="{91ddd612-48c2-41c6-a628-68f42b3a1fa2}" id="{a095c97d-d458-48db-95e5-b19c905051fe}" done="0">
    <x18tc:text xml:space="preserve">AM verified.
@isabel@coryhometeam.com
@kenia@coryhometeam.com 
4.25 CI sent to Escrow.
Assigned to isabel@coryhometeam.com</x18tc:text>
    <x18tc:mentions>
      <x18tc:mention mentionpersonId="{7d00647f-be2a-4639-a5f7-08a67118a5cf}" mentionId="{50711f52-3ded-45fa-a6fe-df8369511850}" startIndex="13" length="24"/>
      <x18tc:mention mentionpersonId="{c2b0de28-3b31-4aa3-82a3-f8aba187b3e9}" mentionId="{69a51438-886c-46f3-8f27-d6a35dd139f9}" startIndex="38" length="23"/>
    </x18tc:mentions>
  </x18tc:threadedComment>
  <x18tc:threadedComment ref="A1" dT="2025-04-02T18:00:35.00" personId="{d4b03686-3bed-491a-bd12-3b942153f8f5}" id="{af376b1d-ba63-4c70-8700-1f28668a140a}" done="0">
    <x18tc:text xml:space="preserve">Commission is $5,000.00</x18tc:text>
  </x18tc:threadedComment>
  <x18tc:threadedComment ref="A1" dT="2025-04-16T15:41:18.00" personId="{d4b03686-3bed-491a-bd12-3b942153f8f5}" id="{81f01602-3e0f-4263-aeaa-6ee16698ce29}" done="0">
    <x18tc:text xml:space="preserve">1.5% from seller and .5 from buyer</x18tc:text>
  </x18tc:threadedComment>
  <x18tc:threadedComment ref="A1" dT="2025-02-05T15:59:14.00" personId="{91ddd612-48c2-41c6-a628-68f42b3a1fa2}" id="{00de8bae-67f0-4fa1-a302-442b5c908ac4}" done="0">
    <x18tc:text xml:space="preserve">AM verified.
@isabel@coryhometeam.com 
@kenia@coryhometeam.com 
2.5 CI sent to Escrow.
Assigned to isabel@coryhometeam.com</x18tc:text>
    <x18tc:mentions>
      <x18tc:mention mentionpersonId="{7d00647f-be2a-4639-a5f7-08a67118a5cf}" mentionId="{e2e9fb8c-fd12-4df4-aa95-1f4c86e089f7}" startIndex="13" length="24"/>
      <x18tc:mention mentionpersonId="{c2b0de28-3b31-4aa3-82a3-f8aba187b3e9}" mentionId="{6da579af-a55c-4bde-9fdd-f3b2ae1ed102}" startIndex="39" length="23"/>
    </x18tc:mentions>
  </x18tc:threadedComment>
  <x18tc:threadedComment ref="A1" dT="2025-05-13T08:06:21.00" personId="{91ddd612-48c2-41c6-a628-68f42b3a1fa2}" id="{3f40046a-91e1-48b3-8ce0-32bd5b809e87}" done="0">
    <x18tc:text xml:space="preserve">5.13 COE extended to 5.16 per ETA1.</x18tc:text>
  </x18tc:threadedComment>
  <x18tc:threadedComment ref="A1" dT="2025-09-25T17:56:04.00" personId="{283cbab7-8785-4d8a-9d80-ae85deef9da8}" id="{59033052-d789-47c6-85e1-807745f6377a}" done="0">
    <x18tc:text xml:space="preserve">$245.00 Home Warranty difference is covered by Buyers Agent Commision</x18tc:text>
  </x18tc:threadedComment>
  <x18tc:threadedComment ref="A1" dT="2025-10-06T22:25:30.00" personId="{686b49bf-83f4-411b-b0f1-f0e341680f5a}" id="{28aff30e-2a99-486b-9791-a7d81a79bb96}" parentId="{59033052-d789-47c6-85e1-807745f6377a}">
    <x18tc:text xml:space="preserve">$245 HW difference is to be covered by CHT. 
This contract was prior to the 10/01 change and we sell our Gold Coverage as the package guaranteed to buyers.</x18tc:text>
  </x18tc:threadedComment>
  <x18tc:threadedComment ref="A1" dT="2025-06-16T18:00:41.00" personId="{686b49bf-83f4-411b-b0f1-f0e341680f5a}" id="{fba0dff9-4663-4b9a-ad73-a657c7f7a662}" done="0">
    <x18tc:text xml:space="preserve">Delays due to solar</x18tc:text>
  </x18tc:threadedComment>
  <x18tc:threadedComment ref="A1" dT="2025-06-27T19:38:42.00" personId="{686b49bf-83f4-411b-b0f1-f0e341680f5a}" id="{91d6722a-46fb-4bd7-93c9-5e038770abd8}" parentId="{fba0dff9-4663-4b9a-ad73-a657c7f7a662}">
    <x18tc:text xml:space="preserve">Per Mario 06/27/35
Unable to get the Solar resolved, this will most likely cancel.</x18tc:text>
  </x18tc:threadedComment>
  <x18tc:threadedComment ref="A1" dT="2025-02-20T16:50:01.00" personId="{283cbab7-8785-4d8a-9d80-ae85deef9da8}" id="{3bbf8f6c-ea49-4ed7-a1f5-a7a4abd48fd4}" done="0">
    <x18tc:text xml:space="preserve">Re: 1340 Roger St
Kenia Bautista &lt;kenia@coryhometeam.com&gt;
8:42 AM (7 minutes ago)
to Jenn, Cynthia, Petra
Good morning, this fee should have been accounted for per our intro email and BRBC nothing we can do now except waive it. 
I just got approval from management (Kiona G) Please waive it. 
Thank you 
On Thu, Feb 20, 2025 at 7:50 AM Jenn Albrecht &lt;jenn.albrecht@exprealty.net&gt; wrote:
Good Morning and Happy Thursday! Following up on this one please. 
Hi Kenia, please let us know the next steps regarding the $595 Admin Fee. Thank you so much! 
On Wed, Feb 19, 2025 at 11:16 AM Jenn Albrecht &lt;jenn.albrecht@exprealty.net&gt; wrote:
Hi Kenia, can you please let us know the next steps for this one please? 
On Wed, Feb 19, 2025 at 11:11 AM Cynthia Bealer &lt;cynthia@trilogyescrow.com&gt; wrote:
Hi Jenn,
I never received this and the buyer will have to pay the agent directly because I have zero money.
Thank you</x18tc:text>
  </x18tc:threadedComment>
  <x18tc:threadedComment ref="X5" dT="2026-05-04T22:22:35.00" personId="{283cbab7-8785-4d8a-9d80-ae85deef9da8}" id="{44ae1ef2-2848-4186-ab8f-a4d51b58d97e}" done="0">
    <x18tc:text xml:space="preserve">This is in legal dispute. Blake is helping Spencer fight for Commission.</x18tc:text>
  </x18tc:threadedComment>
  <x18tc:threadedComment ref="A1" dT="2025-06-16T18:01:51.00" personId="{686b49bf-83f4-411b-b0f1-f0e341680f5a}" id="{a5ea441a-ad03-4088-b371-393fbfd5a6dc}" done="0">
    <x18tc:text xml:space="preserve">This is pending direction from RIchard about Blake allowing the Seller to cancel this transaction.</x18tc:text>
  </x18tc:threadedComment>
  <x18tc:threadedComment ref="A1" dT="2025-06-16T18:01:47.00" personId="{d4b03686-3bed-491a-bd12-3b942153f8f5}" id="{281098b5-cd69-48ae-b123-1029dc0bb073}" done="0">
    <x18tc:text xml:space="preserve">CARRALTON PL @isabel@coryhometeam.com VERIFIED
Assigned to isabel@coryhometeam.com</x18tc:text>
    <x18tc:mentions>
      <x18tc:mention mentionpersonId="{7d00647f-be2a-4639-a5f7-08a67118a5cf}" mentionId="{d94eb34f-28a8-47f7-a5ef-6f061dca47c0}" startIndex="13" length="24"/>
    </x18tc:mentions>
  </x18tc:threadedComment>
  <x18tc:threadedComment ref="A1" dT="2025-04-01T11:33:13.00" personId="{91ddd612-48c2-41c6-a628-68f42b3a1fa2}" id="{220335c5-30b7-4e27-9207-9ef7f4b81ef9}" done="0">
    <x18tc:text xml:space="preserve">4.1 New lender from Zillow to Tammy.</x18tc:text>
  </x18tc:threadedComment>
  <x18tc:threadedComment ref="A1" dT="2025-06-16T18:05:29.00" personId="{d4b03686-3bed-491a-bd12-3b942153f8f5}" id="{2a36c715-1b14-4c90-bdef-1a1d8be7516d}" done="0">
    <x18tc:text xml:space="preserve">2ND STREET UNIT #35 @isabel@coryhometeam.com VERIFIED
Assigned to isabel@coryhometeam.com</x18tc:text>
    <x18tc:mentions>
      <x18tc:mention mentionpersonId="{7d00647f-be2a-4639-a5f7-08a67118a5cf}" mentionId="{99f05ebd-da5e-42d5-b73b-23bd6113deb8}" startIndex="20" length="24"/>
    </x18tc:mentions>
  </x18tc:threadedComment>
  <x18tc:threadedComment ref="A1" dT="2025-04-01T11:25:03.00" personId="{91ddd612-48c2-41c6-a628-68f42b3a1fa2}" id="{a304a7a2-8c86-4e0b-8f64-6c710379e4b0}" done="0">
    <x18tc:text xml:space="preserve">AM verified.
@isabel@coryhometeam.com 
@kenia@coryhometeam.com 
4.1 CI sent to Escrow.
Assigned to isabel@coryhometeam.com</x18tc:text>
    <x18tc:mentions>
      <x18tc:mention mentionpersonId="{7d00647f-be2a-4639-a5f7-08a67118a5cf}" mentionId="{15d909e9-f99c-4986-a901-c9cf02d6345a}" startIndex="13" length="24"/>
      <x18tc:mention mentionpersonId="{c2b0de28-3b31-4aa3-82a3-f8aba187b3e9}" mentionId="{6d5a794e-7c1b-4a04-ac9e-adef43a7add7}" startIndex="39" length="23"/>
    </x18tc:mentions>
  </x18tc:threadedComment>
  <x18tc:threadedComment ref="A1" dT="2025-03-31T17:34:08.00" personId="{91ddd612-48c2-41c6-a628-68f42b3a1fa2}" id="{546f4967-bf0b-4516-aa6a-a7e3407269e4}" done="0">
    <x18tc:text xml:space="preserve">AM verified. 
@isabel@coryhometeam.com 
@kenia@coryhometeam.com 
3.31 CI sent to Escrow.
Assigned to isabel@coryhometeam.com</x18tc:text>
    <x18tc:mentions>
      <x18tc:mention mentionpersonId="{7d00647f-be2a-4639-a5f7-08a67118a5cf}" mentionId="{22e94f2f-ef63-4030-8e50-75439d91ab2b}" startIndex="14" length="24"/>
      <x18tc:mention mentionpersonId="{c2b0de28-3b31-4aa3-82a3-f8aba187b3e9}" mentionId="{41e6fa57-a666-4b2f-b599-8ee9068ef372}" startIndex="40" length="23"/>
    </x18tc:mentions>
  </x18tc:threadedComment>
  <x18tc:threadedComment ref="A1" dT="2025-10-14T16:14:25.00" personId="{d4b03686-3bed-491a-bd12-3b942153f8f5}" id="{1fca9bdc-60ee-4add-b91d-3ff935219589}" done="0">
    <x18tc:text xml:space="preserve">$100 to Broker</x18tc:text>
  </x18tc:threadedComment>
  <x18tc:threadedComment ref="A1" dT="2025-10-29T18:13:09.00" personId="{e9fc873c-1c43-4e02-b893-c88033c9c8f6}" id="{54fa1bce-0ef9-4c91-baea-79dfcdd32468}" done="0">
    <x18tc:text xml:space="preserve">not releasing payment until hold back is paid</x18tc:text>
  </x18tc:threadedComment>
  <x18tc:threadedComment ref="A1" dT="2025-11-17T20:32:03.00" personId="{c7fad490-24e0-4859-bb84-4307c52d4768}" id="{da098347-a874-4112-89b6-9b2863a3bfa2}" parentId="{54fa1bce-0ef9-4c91-baea-79dfcdd32468}">
    <x18tc:text xml:space="preserve">Hold back is now paid. copy of check in SS 11/17</x18tc:text>
  </x18tc:threadedComment>
  <x18tc:threadedComment ref="A1" dT="2025-08-19T22:41:25.00" personId="{d4b03686-3bed-491a-bd12-3b942153f8f5}" id="{2f22d33d-22bc-4b87-8c34-87ebf334d2f4}" done="0">
    <x18tc:text xml:space="preserve">$100.00</x18tc:text>
  </x18tc:threadedComment>
  <x18tc:threadedComment ref="A1" dT="2025-01-14T16:52:58.00" personId="{91ddd612-48c2-41c6-a628-68f42b3a1fa2}" id="{8f85705f-b813-4a01-a81f-fff790634c9d}" done="0">
    <x18tc:text xml:space="preserve">AM verified.
@isabel@coryhometeam.com 
@kenia@coryhometeam.com 
1.14 CI sent to Escrow.
Assigned to isabel@coryhometeam.com</x18tc:text>
    <x18tc:mentions>
      <x18tc:mention mentionpersonId="{7d00647f-be2a-4639-a5f7-08a67118a5cf}" mentionId="{df20fccd-9224-42e8-8a56-cc9ca4fa6215}" startIndex="13" length="24"/>
      <x18tc:mention mentionpersonId="{c2b0de28-3b31-4aa3-82a3-f8aba187b3e9}" mentionId="{1d66e474-d252-4c53-8ca0-eebc0388d8fc}" startIndex="39" length="23"/>
    </x18tc:mentions>
  </x18tc:threadedComment>
  <x18tc:threadedComment ref="A1" dT="2025-10-29T22:02:45.00" personId="{d4b03686-3bed-491a-bd12-3b942153f8f5}" id="{74b7c9d2-93e0-469d-a740-72023b75494c}" done="0">
    <x18tc:text xml:space="preserve">Sent Access Request to Agent</x18tc:text>
  </x18tc:threadedComment>
  <x18tc:threadedComment ref="A1" dT="2025-10-29T22:20:24.00" personId="{e9fc873c-1c43-4e02-b893-c88033c9c8f6}" id="{3ee83abd-a7f9-41a7-8b75-6b9b5f242d55}" done="0">
    <x18tc:text xml:space="preserve">Outside TC</x18tc:text>
  </x18tc:threadedComment>
  <x18tc:threadedComment ref="A1" dT="2025-01-06T17:33:21.00" personId="{d4b03686-3bed-491a-bd12-3b942153f8f5}" id="{5f4b8044-5d9d-4221-9e44-89fcef17ad41}" done="0">
    <x18tc:text xml:space="preserve">DARWIN RD @isabel@coryhometeam.com VERIFIED
Assigned to isabel@coryhometeam.com</x18tc:text>
    <x18tc:mentions>
      <x18tc:mention mentionpersonId="{7d00647f-be2a-4639-a5f7-08a67118a5cf}" mentionId="{d25510c0-1f5d-4a6c-b2ca-094b3952016a}" startIndex="10" length="24"/>
    </x18tc:mentions>
  </x18tc:threadedComment>
  <x18tc:threadedComment ref="A1" dT="2025-01-28T06:00:31.00" personId="{686b49bf-83f4-411b-b0f1-f0e341680f5a}" id="{e8b86ff5-2607-42bc-9cfd-7a567f4ea056}" parentId="{5f4b8044-5d9d-4221-9e44-89fcef17ad41}">
    <x18tc:text xml:space="preserve">@isabel@coryhometeam.com Fern is asking for me to confirm splits are completed so payment can be released ASAP once we close.</x18tc:text>
    <x18tc:mentions>
      <x18tc:mention mentionpersonId="{7d00647f-be2a-4639-a5f7-08a67118a5cf}" mentionId="{3b4d84e7-7b5e-43b7-83f9-0b66cc272704}" startIndex="0" length="24"/>
    </x18tc:mentions>
  </x18tc:threadedComment>
  <x18tc:threadedComment ref="A1" dT="2026-04-10T16:58:44.00" personId="{91ddd612-48c2-41c6-a628-68f42b3a1fa2}" id="{cc86fe17-f154-46bb-b22f-33c83182ef1c}" done="0">
    <x18tc:text xml:space="preserve">The COE is an estimated date only. This sale is contingent on the seller's property.</x18tc:text>
  </x18tc:threadedComment>
  <x18tc:threadedComment ref="A1" dT="2025-02-20T17:59:05.00" personId="{e9fc873c-1c43-4e02-b893-c88033c9c8f6}" id="{c0dbc571-9fb6-4956-a7d1-35a8469e8fa0}" done="0">
    <x18tc:text xml:space="preserve">payoff demand sent to escrow 2/11</x18tc:text>
  </x18tc:threadedComment>
  <x18tc:threadedComment ref="A1" dT="2025-07-02T19:42:36.00" personId="{e9fc873c-1c43-4e02-b893-c88033c9c8f6}" id="{70984292-25db-4863-b883-6ca2bb38234e}" parentId="{c0dbc571-9fb6-4956-a7d1-35a8469e8fa0}">
    <x18tc:text xml:space="preserve">updated final payoff demand sent to escrow 7/2</x18tc:text>
  </x18tc:threadedComment>
  <x18tc:threadedComment ref="A1" dT="2025-06-16T18:46:59.00" personId="{91ddd612-48c2-41c6-a628-68f42b3a1fa2}" id="{49b45d28-f157-429c-8561-c35d33d4b1ef}" done="0">
    <x18tc:text xml:space="preserve">6.16 The total commission per Eddie is 2.5%. Please see MT-BR form with agents signature.
@isabel@coryhometeam.com 
@kenia@coryhometeam.com</x18tc:text>
    <x18tc:mentions>
      <x18tc:mention mentionpersonId="{7d00647f-be2a-4639-a5f7-08a67118a5cf}" mentionId="{723d3937-70b5-4523-a7b2-27417fc195de}" startIndex="90" length="24"/>
      <x18tc:mention mentionpersonId="{c2b0de28-3b31-4aa3-82a3-f8aba187b3e9}" mentionId="{4dfe9a24-dae5-47b6-8ec0-a8e6ba41476f}" startIndex="116" length="23"/>
    </x18tc:mentions>
  </x18tc:threadedComment>
  <x18tc:threadedComment ref="A1" dT="2025-04-25T07:19:48.00" personId="{91ddd612-48c2-41c6-a628-68f42b3a1fa2}" id="{87e52c5c-ad2c-48d4-a674-61a771fdd4bd}" done="0">
    <x18tc:text xml:space="preserve">AM verified.
@isabel@coryhometeam.com 
@kenia@coryhometeam.com 
4.25 CI sent to Escrow.
Assigned to isabel@coryhometeam.com</x18tc:text>
    <x18tc:mentions>
      <x18tc:mention mentionpersonId="{7d00647f-be2a-4639-a5f7-08a67118a5cf}" mentionId="{38ba81a5-ed42-414e-8d07-52aaac2f4ad2}" startIndex="13" length="24"/>
      <x18tc:mention mentionpersonId="{c2b0de28-3b31-4aa3-82a3-f8aba187b3e9}" mentionId="{261462e7-aa00-42bd-9381-d4f9dd9ee3d0}" startIndex="39" length="23"/>
    </x18tc:mentions>
  </x18tc:threadedComment>
  <x18tc:threadedComment ref="A1" dT="2025-02-20T17:59:20.00" personId="{e9fc873c-1c43-4e02-b893-c88033c9c8f6}" id="{e20d605a-1b14-4870-ac9b-7a9f99bbb5de}" done="0">
    <x18tc:text xml:space="preserve">payoff demand (x2) sent to escrow 2/20</x18tc:text>
  </x18tc:threadedComment>
  <x18tc:threadedComment ref="A1" dT="2025-01-20T16:37:50.00" personId="{91ddd612-48c2-41c6-a628-68f42b3a1fa2}" id="{c02b782c-c988-4333-b899-3629f2ec85a4}" done="0">
    <x18tc:text xml:space="preserve">AM verified.
@isabel@coryhometeam.com 
@kenia@coryhometeam.com 
1.20 CI sent to Escrow.
Assigned to isabel@coryhometeam.com</x18tc:text>
    <x18tc:mentions>
      <x18tc:mention mentionpersonId="{7d00647f-be2a-4639-a5f7-08a67118a5cf}" mentionId="{f69b966e-3632-40ae-914a-824aec8c94a1}" startIndex="13" length="24"/>
      <x18tc:mention mentionpersonId="{c2b0de28-3b31-4aa3-82a3-f8aba187b3e9}" mentionId="{1d21eb71-9f80-42f6-9eda-1a94625d4ebf}" startIndex="39" length="23"/>
    </x18tc:mentions>
  </x18tc:threadedComment>
  <x18tc:threadedComment ref="A1" dT="2025-10-29T23:02:13.00" personId="{e9fc873c-1c43-4e02-b893-c88033c9c8f6}" id="{567c5d71-b5c0-450b-aa67-1cf806f0fdbb}" done="0">
    <x18tc:text xml:space="preserve">per Richard; client is paying</x18tc:text>
  </x18tc:threadedComment>
  <x18tc:threadedComment ref="A1" dT="2025-01-20T16:28:27.00" personId="{91ddd612-48c2-41c6-a628-68f42b3a1fa2}" id="{687fa02e-4c0e-4b30-bf48-996b53f05b11}" done="0">
    <x18tc:text xml:space="preserve">1.20 CR loan moved as per ETA2.</x18tc:text>
  </x18tc:threadedComment>
  <x18tc:threadedComment ref="A1" dT="2025-01-29T18:20:43.00" personId="{91ddd612-48c2-41c6-a628-68f42b3a1fa2}" id="{f9b7b7ec-9be7-436f-835a-0f133db91263}" parentId="{687fa02e-4c0e-4b30-bf48-996b53f05b11}">
    <x18tc:text xml:space="preserve">1.29 New ETA3 FULL or Loan Contingency is DUE 1.30.</x18tc:text>
  </x18tc:threadedComment>
  <x18tc:threadedComment ref="A1" dT="2025-12-03T20:14:01.00" personId="{91ddd612-48c2-41c6-a628-68f42b3a1fa2}" id="{c974aad7-9995-4051-8e1f-df838b6b2559}" done="0">
    <x18tc:text xml:space="preserve">41979 Rondo Street #1106
AM verified.
@isabel@coryhometeam.com
@kenia@coryhometeam.com
12.3 CI sent to Escrow.
Assigned to isabel@coryhometeam.com</x18tc:text>
    <x18tc:mentions>
      <x18tc:mention mentionpersonId="{7d00647f-be2a-4639-a5f7-08a67118a5cf}" mentionId="{db54a1c8-7ff2-4707-bff9-892e9fee8733}" startIndex="38" length="24"/>
      <x18tc:mention mentionpersonId="{c2b0de28-3b31-4aa3-82a3-f8aba187b3e9}" mentionId="{652ada14-5e2d-4114-b39d-d2d6f7e35063}" startIndex="63" length="23"/>
    </x18tc:mentions>
  </x18tc:threadedComment>
  <x18tc:threadedComment ref="A1" dT="2025-01-06T16:19:33.00" personId="{91ddd612-48c2-41c6-a628-68f42b3a1fa2}" id="{bd68f8eb-3e28-448f-b24f-292ffbe8e587}" done="0">
    <x18tc:text xml:space="preserve">AM verified.
@isabel@coryhometeam.com 
@kenia@coryhometeam.com 
1.6 CI sent to Escrow.
Assigned to isabel@coryhometeam.com</x18tc:text>
    <x18tc:mentions>
      <x18tc:mention mentionpersonId="{7d00647f-be2a-4639-a5f7-08a67118a5cf}" mentionId="{0a62cd4c-41b1-4852-a2bd-3e4456ae8804}" startIndex="13" length="24"/>
      <x18tc:mention mentionpersonId="{c2b0de28-3b31-4aa3-82a3-f8aba187b3e9}" mentionId="{7e22e69b-2c06-4258-92c1-9285b754ec9b}" startIndex="39" length="23"/>
    </x18tc:mentions>
  </x18tc:threadedComment>
  <x18tc:threadedComment ref="A1" dT="2025-10-06T23:36:26.00" personId="{d4b03686-3bed-491a-bd12-3b942153f8f5}" id="{d6ae509d-b88f-4d8b-8690-040af4038d8e}" done="0">
    <x18tc:text xml:space="preserve">SHIPWRIGHT DR @isabel@coryhometeam.com VERIFIED
Assigned to isabel@coryhometeam.com</x18tc:text>
    <x18tc:mentions>
      <x18tc:mention mentionpersonId="{7d00647f-be2a-4639-a5f7-08a67118a5cf}" mentionId="{ee0f81dc-13b9-4452-a43d-4da21d9eba31}" startIndex="14" length="24"/>
    </x18tc:mentions>
  </x18tc:threadedComment>
  <x18tc:threadedComment ref="A1" dT="2025-04-29T10:38:46.00" personId="{91ddd612-48c2-41c6-a628-68f42b3a1fa2}" id="{f2674401-d052-43da-adfc-0a39234a27b9}" done="0">
    <x18tc:text xml:space="preserve">4.29 @kenia@coryhometeam.com 
I am not sure why info for this transaction are missing. I have put back the info I have from TcDocs. Also the TS info in the closing part is disorganized.
Assigned to kenia@coryhometeam.com</x18tc:text>
    <x18tc:mentions>
      <x18tc:mention mentionpersonId="{c2b0de28-3b31-4aa3-82a3-f8aba187b3e9}" mentionId="{60022899-8ab0-484a-8929-9ef6e581c626}" startIndex="5" length="23"/>
    </x18tc:mentions>
  </x18tc:threadedComment>
  <x18tc:threadedComment ref="A1" dT="2025-07-09T09:08:51.00" personId="{91ddd612-48c2-41c6-a628-68f42b3a1fa2}" id="{cfa1e6d0-1564-4f8d-9189-e4ae5c192ff0}" done="0">
    <x18tc:text xml:space="preserve">7.9 ETA COE from 7.3 to 7.10</x18tc:text>
  </x18tc:threadedComment>
  <x18tc:threadedComment ref="A1" dT="2025-10-06T23:33:09.00" personId="{d4b03686-3bed-491a-bd12-3b942153f8f5}" id="{5208a200-ddf5-402f-814f-b0ce0c9dc009}" done="0">
    <x18tc:text xml:space="preserve">VIA DEL LARGO @isabel@coryhometeam.com VERIFIED
Assigned to isabel@coryhometeam.com</x18tc:text>
    <x18tc:mentions>
      <x18tc:mention mentionpersonId="{7d00647f-be2a-4639-a5f7-08a67118a5cf}" mentionId="{e06958c5-b17d-4920-9652-5842c1951092}" startIndex="14" length="24"/>
    </x18tc:mentions>
  </x18tc:threadedComment>
  <x18tc:threadedComment ref="A1" dT="2025-04-10T17:16:39.00" personId="{d4b03686-3bed-491a-bd12-3b942153f8f5}" id="{41a7a8a3-867a-414f-93c1-1bac06efe37c}" done="0">
    <x18tc:text xml:space="preserve">MADISON ST @isabel@coryhometeam.com VERIFIED
Assigned to isabel@coryhometeam.com</x18tc:text>
    <x18tc:mentions>
      <x18tc:mention mentionpersonId="{7d00647f-be2a-4639-a5f7-08a67118a5cf}" mentionId="{a5773f49-b091-4eb3-8cd6-ef809779b0f6}" startIndex="11" length="24"/>
    </x18tc:mentions>
  </x18tc:threadedComment>
  <x18tc:threadedComment ref="A1" dT="2025-12-04T00:48:50.00" personId="{686b49bf-83f4-411b-b0f1-f0e341680f5a}" id="{82bcb60c-467e-4859-909c-b978f15b54d0}" done="0">
    <x18tc:text xml:space="preserve">@dana@coryhometeam.com this is the minimum EXP is requiring on my transactions with Blake until I hit my minimum with them.
Assigned to dana@coryhometeam.com</x18tc:text>
    <x18tc:mentions>
      <x18tc:mention mentionpersonId="{97a5b354-94ec-4750-87c3-99cebe208b41}" mentionId="{74a2b0c9-1dd0-4ab7-9ad6-fa3501b9dea2}" startIndex="0" length="22"/>
    </x18tc:mentions>
  </x18tc:threadedComment>
  <x18tc:threadedComment ref="A1" dT="2025-04-10T16:51:36.00" personId="{91ddd612-48c2-41c6-a628-68f42b3a1fa2}" id="{13d7b5f5-a452-4b4f-9386-18a4725b362e}" done="0">
    <x18tc:text xml:space="preserve">4.10 This contingency has been removed before lifting the CR-S1 SPRP.</x18tc:text>
  </x18tc:threadedComment>
  <x18tc:threadedComment ref="A1" dT="2025-10-14T14:52:01.00" personId="{91ddd612-48c2-41c6-a628-68f42b3a1fa2}" id="{e0ecd005-03d8-4aa4-a108-f15d783b7eab}" done="0">
    <x18tc:text xml:space="preserve">1525 W Oakland Avenue #50
AM verified.
@isabel@coryhometeam.com
@kenia@coryhometeam.com
10.14 CI sent to Escrow.
Assigned to isabel@coryhometeam.com</x18tc:text>
    <x18tc:mentions>
      <x18tc:mention mentionpersonId="{7d00647f-be2a-4639-a5f7-08a67118a5cf}" mentionId="{bdf2bfe7-c9fe-4b76-8b99-a72051aa6757}" startIndex="39" length="24"/>
      <x18tc:mention mentionpersonId="{c2b0de28-3b31-4aa3-82a3-f8aba187b3e9}" mentionId="{bec6bb71-e0ed-449c-b0f7-ba49c7ffbdc6}" startIndex="64" length="23"/>
    </x18tc:mentions>
  </x18tc:threadedComment>
  <x18tc:threadedComment ref="A1" dT="2025-10-14T14:43:18.00" personId="{91ddd612-48c2-41c6-a628-68f42b3a1fa2}" id="{9463f9d9-b204-4315-9ecb-c45418777baf}" done="0">
    <x18tc:text xml:space="preserve">27831 Covington Way
AM verified.
@isabel@coryhometeam.com
@kenia@coryhometeam.com
10.14 CI sent to Escrow.
Assigned to isabel@coryhometeam.com</x18tc:text>
    <x18tc:mentions>
      <x18tc:mention mentionpersonId="{7d00647f-be2a-4639-a5f7-08a67118a5cf}" mentionId="{e519411a-14e7-4b01-ad54-ccda6ee5c72c}" startIndex="33" length="24"/>
      <x18tc:mention mentionpersonId="{c2b0de28-3b31-4aa3-82a3-f8aba187b3e9}" mentionId="{37355512-fa2c-42c9-a00b-f25782a82c02}" startIndex="58" length="23"/>
    </x18tc:mentions>
  </x18tc:threadedComment>
  <x18tc:threadedComment ref="A1" dT="2025-08-22T18:27:22.00" personId="{686b49bf-83f4-411b-b0f1-f0e341680f5a}" id="{638c3b75-5712-4134-9525-27b364e64cbf}" done="0">
    <x18tc:text xml:space="preserve">Released Friday 08/22 but this is LA County they don't do same day recording.</x18tc:text>
  </x18tc:threadedComment>
  <x18tc:threadedComment ref="A1" dT="2025-08-19T22:36:57.00" personId="{91ddd612-48c2-41c6-a628-68f42b3a1fa2}" id="{23abcfa1-7c45-447f-909d-c13a2830ea6b}" done="0">
    <x18tc:text xml:space="preserve">25801 Sun City Blvd
AM verified.
@isabel@coryhometeam.com
@kenia@coryhometeam.com
8.19 CI sent to Escrow.
Assigned to isabel@coryhometeam.com</x18tc:text>
    <x18tc:mentions>
      <x18tc:mention mentionpersonId="{7d00647f-be2a-4639-a5f7-08a67118a5cf}" mentionId="{0892c4d3-7ac3-4871-906d-643c6acdb68d}" startIndex="33" length="24"/>
      <x18tc:mention mentionpersonId="{c2b0de28-3b31-4aa3-82a3-f8aba187b3e9}" mentionId="{aab30d11-6227-417e-9164-4f3c0fcb22fc}" startIndex="58" length="23"/>
    </x18tc:mentions>
  </x18tc:threadedComment>
  <x18tc:threadedComment ref="A1" dT="2025-04-10T16:13:43.00" personId="{91ddd612-48c2-41c6-a628-68f42b3a1fa2}" id="{e5d60f2a-62a8-4312-a243-e2d6569709e3}" done="0">
    <x18tc:text xml:space="preserve">AM verified.
@isabel@coryhometeam.com 
@kenia@coryhometeam.com 
4.10 CI sent to Escrow.
Assigned to isabel@coryhometeam.com</x18tc:text>
    <x18tc:mentions>
      <x18tc:mention mentionpersonId="{7d00647f-be2a-4639-a5f7-08a67118a5cf}" mentionId="{c8d9b292-c528-481c-85cc-97ccb8bc3b8e}" startIndex="13" length="24"/>
      <x18tc:mention mentionpersonId="{c2b0de28-3b31-4aa3-82a3-f8aba187b3e9}" mentionId="{77ec4836-4373-42e2-8d58-f6d43b6ab380}" startIndex="39" length="23"/>
    </x18tc:mentions>
  </x18tc:threadedComment>
  <x18tc:threadedComment ref="A1" dT="2025-10-14T17:16:19.00" personId="{91ddd612-48c2-41c6-a628-68f42b3a1fa2}" id="{49a6fded-02a6-4844-8c17-89bd169eebea}" done="0">
    <x18tc:text xml:space="preserve">10.14 Per ADM1 the closing will be early.</x18tc:text>
  </x18tc:threadedComment>
  <x18tc:threadedComment ref="A1" dT="2025-01-06T18:26:57.00" personId="{91ddd612-48c2-41c6-a628-68f42b3a1fa2}" id="{1248849b-0a15-4162-9c14-e83abe605324}" done="0">
    <x18tc:text xml:space="preserve">AM verified.
@isabel@coryhometeam.com 
@kenia@coryhometeam.com 
1.6 CI sent to Escrow,
Assigned to isabel@coryhometeam.com</x18tc:text>
    <x18tc:mentions>
      <x18tc:mention mentionpersonId="{7d00647f-be2a-4639-a5f7-08a67118a5cf}" mentionId="{b06e9d71-ccd5-4fed-920a-ca973babbedc}" startIndex="13" length="24"/>
      <x18tc:mention mentionpersonId="{c2b0de28-3b31-4aa3-82a3-f8aba187b3e9}" mentionId="{df011154-e739-4cb1-8b5f-8464bf43200e}" startIndex="39" length="23"/>
    </x18tc:mentions>
  </x18tc:threadedComment>
  <x18tc:threadedComment ref="A1" dT="2025-01-06T18:56:23.00" personId="{91ddd612-48c2-41c6-a628-68f42b3a1fa2}" id="{5e0e10a3-18c0-4dc5-a5cb-9f66c96c3b83}" done="0">
    <x18tc:text xml:space="preserve">AM verified.
@isabel@coryhometeam.com @kenia@coryhometeam.com 
1.6 CI sent to Escrow.
Assigned to isabel@coryhometeam.com</x18tc:text>
    <x18tc:mentions>
      <x18tc:mention mentionpersonId="{7d00647f-be2a-4639-a5f7-08a67118a5cf}" mentionId="{384aa41e-99f3-4c9e-acef-5bf53db42be5}" startIndex="13" length="24"/>
      <x18tc:mention mentionpersonId="{c2b0de28-3b31-4aa3-82a3-f8aba187b3e9}" mentionId="{89290a0f-6e68-4815-bc94-8fb84de1b936}" startIndex="38" length="23"/>
    </x18tc:mentions>
  </x18tc:threadedComment>
  <x18tc:threadedComment ref="A1" dT="2025-04-21T10:51:06.00" personId="{91ddd612-48c2-41c6-a628-68f42b3a1fa2}" id="{e9fea6b8-87cf-47c3-9db3-7e9cd24b9780}" done="0">
    <x18tc:text xml:space="preserve">4.21 CR FULL moved to 4.23 per ETA1.</x18tc:text>
  </x18tc:threadedComment>
  <x18tc:threadedComment ref="A1" dT="2025-05-14T19:42:47.00" personId="{d4b03686-3bed-491a-bd12-3b942153f8f5}" id="{8907faac-6f44-46c9-b267-9a1649f83a85}" done="0">
    <x18tc:text xml:space="preserve">Commission is $1000</x18tc:text>
  </x18tc:threadedComment>
  <x18tc:threadedComment ref="A1" dT="2025-02-12T18:19:15.00" personId="{d4b03686-3bed-491a-bd12-3b942153f8f5}" id="{b7d12af6-fa53-47a0-b4da-e941e45866d6}" done="0">
    <x18tc:text xml:space="preserve">CAPRICHO WAY @isabel@coryhometeam.com VERIFIED
Assigned to isabel@coryhometeam.com</x18tc:text>
    <x18tc:mentions>
      <x18tc:mention mentionpersonId="{7d00647f-be2a-4639-a5f7-08a67118a5cf}" mentionId="{e6f972a4-1ae3-4026-957c-d4af40318f51}" startIndex="13" length="24"/>
    </x18tc:mentions>
  </x18tc:threadedComment>
  <x18tc:threadedComment ref="A1" dT="2025-05-14T20:18:41.00" personId="{283cbab7-8785-4d8a-9d80-ae85deef9da8}" id="{07ae263e-5cc5-4ff1-97d3-5d3dc9401c57}" done="0">
    <x18tc:text xml:space="preserve">ADM1 
Buyer is switching from using a loan to paying with all cash for property. Listing agent and selling agent to each offer buyer
$500 credit towards closing costs. Buyer is satisfied with home purchase based on inspections and removes ALL buyer
contingencies (with the exception of POA/HOA document review). All other terms to remain.</x18tc:text>
  </x18tc:threadedComment>
  <x18tc:threadedComment ref="A1" dT="2025-02-12T19:33:18.00" personId="{d4b03686-3bed-491a-bd12-3b942153f8f5}" id="{ebae0f62-7f46-425d-b607-7a8f426b56c2}" done="0">
    <x18tc:text xml:space="preserve">Close of Seller's Replacement Property, SPRP</x18tc:text>
  </x18tc:threadedComment>
  <x18tc:threadedComment ref="A1" dT="2025-03-07T20:48:24.00" personId="{91ddd612-48c2-41c6-a628-68f42b3a1fa2}" id="{8c910574-9ef5-467b-ae2d-c7e77ca68e07}" done="0">
    <x18tc:text xml:space="preserve">Per SMCO1: SELLING BROKER COMPENSATION TO BE $3.000 MAX.</x18tc:text>
  </x18tc:threadedComment>
  <x18tc:threadedComment ref="A1" dT="2026-04-28T16:58:02.00" personId="{686b49bf-83f4-411b-b0f1-f0e341680f5a}" id="{6ce25ff9-99f1-41fa-adf1-67e69c4c720e}" done="0">
    <x18tc:text xml:space="preserve">Flat Fee: $6,000</x18tc:text>
  </x18tc:threadedComment>
  <x18tc:threadedComment ref="A1" dT="2025-10-20T13:54:37.00" personId="{91ddd612-48c2-41c6-a628-68f42b3a1fa2}" id="{b52e9a44-a992-4ce1-90ed-afad3caab2a7}" done="0">
    <x18tc:text xml:space="preserve">0 Morton
AM verified.
@isabel@coryhometeam.com
@kenia@coryhometeam.com
10.20 CI sent to Escrow.
Assigned to isabel@coryhometeam.com</x18tc:text>
    <x18tc:mentions>
      <x18tc:mention mentionpersonId="{7d00647f-be2a-4639-a5f7-08a67118a5cf}" mentionId="{a44b99cc-638b-4e75-bc9d-cf5a7e0e1ee8}" startIndex="22" length="24"/>
      <x18tc:mention mentionpersonId="{c2b0de28-3b31-4aa3-82a3-f8aba187b3e9}" mentionId="{74bfa335-ea20-45a2-b75e-34f5fadb8d05}" startIndex="47" length="23"/>
    </x18tc:mentions>
  </x18tc:threadedComment>
  <x18tc:threadedComment ref="A1" dT="2025-10-20T13:33:08.00" personId="{91ddd612-48c2-41c6-a628-68f42b3a1fa2}" id="{32a31084-83c6-41a0-940c-d64c1ce3a291}" done="0">
    <x18tc:text xml:space="preserve">10.17 Waived per Lender.</x18tc:text>
  </x18tc:threadedComment>
  <x18tc:threadedComment ref="A1" dT="2025-02-12T19:33:24.00" personId="{d4b03686-3bed-491a-bd12-3b942153f8f5}" id="{bdec0def-5be2-414a-921c-58e52a00ff01}" done="0">
    <x18tc:text xml:space="preserve">Close of Seller's Replacement Property, SPRP</x18tc:text>
  </x18tc:threadedComment>
  <x18tc:threadedComment ref="A1" dT="2025-02-06T00:59:08.00" personId="{686b49bf-83f4-411b-b0f1-f0e341680f5a}" id="{f780481f-f9d9-463d-9c85-306603f7fbdf}" done="0">
    <x18tc:text xml:space="preserve">This is a divorce, all communication needs to be the same in separate emails.</x18tc:text>
  </x18tc:threadedComment>
  <x18tc:threadedComment ref="A1" dT="2025-10-10T18:49:22.00" personId="{91ddd612-48c2-41c6-a628-68f42b3a1fa2}" id="{38dbab87-414d-44ef-80f4-306c5fa101aa}" done="0">
    <x18tc:text xml:space="preserve">Icon NHD</x18tc:text>
  </x18tc:threadedComment>
  <x18tc:threadedComment ref="X43" dT="2026-06-09T15:57:10.00" personId="{91ddd612-48c2-41c6-a628-68f42b3a1fa2}" id="{2ef27975-ac3a-466b-8d9c-9e9c922e4fdc}" done="0">
    <x18tc:text xml:space="preserve">COE is estimated date only. This escrow is contingent on both parties.</x18tc:text>
  </x18tc:threadedComment>
  <x18tc:threadedComment ref="A1" dT="2025-10-07T00:08:48.00" personId="{686b49bf-83f4-411b-b0f1-f0e341680f5a}" id="{cb34f724-c08c-4509-b357-2bd7a021ade8}" done="0">
    <x18tc:text xml:space="preserve">Timeframes begin the day after seller removes SPRP CR #1</x18tc:text>
  </x18tc:threadedComment>
  <x18tc:threadedComment ref="A1" dT="2025-05-14T19:33:52.00" personId="{d4b03686-3bed-491a-bd12-3b942153f8f5}" id="{02af233d-a410-4517-90a4-03321a3a0641}" done="0">
    <x18tc:text xml:space="preserve">Commission is $1000</x18tc:text>
  </x18tc:threadedComment>
  <x18tc:threadedComment ref="A1" dT="2025-02-25T17:35:18.00" personId="{d4b03686-3bed-491a-bd12-3b942153f8f5}" id="{74a2d38d-d298-4b87-8ab3-b032820593ed}" done="0">
    <x18tc:text xml:space="preserve">CARNATION LN @isabel@coryhometeam.com VERIFIED
Assigned to isabel@coryhometeam.com</x18tc:text>
    <x18tc:mentions>
      <x18tc:mention mentionpersonId="{7d00647f-be2a-4639-a5f7-08a67118a5cf}" mentionId="{33a4c22b-629c-45f3-a3e2-6fc5e6c4811d}" startIndex="13" length="24"/>
    </x18tc:mentions>
  </x18tc:threadedComment>
  <x18tc:threadedComment ref="A1" dT="2025-12-04T00:49:22.00" personId="{686b49bf-83f4-411b-b0f1-f0e341680f5a}" id="{1795088c-8781-424d-9fff-1c9bc5d2785e}" done="0">
    <x18tc:text xml:space="preserve">@dana@coryhometeam.com this is the minimum EXP is requiring on my transactions with Blake until I hit my minimum with them.</x18tc:text>
    <x18tc:mentions>
      <x18tc:mention mentionpersonId="{97a5b354-94ec-4750-87c3-99cebe208b41}" mentionId="{509062bd-73d5-49c4-962b-e17b0a0b3ec2}" startIndex="0" length="22"/>
    </x18tc:mentions>
  </x18tc:threadedComment>
  <x18tc:threadedComment ref="A1" dT="2025-02-05T22:14:22.00" personId="{d4b03686-3bed-491a-bd12-3b942153f8f5}" id="{26c45990-dc91-44f8-b8bc-b944ac5f0e40}" done="0">
    <x18tc:text xml:space="preserve">SAGE LANE @isabel@coryhometeam.com VERIFIED
Assigned to isabel@coryhometeam.com</x18tc:text>
    <x18tc:mentions>
      <x18tc:mention mentionpersonId="{7d00647f-be2a-4639-a5f7-08a67118a5cf}" mentionId="{b5ddcf4a-9c24-4d44-8732-224d09858714}" startIndex="10" length="24"/>
    </x18tc:mentions>
  </x18tc:threadedComment>
  <x18tc:threadedComment ref="A1" dT="2025-02-05T23:03:06.00" personId="{d4b03686-3bed-491a-bd12-3b942153f8f5}" id="{c17d746e-3140-4448-87d9-163a4f016fc7}" done="0">
    <x18tc:text xml:space="preserve">CHAFFEE ST @isabel@coryhometeam.com VERIFIED
Assigned to isabel@coryhometeam.com</x18tc:text>
    <x18tc:mentions>
      <x18tc:mention mentionpersonId="{7d00647f-be2a-4639-a5f7-08a67118a5cf}" mentionId="{279fb0ed-45ef-4167-af97-e22b7dec4471}" startIndex="11" length="24"/>
    </x18tc:mentions>
  </x18tc:threadedComment>
  <x18tc:threadedComment ref="A1" dT="2025-04-29T10:33:01.00" personId="{91ddd612-48c2-41c6-a628-68f42b3a1fa2}" id="{943ef051-5ba5-4944-badd-e6032fe08f0f}" done="0">
    <x18tc:text xml:space="preserve">4.29 Moved from 4.22 to 4.28 per ETA1.</x18tc:text>
  </x18tc:threadedComment>
  <x18tc:threadedComment ref="A1" dT="2025-02-05T21:05:36.00" personId="{70ef93c1-8205-4a4b-b2d2-ae0f451d890c}" id="{4bca3cc2-0bc3-417c-9bfe-75ee6abc7005}" done="0">
    <x18tc:text xml:space="preserve">Reservation 3/6-3/10 *link sent</x18tc:text>
  </x18tc:threadedComment>
  <x18tc:threadedComment ref="A1" dT="2025-02-05T22:05:59.00" personId="{d4b03686-3bed-491a-bd12-3b942153f8f5}" id="{6cac074e-a33b-4494-bca8-4e4390ab394f}" done="0">
    <x18tc:text xml:space="preserve">SAN ELIJO @isabel@coryhometeam.com VERIFIED
Assigned to isabel@coryhometeam.com</x18tc:text>
    <x18tc:mentions>
      <x18tc:mention mentionpersonId="{7d00647f-be2a-4639-a5f7-08a67118a5cf}" mentionId="{f1867e78-6372-4b39-95a9-5c6c1e1ba54a}" startIndex="10" length="24"/>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88" dT="2026-05-05T13:07:15.00" personId="{91ddd612-48c2-41c6-a628-68f42b3a1fa2}" id="{4fc4a6fc-f07f-4ef1-b8d9-6fd91770793a}" done="0">
    <x18tc:text xml:space="preserve">5.5 COE moved to 5.14 as per ADM1.</x18tc:text>
  </x18tc:threadedComment>
  <x18tc:threadedComment ref="AT171" dT="2026-04-30T16:14:28.00" personId="{91ddd612-48c2-41c6-a628-68f42b3a1fa2}" id="{f44d4ef9-1f61-4639-a0ec-6ae738b7f7cb}" done="0">
    <x18tc:text xml:space="preserve">2601 W Fruitvale Ave
AM verified.
@isabel@coryhometeam.com
@kenia@coryhometeam.com
4.30 CI sent to Escrow.
Assigned to isabel@coryhometeam.com</x18tc:text>
    <x18tc:mentions>
      <x18tc:mention mentionpersonId="{7d00647f-be2a-4639-a5f7-08a67118a5cf}" mentionId="{2279a949-2355-48d2-90f1-e67c5f3300a3}" startIndex="34" length="24"/>
      <x18tc:mention mentionpersonId="{c2b0de28-3b31-4aa3-82a3-f8aba187b3e9}" mentionId="{cf92f323-d71c-4601-b979-d480046fbaa0}" startIndex="59" length="23"/>
    </x18tc:mentions>
  </x18tc:threadedComment>
  <x18tc:threadedComment ref="AT123" dT="2026-03-20T23:40:24.00" personId="{d4b03686-3bed-491a-bd12-3b942153f8f5}" id="{9fc236fc-b837-41c0-9b47-0c18cf6a7fce}" done="0">
    <x18tc:text xml:space="preserve">VIA LA PRESA @isabel@coryhometeam.com
VERIFIED
Assigned to isabel@coryhometeam.com</x18tc:text>
    <x18tc:mentions>
      <x18tc:mention mentionpersonId="{7d00647f-be2a-4639-a5f7-08a67118a5cf}" mentionId="{4b679b9d-9ab8-4d06-93b6-c97e08b0a0b1}" startIndex="13" length="24"/>
    </x18tc:mentions>
  </x18tc:threadedComment>
  <x18tc:threadedComment ref="AT126" dT="2026-03-21T01:04:46.00" personId="{d4b03686-3bed-491a-bd12-3b942153f8f5}" id="{942fe896-12c9-441a-8b70-7d20acb95b31}" done="0">
    <x18tc:text xml:space="preserve">CLAREMONT ST @isabel@coryhometeam.com
VERIFIED
Assigned to isabel@coryhometeam.com</x18tc:text>
    <x18tc:mentions>
      <x18tc:mention mentionpersonId="{7d00647f-be2a-4639-a5f7-08a67118a5cf}" mentionId="{e0a19c9d-e777-4bfb-88a1-6389e5a75cf9}" startIndex="13" length="24"/>
    </x18tc:mentions>
  </x18tc:threadedComment>
  <x18tc:threadedComment ref="AJ143" dT="2026-04-21T21:20:40.00" personId="{686b49bf-83f4-411b-b0f1-f0e341680f5a}" id="{f05d0c88-fb40-4a82-bc57-087bbb0079d9}" done="1">
    <x18tc:text xml:space="preserve">Mel to be billed from store $500 at COE for photos. Approved by Kiona</x18tc:text>
  </x18tc:threadedComment>
  <x18tc:threadedComment ref="AJ143" dT="2026-04-23T17:16:45.00" personId="{e9fc873c-1c43-4e02-b893-c88033c9c8f6}" id="{a1d03fb4-e37f-4df4-8224-287815ea6c02}" parentId="{f05d0c88-fb40-4a82-bc57-087bbb0079d9}">
    <x18tc:text xml:space="preserve">invoice sent</x18tc:text>
  </x18tc:threadedComment>
  <x18tc:threadedComment ref="AT187" dT="2026-05-12T19:47:58.00" personId="{91ddd612-48c2-41c6-a628-68f42b3a1fa2}" id="{12affcce-cb6a-4c1b-b06f-4ac8872e42ff}" done="0">
    <x18tc:text xml:space="preserve">9830 Caminito Cuadro
AM verified.
@isabel@coryhometeam.com
@kenia@coryhometeam.com
5.12 CI sent to Escrow.
Assigned to isabel@coryhometeam.com</x18tc:text>
    <x18tc:mentions>
      <x18tc:mention mentionpersonId="{7d00647f-be2a-4639-a5f7-08a67118a5cf}" mentionId="{0851b197-0cb9-44cc-9922-4d6726671c37}" startIndex="34" length="24"/>
      <x18tc:mention mentionpersonId="{c2b0de28-3b31-4aa3-82a3-f8aba187b3e9}" mentionId="{2c18e1f7-655f-46a2-b6c0-a568f515726c}" startIndex="59" length="23"/>
    </x18tc:mentions>
  </x18tc:threadedComment>
  <x18tc:threadedComment ref="AT45" dT="2026-01-14T18:55:11.00" personId="{d4b03686-3bed-491a-bd12-3b942153f8f5}" id="{514eb1a2-404c-480c-9214-feb7b5b09a82}" done="0">
    <x18tc:text xml:space="preserve">CORTE BENAVENTE @isabel@coryhometeam.com
VERIFIED
Assigned to isabel@coryhometeam.com</x18tc:text>
    <x18tc:mentions>
      <x18tc:mention mentionpersonId="{7d00647f-be2a-4639-a5f7-08a67118a5cf}" mentionId="{7087bfc3-c278-4717-a174-e9ca0c46efca}" startIndex="16" length="24"/>
    </x18tc:mentions>
  </x18tc:threadedComment>
  <x18tc:threadedComment ref="C46" dT="2026-01-26T15:38:55.00" personId="{c7fad490-24e0-4859-bb84-4307c52d4768}" id="{5a328e3c-46a6-456f-a678-c43bd42b7291}" done="1">
    <x18tc:text xml:space="preserve">Hi @alexis@coryhometeam.com Can you please confirm the correct address? A mismatch on address #5235 (RPA) VS #5253 (RLA). Thank you!</x18tc:text>
    <x18tc:mentions>
      <x18tc:mention mentionpersonId="{e0ede1ef-7aee-4904-9f47-62fb26fea2cd}" mentionId="{e15232bc-2992-4485-b848-1adc127a5ccf}" startIndex="3" length="24"/>
    </x18tc:mentions>
  </x18tc:threadedComment>
  <x18tc:threadedComment ref="C46" dT="2026-01-26T21:46:54.00" personId="{686b49bf-83f4-411b-b0f1-f0e341680f5a}" id="{75816d12-2112-4aa1-8a6f-dd92765adc90}" parentId="{5a328e3c-46a6-456f-a678-c43bd42b7291}">
    <x18tc:text xml:space="preserve">5253 is correct.</x18tc:text>
  </x18tc:threadedComment>
  <x18tc:threadedComment ref="AT101" dT="2026-03-17T23:48:50.00" personId="{d4b03686-3bed-491a-bd12-3b942153f8f5}" id="{b68f809f-3b45-4973-a133-6bc5bcdbcbd8}" done="0">
    <x18tc:text xml:space="preserve">MURRIETA RD @isabel@coryhometeam.com
VERIFIED
Assigned to isabel@coryhometeam.com</x18tc:text>
    <x18tc:mentions>
      <x18tc:mention mentionpersonId="{7d00647f-be2a-4639-a5f7-08a67118a5cf}" mentionId="{a3bfa7e7-019b-4bfc-b345-b3322d3f2225}" startIndex="12" length="24"/>
    </x18tc:mentions>
  </x18tc:threadedComment>
  <x18tc:threadedComment ref="AT189" dT="2026-05-05T14:49:16.00" personId="{91ddd612-48c2-41c6-a628-68f42b3a1fa2}" id="{3e88c951-89e0-4c50-8b81-ece567081153}" done="0">
    <x18tc:text xml:space="preserve">681 Parkview Driv
AM verified.
@isabel@coryhometeam.com
@kenia@coryhometeam.com
5.5 CI sent to Escrow.
Assigned to isabel@coryhometeam.com</x18tc:text>
    <x18tc:mentions>
      <x18tc:mention mentionpersonId="{7d00647f-be2a-4639-a5f7-08a67118a5cf}" mentionId="{4e0d91f7-f1a4-4d56-b4e7-58d00cd1bfe2}" startIndex="31" length="24"/>
      <x18tc:mention mentionpersonId="{c2b0de28-3b31-4aa3-82a3-f8aba187b3e9}" mentionId="{a1db14e3-efad-4911-90a1-5419e0d78777}" startIndex="56" length="23"/>
    </x18tc:mentions>
  </x18tc:threadedComment>
  <x18tc:threadedComment ref="AT15" dT="2026-01-14T18:48:57.00" personId="{d4b03686-3bed-491a-bd12-3b942153f8f5}" id="{0279b0c8-87fb-4b34-b106-f71085a19edf}" done="0">
    <x18tc:text xml:space="preserve">HYDRUS PI. @isabel@coryhometeam.com
VERIFIED
Assigned to isabel@coryhometeam.com</x18tc:text>
    <x18tc:mentions>
      <x18tc:mention mentionpersonId="{7d00647f-be2a-4639-a5f7-08a67118a5cf}" mentionId="{f3a4d141-ae51-4273-91d1-83740431227a}" startIndex="11" length="24"/>
    </x18tc:mentions>
  </x18tc:threadedComment>
  <x18tc:threadedComment ref="AT16" dT="2026-01-14T18:49:03.00" personId="{d4b03686-3bed-491a-bd12-3b942153f8f5}" id="{13bd1c89-88a2-4f52-8a3a-bdf4d9dfbb3a}" done="0">
    <x18tc:text xml:space="preserve">HYDRUS PI. @isabel@coryhometeam.com
VERIFIED
Assigned to isabel@coryhometeam.com</x18tc:text>
    <x18tc:mentions>
      <x18tc:mention mentionpersonId="{7d00647f-be2a-4639-a5f7-08a67118a5cf}" mentionId="{483a6068-7a36-48f3-a07b-7736fb121f2c}" startIndex="11" length="24"/>
    </x18tc:mentions>
  </x18tc:threadedComment>
  <x18tc:threadedComment ref="AT178" dT="2026-04-20T08:15:20.00" personId="{91ddd612-48c2-41c6-a628-68f42b3a1fa2}" id="{f0d1efc1-57ed-42cf-8546-98492a96437b}" done="0">
    <x18tc:text xml:space="preserve">29419 Pebble Beach Dr
AM verified.
@isabel@coryhometeam.com
@kenia@coryhometeam.com
4.20 CI sent to Escrow.
Assigned to isabel@coryhometeam.com</x18tc:text>
    <x18tc:mentions>
      <x18tc:mention mentionpersonId="{7d00647f-be2a-4639-a5f7-08a67118a5cf}" mentionId="{c3bf458e-b86f-4928-ae8b-31fb140d8789}" startIndex="35" length="24"/>
      <x18tc:mention mentionpersonId="{c2b0de28-3b31-4aa3-82a3-f8aba187b3e9}" mentionId="{31e9a5ac-2745-4089-9c68-a3d00585b2c4}" startIndex="60" length="23"/>
    </x18tc:mentions>
  </x18tc:threadedComment>
  <x18tc:threadedComment ref="C90" dT="2026-03-26T03:35:02.00" personId="{2c0b40a3-d34a-4e30-997b-e7e5451e40bb}" id="{cc3fb8cb-47d9-409c-9403-1ed9eb7b3ffa}" done="1">
    <x18tc:text xml:space="preserve">not found on CHT Listing Board @alexis@coryhometeam.com
Assigned to alexis@coryhometeam.com</x18tc:text>
    <x18tc:mentions>
      <x18tc:mention mentionpersonId="{e0ede1ef-7aee-4904-9f47-62fb26fea2cd}" mentionId="{c2117b5f-76c6-4113-9bd8-9839feb5dec0}" startIndex="31" length="24"/>
    </x18tc:mentions>
  </x18tc:threadedComment>
  <x18tc:threadedComment ref="C90" dT="2026-03-26T17:58:27.00" personId="{686b49bf-83f4-411b-b0f1-f0e341680f5a}" id="{b645cb4e-c217-4ad6-8401-98391ae65e34}" parentId="{cc3fb8cb-47d9-409c-9403-1ed9eb7b3ffa}">
    <x18tc:text xml:space="preserve">@remy@coryhometeam.com are you referring to the Agent Listing Board? It was not added because it was a no MLS listing and Robin brought in both clients.
Reassigned to remy@coryhometeam.com</x18tc:text>
    <x18tc:mentions>
      <x18tc:mention mentionpersonId="{5fc4901b-b525-40a8-b626-e780cd452fac}" mentionId="{20030ba1-ca41-4c84-8763-519d94c4d834}" startIndex="0" length="22"/>
    </x18tc:mentions>
  </x18tc:threadedComment>
  <x18tc:threadedComment ref="C90" dT="2026-03-26T21:34:29.00" personId="{2c0b40a3-d34a-4e30-997b-e7e5451e40bb}" id="{c79c623f-f9ba-4083-a6eb-fcd8180570bc}" parentId="{cc3fb8cb-47d9-409c-9403-1ed9eb7b3ffa}">
    <x18tc:text xml:space="preserve">ok noted. Thanks!</x18tc:text>
  </x18tc:threadedComment>
  <x18tc:threadedComment ref="AG167" dT="2026-05-09T20:45:29.00" personId="{686b49bf-83f4-411b-b0f1-f0e341680f5a}" id="{4f27ce96-1c14-44c9-b0a9-c55e2d1ca437}" done="1">
    <x18tc:text xml:space="preserve">See CLOSING NOTES
@isabel@coryhometeam.com @dana@coryhometeam.com</x18tc:text>
    <x18tc:mentions>
      <x18tc:mention mentionpersonId="{7d00647f-be2a-4639-a5f7-08a67118a5cf}" mentionId="{f8677d08-36ad-458b-ac44-35cda99959e3}" startIndex="18" length="24"/>
      <x18tc:mention mentionpersonId="{97a5b354-94ec-4750-87c3-99cebe208b41}" mentionId="{24c2413d-01b1-4f7b-8639-92ca6dfc95a3}" startIndex="43" length="22"/>
    </x18tc:mentions>
  </x18tc:threadedComment>
  <x18tc:threadedComment ref="AG167" dT="2026-05-11T20:15:03.00" personId="{e9fc873c-1c43-4e02-b893-c88033c9c8f6}" id="{c0569582-fe1d-4bea-9af2-2d80d0e9e4ab}" parentId="{4f27ce96-1c14-44c9-b0a9-c55e2d1ca437}">
    <x18tc:text xml:space="preserve">@alexis@coryhometeam.com Alicia signed up 3/6 TC fees to be charged.</x18tc:text>
    <x18tc:mentions>
      <x18tc:mention mentionpersonId="{e0ede1ef-7aee-4904-9f47-62fb26fea2cd}" mentionId="{344dcd19-9d09-4a29-aaf4-ac855417ed51}" startIndex="0" length="24"/>
    </x18tc:mentions>
  </x18tc:threadedComment>
  <x18tc:threadedComment ref="AT55" dT="2026-02-12T20:26:10.00" personId="{91ddd612-48c2-41c6-a628-68f42b3a1fa2}" id="{0ce4679e-be01-486a-ac07-1a0236bbac77}" done="0">
    <x18tc:text xml:space="preserve">13751 Powers Rd
AM verified.
@isabel@coryhometeam.com
@kenia@coryhometeam.com
2.12 CI sent to Escrow.
Assigned to isabel@coryhometeam.com</x18tc:text>
    <x18tc:mentions>
      <x18tc:mention mentionpersonId="{7d00647f-be2a-4639-a5f7-08a67118a5cf}" mentionId="{a1804bc6-5f61-42dc-9c9f-121e3b3c1e74}" startIndex="29" length="24"/>
      <x18tc:mention mentionpersonId="{c2b0de28-3b31-4aa3-82a3-f8aba187b3e9}" mentionId="{5d4b7237-4a0e-4e98-b1e5-7428abc559a6}" startIndex="54" length="23"/>
    </x18tc:mentions>
  </x18tc:threadedComment>
  <x18tc:threadedComment ref="AT202" dT="2026-05-05T23:01:14.00" personId="{d4b03686-3bed-491a-bd12-3b942153f8f5}" id="{05844334-3e7d-4660-9432-ffd2954b8c21}" done="0">
    <x18tc:text xml:space="preserve">SHOSHONEE RD @isabel@coryhometeam.com
VERIFIED
Assigned to isabel@coryhometeam.com</x18tc:text>
    <x18tc:mentions>
      <x18tc:mention mentionpersonId="{7d00647f-be2a-4639-a5f7-08a67118a5cf}" mentionId="{4a26946f-bff4-4633-94c6-744459068eb8}" startIndex="13" length="24"/>
    </x18tc:mentions>
  </x18tc:threadedComment>
  <x18tc:threadedComment ref="X140" dT="2026-04-07T07:02:59.00" personId="{91ddd612-48c2-41c6-a628-68f42b3a1fa2}" id="{7386650b-b404-49df-b7e0-97530362653a}" done="0">
    <x18tc:text xml:space="preserve">4.7 COE moved to 4.20 as per ADM3.</x18tc:text>
  </x18tc:threadedComment>
  <x18tc:threadedComment ref="AT201" dT="2026-05-05T23:03:46.00" personId="{d4b03686-3bed-491a-bd12-3b942153f8f5}" id="{868e6f30-5051-4921-b6f3-25a6843c36eb}" done="0">
    <x18tc:text xml:space="preserve">FULLERTON DR @isabel@coryhometeam.com
VERIFIED
Assigned to isabel@coryhometeam.com</x18tc:text>
    <x18tc:mentions>
      <x18tc:mention mentionpersonId="{7d00647f-be2a-4639-a5f7-08a67118a5cf}" mentionId="{d33226a4-051a-4450-9d51-b0f29709329c}" startIndex="13" length="24"/>
    </x18tc:mentions>
  </x18tc:threadedComment>
  <x18tc:threadedComment ref="AN52" dT="2026-02-25T05:05:33.00" personId="{686b49bf-83f4-411b-b0f1-f0e341680f5a}" id="{38189385-c46b-480f-aeb1-8467065a9abb}" done="0">
    <x18tc:text xml:space="preserve">@dana@coryhometeam.com 
I was paid on this via splits in SS in error. Can we get this corrected?
Assigned to dana@coryhometeam.com</x18tc:text>
    <x18tc:mentions>
      <x18tc:mention mentionpersonId="{97a5b354-94ec-4750-87c3-99cebe208b41}" mentionId="{32f2cf08-ab01-48fb-9efe-64a0bb43e88d}" startIndex="0" length="22"/>
    </x18tc:mentions>
  </x18tc:threadedComment>
  <x18tc:threadedComment ref="AE115" dT="2026-03-03T11:08:23.00" personId="{91ddd612-48c2-41c6-a628-68f42b3a1fa2}" id="{1a37d403-9fae-4ad0-bd58-08f12697457d}" done="0">
    <x18tc:text xml:space="preserve">3.3 $10,000 + $5,000 Bonus paid by Seller as per take sheet.</x18tc:text>
  </x18tc:threadedComment>
  <x18tc:threadedComment ref="AE115" dT="2026-03-16T17:29:34.00" personId="{91ddd612-48c2-41c6-a628-68f42b3a1fa2}" id="{d71792e5-75d4-4948-afb2-ac74990b6165}" parentId="{1a37d403-9fae-4ad0-bd58-08f12697457d}">
    <x18tc:text xml:space="preserve">3.16 Kenia: Cavin has a subscription so he will just have the $595 admin fee for this.</x18tc:text>
  </x18tc:threadedComment>
  <x18tc:threadedComment ref="AJ175" dT="2026-05-06T19:19:32.00" personId="{283cbab7-8785-4d8a-9d80-ae85deef9da8}" id="{6a1a1e94-5d03-4f5c-9da3-d830b9017b68}" done="0">
    <x18tc:text xml:space="preserve">SA-Jessica is covering cost of Buyer Home Warranty $985.00</x18tc:text>
  </x18tc:threadedComment>
  <x18tc:threadedComment ref="AF63" dT="2026-02-12T22:00:22.00" personId="{91ddd612-48c2-41c6-a628-68f42b3a1fa2}" id="{a8783086-9581-4444-91c9-0c214f7ee62f}" done="0">
    <x18tc:text xml:space="preserve">2.12 As per Kendra's Take Sheet: I’m not charging them anything, I’ll cover the $595 fee.</x18tc:text>
  </x18tc:threadedComment>
  <x18tc:threadedComment ref="X13" dT="2026-01-06T16:43:48.00" personId="{91ddd612-48c2-41c6-a628-68f42b3a1fa2}" id="{6277ff8e-4073-4457-9ad3-c26486ced4ad}" done="0">
    <x18tc:text xml:space="preserve">1.6 Per Kenia COE moved to 1.9</x18tc:text>
  </x18tc:threadedComment>
  <x18tc:threadedComment ref="X13" dT="2026-01-12T17:25:26.00" personId="{91ddd612-48c2-41c6-a628-68f42b3a1fa2}" id="{f39a0b6b-2d9d-4e6c-9724-0e9e32660576}" parentId="{6277ff8e-4073-4457-9ad3-c26486ced4ad}">
    <x18tc:text xml:space="preserve">1.12 ETA 4 COE 1.12 out for signature.</x18tc:text>
  </x18tc:threadedComment>
  <x18tc:threadedComment ref="AJ45" dT="2026-02-13T18:14:27.00" personId="{686b49bf-83f4-411b-b0f1-f0e341680f5a}" id="{2b6054e4-97ca-430d-8e86-ee3c5ae93df5}" done="0">
    <x18tc:text xml:space="preserve">Nate to credit Seller $400 of his commission toward Home Warranty</x18tc:text>
  </x18tc:threadedComment>
  <x18tc:threadedComment ref="AG41" dT="2026-01-15T20:20:02.00" personId="{d4b03686-3bed-491a-bd12-3b942153f8f5}" id="{2be9bbb7-b8cb-4541-ab4e-1044fcb95177}" done="0">
    <x18tc:text xml:space="preserve">$305.00</x18tc:text>
  </x18tc:threadedComment>
  <x18tc:threadedComment ref="AE59" dT="2026-01-28T00:08:24.00" personId="{d4b03686-3bed-491a-bd12-3b942153f8f5}" id="{e3c0507f-47d8-46ef-b31d-a8aafb77f864}" done="0">
    <x18tc:text xml:space="preserve">Commission based on $600K as per SCO</x18tc:text>
  </x18tc:threadedComment>
  <x18tc:threadedComment ref="AJ4" dT="2026-01-06T21:46:56.00" personId="{686b49bf-83f4-411b-b0f1-f0e341680f5a}" id="{04d69ffe-997d-47f9-a226-44b32ae3ce01}" done="0">
    <x18tc:text xml:space="preserve">$780 to be covered by CHT
$170 to be covered by Robin's commission
No approval was provided with the request to upgrade the coverage to Platinum</x18tc:text>
  </x18tc:threadedComment>
  <x18tc:threadedComment ref="AT68" dT="2026-02-26T11:34:58.00" personId="{91ddd612-48c2-41c6-a628-68f42b3a1fa2}" id="{ec8130e5-6324-4773-8817-d73428a02f49}" done="0">
    <x18tc:text xml:space="preserve">5164 Indian Court
AM verified.
@isabel@coryhometeam.com
@kenia@coryhometeam.com
2.26 CI sent to Escrow.
Assigned to isabel@coryhometeam.com</x18tc:text>
    <x18tc:mentions>
      <x18tc:mention mentionpersonId="{7d00647f-be2a-4639-a5f7-08a67118a5cf}" mentionId="{dd0935fe-0ec4-4604-bf91-1c0eaf97528e}" startIndex="31" length="24"/>
      <x18tc:mention mentionpersonId="{c2b0de28-3b31-4aa3-82a3-f8aba187b3e9}" mentionId="{24dbef67-9021-4e72-a912-ad3322602129}" startIndex="56" length="23"/>
    </x18tc:mentions>
  </x18tc:threadedComment>
  <x18tc:threadedComment ref="AT188" dT="2026-04-30T16:10:32.00" personId="{91ddd612-48c2-41c6-a628-68f42b3a1fa2}" id="{9998a71d-9f92-4245-9724-2a591dd273db}" done="0">
    <x18tc:text xml:space="preserve">7293 El Cielo Cir
AM verified.
@isabel@coryhometeam.com
@kenia@coryhometeam.com
4.30 CI sent to Escrow.
Assigned to isabel@coryhometeam.com</x18tc:text>
    <x18tc:mentions>
      <x18tc:mention mentionpersonId="{7d00647f-be2a-4639-a5f7-08a67118a5cf}" mentionId="{76e44a40-6871-46ff-8562-137dc2ffc18d}" startIndex="31" length="24"/>
      <x18tc:mention mentionpersonId="{c2b0de28-3b31-4aa3-82a3-f8aba187b3e9}" mentionId="{806add3c-0930-43f6-8d4a-16231ad59124}" startIndex="56" length="23"/>
    </x18tc:mentions>
  </x18tc:threadedComment>
  <x18tc:threadedComment ref="X142" dT="2026-04-03T16:18:43.00" personId="{91ddd612-48c2-41c6-a628-68f42b3a1fa2}" id="{f8ac8a84-76a0-4999-8305-1bac4dfddadd}" done="0">
    <x18tc:text xml:space="preserve">4.3 COE moved to 4/10. Please refer to ETA1.</x18tc:text>
  </x18tc:threadedComment>
  <x18tc:threadedComment ref="X142" dT="2026-04-14T12:13:03.00" personId="{91ddd612-48c2-41c6-a628-68f42b3a1fa2}" id="{4a6269ae-35d9-4768-945a-2a9f4ecc865a}" parentId="{f8ac8a84-76a0-4999-8305-1bac4dfddadd}">
    <x18tc:text xml:space="preserve">4.13 Pushed to 4.17 per Kenia.</x18tc:text>
  </x18tc:threadedComment>
  <x18tc:threadedComment ref="X142" dT="2026-04-20T13:15:48.00" personId="{91ddd612-48c2-41c6-a628-68f42b3a1fa2}" id="{b7ff2ef3-bda6-4933-8dcb-59d9e5b40056}" parentId="{f8ac8a84-76a0-4999-8305-1bac4dfddadd}">
    <x18tc:text xml:space="preserve">4.20 Per ETA2 COE to close 4.20 or sooner.</x18tc:text>
  </x18tc:threadedComment>
  <x18tc:threadedComment ref="C92" dT="2026-03-03T18:28:41.00" personId="{e9fc873c-1c43-4e02-b893-c88033c9c8f6}" id="{8b0f3fae-5356-4a75-af5e-0f0ec9a2830d}" done="0">
    <x18tc:text xml:space="preserve">@dana@coryhometeam.com Reminder to myself to charge Carmen for past due ISA services through the store after this closes.
Assigned to dana@coryhometeam.com</x18tc:text>
    <x18tc:mentions>
      <x18tc:mention mentionpersonId="{97a5b354-94ec-4750-87c3-99cebe208b41}" mentionId="{c97dd5c6-c87a-4063-b72e-6898aabe478f}" startIndex="0" length="22"/>
    </x18tc:mentions>
  </x18tc:threadedComment>
  <x18tc:threadedComment ref="AG47" dT="2026-02-06T21:03:02.00" personId="{686b49bf-83f4-411b-b0f1-f0e341680f5a}" id="{b84309f0-042b-48bf-9966-08259e1f356a}" done="0">
    <x18tc:text xml:space="preserve">Old Listing - prior to changes.</x18tc:text>
  </x18tc:threadedComment>
  <x18tc:threadedComment ref="AG89" dT="2026-02-06T21:03:08.00" personId="{686b49bf-83f4-411b-b0f1-f0e341680f5a}" id="{f4149e21-1ab8-4c50-bf38-85169ff33838}" done="0">
    <x18tc:text xml:space="preserve">Old Listing - prior to changes.</x18tc:text>
  </x18tc:threadedComment>
  <x18tc:threadedComment ref="AT58" dT="2026-02-05T22:45:53.00" personId="{d4b03686-3bed-491a-bd12-3b942153f8f5}" id="{ca73ce38-e46e-493c-965c-344bf86d7b87}" done="0">
    <x18tc:text xml:space="preserve">ELIZABETH LN @isabel@coryhometeam.com
VERIFIED
Assigned to isabel@coryhometeam.com</x18tc:text>
    <x18tc:mentions>
      <x18tc:mention mentionpersonId="{7d00647f-be2a-4639-a5f7-08a67118a5cf}" mentionId="{2bfe8803-0a1c-4336-a1a3-d291bf38ead8}" startIndex="13" length="24"/>
    </x18tc:mentions>
  </x18tc:threadedComment>
  <x18tc:threadedComment ref="C30" dT="2026-02-06T15:49:29.00" personId="{c7fad490-24e0-4859-bb84-4307c52d4768}" id="{4febcb9e-9227-4d09-8020-0fcbd411ba31}" done="1">
    <x18tc:text xml:space="preserve">Please confirm how to proceed with Zillow referral, seller is a Zillow Flex @dana@coryhometeam.com</x18tc:text>
    <x18tc:mentions>
      <x18tc:mention mentionpersonId="{97a5b354-94ec-4750-87c3-99cebe208b41}" mentionId="{0b5fcb08-5148-45b0-bb60-d1de14c67e2d}" startIndex="76" length="22"/>
    </x18tc:mentions>
  </x18tc:threadedComment>
  <x18tc:threadedComment ref="AH130" dT="2026-04-10T20:36:12.00" personId="{e9fc873c-1c43-4e02-b893-c88033c9c8f6}" id="{5111617d-de62-4aa7-a924-0260e9c05dcf}" done="0">
    <x18tc:text xml:space="preserve">approved to be waived</x18tc:text>
  </x18tc:threadedComment>
  <x18tc:threadedComment ref="AT131" dT="2026-04-03T23:56:34.00" personId="{d4b03686-3bed-491a-bd12-3b942153f8f5}" id="{7bea020d-8896-4846-bcea-da7d2ad7e662}" done="0">
    <x18tc:text xml:space="preserve">WILLOW DR @isabel@coryhometeam.com
VERIFIED
Assigned to isabel@coryhometeam.com</x18tc:text>
    <x18tc:mentions>
      <x18tc:mention mentionpersonId="{7d00647f-be2a-4639-a5f7-08a67118a5cf}" mentionId="{9c22b57f-de1a-42d4-b24c-97c29afb6694}" startIndex="10" length="24"/>
    </x18tc:mentions>
  </x18tc:threadedComment>
  <x18tc:threadedComment ref="AE85" dT="2026-03-03T06:41:01.00" personId="{686b49bf-83f4-411b-b0f1-f0e341680f5a}" id="{2be93820-b966-48e8-8eb9-b476b345f273}" done="0">
    <x18tc:text xml:space="preserve">Per AEA #2 - compensation to be paid from $450,000</x18tc:text>
  </x18tc:threadedComment>
  <x18tc:threadedComment ref="AJ74" dT="2026-03-03T06:50:43.00" personId="{686b49bf-83f4-411b-b0f1-f0e341680f5a}" id="{b4ccbf0a-e028-44ef-8a23-6a2543978c3e}" done="1">
    <x18tc:text xml:space="preserve">@dana@coryhometeam.com This will need to be billed to Myrna at COE for payment.
Showcase Photos $500
Sign Install $99
Assigned to dana@coryhometeam.com</x18tc:text>
    <x18tc:mentions>
      <x18tc:mention mentionpersonId="{97a5b354-94ec-4750-87c3-99cebe208b41}" mentionId="{020d351c-18d2-4354-a033-d8d5c9115ccf}" startIndex="0" length="22"/>
    </x18tc:mentions>
  </x18tc:threadedComment>
  <x18tc:threadedComment ref="AJ74" dT="2026-03-05T22:01:54.00" personId="{686b49bf-83f4-411b-b0f1-f0e341680f5a}" id="{c261c378-a66d-490c-8922-daf737ecf0bd}" parentId="{b4ccbf0a-e028-44ef-8a23-6a2543978c3e}">
    <x18tc:text xml:space="preserve">@isabel@coryhometeam.com I correctd this. I am not sure why it had $304 on there. Dana will need to generate the Invoice in the store.
Reassigned to isabel@coryhometeam.com</x18tc:text>
    <x18tc:mentions>
      <x18tc:mention mentionpersonId="{7d00647f-be2a-4639-a5f7-08a67118a5cf}" mentionId="{fc6adca3-ee3e-4292-80d2-e76f393e05cc}" startIndex="0" length="24"/>
    </x18tc:mentions>
  </x18tc:threadedComment>
  <x18tc:threadedComment ref="AJ74" dT="2026-03-06T18:39:23.00" personId="{e9fc873c-1c43-4e02-b893-c88033c9c8f6}" id="{de089b7f-4b88-497d-a9ba-c87469be7f86}" parentId="{b4ccbf0a-e028-44ef-8a23-6a2543978c3e}">
    <x18tc:text xml:space="preserve">invoice sent</x18tc:text>
  </x18tc:threadedComment>
  <x18tc:threadedComment ref="AT145" dT="2026-04-04T00:00:33.00" personId="{d4b03686-3bed-491a-bd12-3b942153f8f5}" id="{e3eff6cd-7a70-4d92-8013-57c13452ddf3}" done="0">
    <x18tc:text xml:space="preserve">JOAQUIN RIDGE @isabel@coryhometeam.com
VERIFIED
Assigned to isabel@coryhometeam.com</x18tc:text>
    <x18tc:mentions>
      <x18tc:mention mentionpersonId="{7d00647f-be2a-4639-a5f7-08a67118a5cf}" mentionId="{1e391391-0262-48b9-a6eb-d26c3a5c9e8d}" startIndex="14" length="24"/>
    </x18tc:mentions>
  </x18tc:threadedComment>
  <x18tc:threadedComment ref="AD86" dT="2026-01-09T18:55:12.00" personId="{d4b03686-3bed-491a-bd12-3b942153f8f5}" id="{5cdf61e5-88d6-4900-8809-9567baec8392}" done="0">
    <x18tc:text xml:space="preserve">$589.00</x18tc:text>
  </x18tc:threadedComment>
  <x18tc:threadedComment ref="AB130" dT="2026-03-26T15:20:57.00" personId="{e9fc873c-1c43-4e02-b893-c88033c9c8f6}" id="{af97b2b5-3e31-46da-8f66-c6517bd5d4c5}" done="0">
    <x18tc:text xml:space="preserve">original lead source is Zillow, reg 2022, no referral fee due</x18tc:text>
  </x18tc:threadedComment>
  <x18tc:threadedComment ref="AB130" dT="2026-03-26T15:32:21.00" personId="{e9fc873c-1c43-4e02-b893-c88033c9c8f6}" id="{d5d0fb1b-9c3a-4c3d-ad3e-fc8b4607785b}" parentId="{af97b2b5-3e31-46da-8f66-c6517bd5d4c5}">
    <x18tc:text xml:space="preserve">The splits are for Tyler not Blake- company provided lead 50/50 split @isabel@coryhometeam.com</x18tc:text>
    <x18tc:mentions>
      <x18tc:mention mentionpersonId="{7d00647f-be2a-4639-a5f7-08a67118a5cf}" mentionId="{140176a8-cca8-4744-9917-8f7f2968470d}" startIndex="70" length="24"/>
    </x18tc:mentions>
  </x18tc:threadedComment>
  <x18tc:threadedComment ref="AF59" dT="2026-02-06T21:17:59.00" personId="{686b49bf-83f4-411b-b0f1-f0e341680f5a}" id="{c96f6123-b275-4194-9023-73fa9d040cc9}" done="0">
    <x18tc:text xml:space="preserve">Old Listing - prior to changes.</x18tc:text>
  </x18tc:threadedComment>
  <x18tc:threadedComment ref="AT46" dT="2026-02-03T15:16:41.00" personId="{d4b03686-3bed-491a-bd12-3b942153f8f5}" id="{04352627-3308-45f9-a484-04853397d252}" done="0">
    <x18tc:text xml:space="preserve">YOSEMITE DR @isabel@coryhometeam.com
VERIFIED
Assigned to isabel@coryhometeam.com</x18tc:text>
    <x18tc:mentions>
      <x18tc:mention mentionpersonId="{7d00647f-be2a-4639-a5f7-08a67118a5cf}" mentionId="{35b356c1-1e9a-46d6-84d1-687c4aa48ab8}" startIndex="12" length="24"/>
    </x18tc:mentions>
  </x18tc:threadedComment>
  <x18tc:threadedComment ref="AF81" dT="2026-02-06T21:43:14.00" personId="{686b49bf-83f4-411b-b0f1-f0e341680f5a}" id="{4900b645-fadf-42d7-94f4-dd8ae7558821}" done="0">
    <x18tc:text xml:space="preserve">Old Listing - prior to changes.</x18tc:text>
  </x18tc:threadedComment>
  <x18tc:threadedComment ref="X87" dT="2026-03-06T20:57:58.00" personId="{91ddd612-48c2-41c6-a628-68f42b3a1fa2}" id="{5840c916-7a8c-4209-ad8d-52f0bf6fcfd8}" done="0">
    <x18tc:text xml:space="preserve">3.6 COE moved as per ETA1.</x18tc:text>
  </x18tc:threadedComment>
  <x18tc:threadedComment ref="AG44" dT="2026-02-06T21:14:32.00" personId="{686b49bf-83f4-411b-b0f1-f0e341680f5a}" id="{cd09acfe-1587-42d3-a440-b0a3a406e27d}" done="0">
    <x18tc:text xml:space="preserve">Old Listing - prior to changes.</x18tc:text>
  </x18tc:threadedComment>
  <x18tc:threadedComment ref="AM36" dT="2026-02-02T21:44:07.00" personId="{686b49bf-83f4-411b-b0f1-f0e341680f5a}" id="{a9696f12-bd7d-4222-bacc-08b67cb6937c}" done="0">
    <x18tc:text xml:space="preserve">This split is approved by Blake</x18tc:text>
  </x18tc:threadedComment>
  <x18tc:threadedComment ref="P107" dT="2026-03-03T10:04:37.00" personId="{91ddd612-48c2-41c6-a628-68f42b3a1fa2}" id="{b5f225b9-0007-40e5-85ff-0de465410ef1}" done="0">
    <x18tc:text xml:space="preserve">3.3 Needs AEA to clarify.</x18tc:text>
  </x18tc:threadedComment>
  <x18tc:threadedComment ref="AT93" dT="2026-02-05T23:24:44.00" personId="{d4b03686-3bed-491a-bd12-3b942153f8f5}" id="{c1dcedd9-37db-4624-af7a-27098565d30e}" done="0">
    <x18tc:text xml:space="preserve">14th STREET @isabel@coryhometeam.com
VERIFIED
Assigned to isabel@coryhometeam.com</x18tc:text>
    <x18tc:mentions>
      <x18tc:mention mentionpersonId="{7d00647f-be2a-4639-a5f7-08a67118a5cf}" mentionId="{6925dda9-6f34-4009-8a6f-cf2b68857af0}" startIndex="12" length="24"/>
    </x18tc:mentions>
  </x18tc:threadedComment>
  <x18tc:threadedComment ref="AT57" dT="2026-02-05T23:49:42.00" personId="{d4b03686-3bed-491a-bd12-3b942153f8f5}" id="{b2605209-484a-40c6-b266-4e8248e6532e}" done="0">
    <x18tc:text xml:space="preserve">SARADELLA COURT @isabel@coryhometeam.com
VERIFIED
Assigned to isabel@coryhometeam.com</x18tc:text>
    <x18tc:mentions>
      <x18tc:mention mentionpersonId="{7d00647f-be2a-4639-a5f7-08a67118a5cf}" mentionId="{7eb6b894-35ee-41bd-821a-da432671bc02}" startIndex="16" length="24"/>
    </x18tc:mentions>
  </x18tc:threadedComment>
  <x18tc:threadedComment ref="AT54" dT="2026-02-05T23:39:20.00" personId="{d4b03686-3bed-491a-bd12-3b942153f8f5}" id="{be26a452-39ff-4293-b28d-caab1137cff1}" done="0">
    <x18tc:text xml:space="preserve">DEL PASO CT @isabel@coryhometeam.com
VERIFIED
Assigned to isabel@coryhometeam.com</x18tc:text>
    <x18tc:mentions>
      <x18tc:mention mentionpersonId="{7d00647f-be2a-4639-a5f7-08a67118a5cf}" mentionId="{f47d7b39-d956-4976-90ef-3858c2982947}" startIndex="12" length="24"/>
    </x18tc:mentions>
  </x18tc:threadedComment>
  <x18tc:threadedComment ref="G130" dT="2026-03-26T15:33:14.00" personId="{e9fc873c-1c43-4e02-b893-c88033c9c8f6}" id="{dbc20599-6fe5-4233-9740-c1f189b225dc}" done="0">
    <x18tc:text xml:space="preserve">Tyler is the agent</x18tc:text>
  </x18tc:threadedComment>
  <x18tc:threadedComment ref="AT84" dT="2026-02-24T12:27:55.00" personId="{d4b03686-3bed-491a-bd12-3b942153f8f5}" id="{6e360fd3-0572-447f-ab43-ac40716c2e21}" done="0">
    <x18tc:text xml:space="preserve">EASTVIEW LN @isabel@coryhometeam.com
VERIFIED
Assigned to isabel@coryhometeam.com</x18tc:text>
    <x18tc:mentions>
      <x18tc:mention mentionpersonId="{7d00647f-be2a-4639-a5f7-08a67118a5cf}" mentionId="{a04e8bfd-d34d-4d2d-8755-09825d840c40}" startIndex="12" length="24"/>
    </x18tc:mentions>
  </x18tc:threadedComment>
  <x18tc:threadedComment ref="AE222" dT="2026-05-15T18:58:21.00" personId="{91ddd612-48c2-41c6-a628-68f42b3a1fa2}" id="{8e53ae19-d0b0-48af-b9cd-d597a46edca5}" done="0">
    <x18tc:text xml:space="preserve">The commission is flat fee.</x18tc:text>
  </x18tc:threadedComment>
  <x18tc:threadedComment ref="AT67" dT="2026-02-24T13:07:43.00" personId="{d4b03686-3bed-491a-bd12-3b942153f8f5}" id="{24ae2799-eece-4960-b5f4-e94ec3eb3f79}" done="0">
    <x18tc:text xml:space="preserve">RECHE CANYON @isabel@coryhometeam.com
VERIFIED
Assigned to isabel@coryhometeam.com</x18tc:text>
    <x18tc:mentions>
      <x18tc:mention mentionpersonId="{7d00647f-be2a-4639-a5f7-08a67118a5cf}" mentionId="{5cd95b58-5ef3-42b8-8e19-11784dca80de}" startIndex="13" length="24"/>
    </x18tc:mentions>
  </x18tc:threadedComment>
  <x18tc:threadedComment ref="AG63" dT="2026-02-24T15:55:57.00" personId="{91ddd612-48c2-41c6-a628-68f42b3a1fa2}" id="{51222a7b-4512-49d2-a426-f18871b264a8}" done="0">
    <x18tc:text xml:space="preserve">2.24 Kenia: Per Kendra, We need to remove admin fee completely. Buyer is only paying the commission.</x18tc:text>
  </x18tc:threadedComment>
  <x18tc:threadedComment ref="AJ60" dT="2026-02-24T23:11:05.00" personId="{686b49bf-83f4-411b-b0f1-f0e341680f5a}" id="{c8208b2c-c823-4e96-a864-27de0c052319}" done="0">
    <x18tc:text xml:space="preserve">From Mario's commission to be invoiced through the store:
Photo Package $500
Showcase Token $350
Sign Install $75</x18tc:text>
  </x18tc:threadedComment>
  <x18tc:threadedComment ref="AT212" dT="2026-05-18T13:14:04.00" personId="{91ddd612-48c2-41c6-a628-68f42b3a1fa2}" id="{965fff37-f17f-47a7-96ed-8544d2c8f901}" done="0">
    <x18tc:text xml:space="preserve">1217 Juliette Place
AM verified.
@isabel@coryhometeam.com
@kenia@coryhometeam.com
5.18 CI sent to Escrow.
Assigned to isabel@coryhometeam.com</x18tc:text>
    <x18tc:mentions>
      <x18tc:mention mentionpersonId="{7d00647f-be2a-4639-a5f7-08a67118a5cf}" mentionId="{5acd192d-1195-4955-b5c6-15d2bb31b078}" startIndex="33" length="24"/>
      <x18tc:mention mentionpersonId="{c2b0de28-3b31-4aa3-82a3-f8aba187b3e9}" mentionId="{7fbd2dba-4f13-4fd6-928a-62dfcdd79971}" startIndex="58" length="23"/>
    </x18tc:mentions>
  </x18tc:threadedComment>
  <x18tc:threadedComment ref="AT92" dT="2026-02-24T23:01:22.00" personId="{91ddd612-48c2-41c6-a628-68f42b3a1fa2}" id="{e22c8c37-9857-4304-9f5d-7b4968fe7754}" done="0">
    <x18tc:text xml:space="preserve">254 Saguaro Place Pl
AM verified.
@isabel@coryhometeam.com
@kenia@coryhometeam.com
2.24 CI sent to Escrow.
Assigned to isabel@coryhometeam.com</x18tc:text>
    <x18tc:mentions>
      <x18tc:mention mentionpersonId="{7d00647f-be2a-4639-a5f7-08a67118a5cf}" mentionId="{b14c8bf4-1aba-4cf7-bdcc-7337f1bcdb86}" startIndex="34" length="24"/>
      <x18tc:mention mentionpersonId="{c2b0de28-3b31-4aa3-82a3-f8aba187b3e9}" mentionId="{34e9b102-fda8-403d-9cd2-873b536e7e63}" startIndex="59" length="23"/>
    </x18tc:mentions>
  </x18tc:threadedComment>
  <x18tc:threadedComment ref="AT3" dT="2026-03-05T00:24:57.00" personId="{d4b03686-3bed-491a-bd12-3b942153f8f5}" id="{28a11398-6eeb-42b0-b147-17506b00ddd2}" done="0">
    <x18tc:text xml:space="preserve">AMETHYST DR @isabel@coryhometeam.com
VERIFIED
Assigned to isabel@coryhometeam.com</x18tc:text>
    <x18tc:mentions>
      <x18tc:mention mentionpersonId="{7d00647f-be2a-4639-a5f7-08a67118a5cf}" mentionId="{2b81fbf9-1610-474c-940d-eeb451575e9f}" startIndex="12" length="24"/>
    </x18tc:mentions>
  </x18tc:threadedComment>
  <x18tc:threadedComment ref="AT209" dT="2026-05-05T13:27:22.00" personId="{91ddd612-48c2-41c6-a628-68f42b3a1fa2}" id="{71e3b0c7-091e-4462-8cfc-57c833ac3b5e}" done="0">
    <x18tc:text xml:space="preserve">28410 Pinon Court
AM verified.
@isabel@coryhometeam.com
@kenia@coryhometeam.com
5.5 CI sent to Escrow.
Assigned to isabel@coryhometeam.com</x18tc:text>
    <x18tc:mentions>
      <x18tc:mention mentionpersonId="{7d00647f-be2a-4639-a5f7-08a67118a5cf}" mentionId="{eacc49bc-1ae2-42f5-a125-6af2ab94fab9}" startIndex="31" length="24"/>
      <x18tc:mention mentionpersonId="{c2b0de28-3b31-4aa3-82a3-f8aba187b3e9}" mentionId="{c771731f-acf3-4c8b-9862-56c6305b1aac}" startIndex="56" length="23"/>
    </x18tc:mentions>
  </x18tc:threadedComment>
  <x18tc:threadedComment ref="AT144" dT="2026-04-02T05:53:26.00" personId="{91ddd612-48c2-41c6-a628-68f42b3a1fa2}" id="{730d9edd-7ac7-469d-8d77-ebe58a7114cc}" done="0">
    <x18tc:text xml:space="preserve">35899 Gatineau St
AM verified.
@isabel@coryhometeam.com
@kenia@coryhometeam.com
4.2 CI sent to Escrow.
Assigned to isabel@coryhometeam.com</x18tc:text>
    <x18tc:mentions>
      <x18tc:mention mentionpersonId="{7d00647f-be2a-4639-a5f7-08a67118a5cf}" mentionId="{8ea0480d-c611-40af-8468-f4150058ff28}" startIndex="31" length="24"/>
      <x18tc:mention mentionpersonId="{c2b0de28-3b31-4aa3-82a3-f8aba187b3e9}" mentionId="{bdd829ed-14db-473b-9e22-9f8bba067c23}" startIndex="56" length="23"/>
    </x18tc:mentions>
  </x18tc:threadedComment>
  <x18tc:threadedComment ref="AT34" dT="2026-01-22T23:29:12.00" personId="{d4b03686-3bed-491a-bd12-3b942153f8f5}" id="{69bf8095-15ff-4879-811a-e3cf9ab3912e}" done="0">
    <x18tc:text xml:space="preserve">JORDAN AVENUE @isabel@coryhometeam.com
VERIFIED
Assigned to isabel@coryhometeam.com</x18tc:text>
    <x18tc:mentions>
      <x18tc:mention mentionpersonId="{7d00647f-be2a-4639-a5f7-08a67118a5cf}" mentionId="{4c69736c-6ef1-40fb-853e-529d59aa0f66}" startIndex="14" length="24"/>
    </x18tc:mentions>
  </x18tc:threadedComment>
  <x18tc:threadedComment ref="AJ220" dT="2026-06-10T00:32:47.00" personId="{686b49bf-83f4-411b-b0f1-f0e341680f5a}" id="{8badc98f-f4ee-40b7-9898-396a25fefbcf}" done="0">
    <x18tc:text xml:space="preserve">Cherée is crediting this from her commission toward Buyer's Home Warranty.</x18tc:text>
  </x18tc:threadedComment>
  <x18tc:threadedComment ref="AD66" dT="2026-02-06T20:08:08.00" personId="{d4b03686-3bed-491a-bd12-3b942153f8f5}" id="{c230365c-5d22-432b-81a8-ef41259c03c6}" done="0">
    <x18tc:text xml:space="preserve">2% from seller - 2% from buyer</x18tc:text>
  </x18tc:threadedComment>
  <x18tc:threadedComment ref="AB36" dT="2026-02-03T23:24:06.00" personId="{e9fc873c-1c43-4e02-b893-c88033c9c8f6}" id="{28be63fd-dfbd-4083-93b9-0b997d82e7c7}" done="0">
    <x18tc:text xml:space="preserve">@isabel@coryhometeam.com this is confirmed Marios SOI- he was going to list it and they went with Blakes cash offer
Assigned to isabel@coryhometeam.com</x18tc:text>
    <x18tc:mentions>
      <x18tc:mention mentionpersonId="{7d00647f-be2a-4639-a5f7-08a67118a5cf}" mentionId="{4bff36f2-b74d-4876-9c58-bab6e7ab9fc7}" startIndex="0" length="24"/>
    </x18tc:mentions>
  </x18tc:threadedComment>
  <x18tc:threadedComment ref="X179" dT="2026-04-14T12:38:51.00" personId="{91ddd612-48c2-41c6-a628-68f42b3a1fa2}" id="{11cc2db9-ecbe-4830-bec4-8db4c3247e28}" done="0">
    <x18tc:text xml:space="preserve">COE moved 5.11 as per AEA1.</x18tc:text>
  </x18tc:threadedComment>
  <x18tc:threadedComment ref="X180" dT="2026-05-14T16:27:42.00" personId="{686b49bf-83f4-411b-b0f1-f0e341680f5a}" id="{f97f7f75-5b22-4c7a-82e8-02c99dea35c5}" done="0">
    <x18tc:text xml:space="preserve">Buyer signed docs on 05/13. Lender needs 24 hour review of docs.</x18tc:text>
  </x18tc:threadedComment>
  <x18tc:threadedComment ref="AT100" dT="2026-02-27T15:44:36.00" personId="{91ddd612-48c2-41c6-a628-68f42b3a1fa2}" id="{fd8c374f-1074-470a-b113-d1f81a3bcb29}" done="0">
    <x18tc:text xml:space="preserve">29864 Warm Sands Dr
AM verified.
@isabel@coryhometeam.com
@kenia@coryhometeam.com
2.27 CI sent to Escrow.
Assigned to isabel@coryhometeam.com</x18tc:text>
    <x18tc:mentions>
      <x18tc:mention mentionpersonId="{7d00647f-be2a-4639-a5f7-08a67118a5cf}" mentionId="{d283473b-071b-4f10-a01e-2648ab0ec670}" startIndex="33" length="24"/>
      <x18tc:mention mentionpersonId="{c2b0de28-3b31-4aa3-82a3-f8aba187b3e9}" mentionId="{1cf99d43-02e6-4da3-bdda-cf0d4b66b5c6}" startIndex="58" length="23"/>
    </x18tc:mentions>
  </x18tc:threadedComment>
  <x18tc:threadedComment ref="AT174" dT="2026-04-23T12:06:53.00" personId="{91ddd612-48c2-41c6-a628-68f42b3a1fa2}" id="{ff7c1962-8470-40dc-a338-d59ec520ef06}" done="0">
    <x18tc:text xml:space="preserve">22425 Shore View Court
AM verified.
@isabel@coryhometeam.com
@kenia@coryhometeam.com
4.23 CI sent to Escrow.
Assigned to isabel@coryhometeam.com</x18tc:text>
    <x18tc:mentions>
      <x18tc:mention mentionpersonId="{7d00647f-be2a-4639-a5f7-08a67118a5cf}" mentionId="{d6e1494f-0b35-4596-b80f-4d178104095f}" startIndex="36" length="24"/>
      <x18tc:mention mentionpersonId="{c2b0de28-3b31-4aa3-82a3-f8aba187b3e9}" mentionId="{2e5bf044-7c06-4792-8907-d099c8663ceb}" startIndex="61" length="23"/>
    </x18tc:mentions>
  </x18tc:threadedComment>
  <x18tc:threadedComment ref="P178" dT="2026-04-13T22:19:06.00" personId="{91ddd612-48c2-41c6-a628-68f42b3a1fa2}" id="{afb847fd-7aa2-45b7-8246-b2d04049d694}" done="0">
    <x18tc:text xml:space="preserve">Home Guard</x18tc:text>
  </x18tc:threadedComment>
  <x18tc:threadedComment ref="AD125" dT="2026-03-19T14:54:21.00" personId="{686b49bf-83f4-411b-b0f1-f0e341680f5a}" id="{eaf6a6b9-6a55-4734-a8f9-8da467e1f98a}" done="0">
    <x18tc:text xml:space="preserve">1.0% paid by OpenDoor
1.5% additional collected paid by Seller.</x18tc:text>
  </x18tc:threadedComment>
  <x18tc:threadedComment ref="AD164" dT="2026-04-13T23:08:52.00" personId="{91ddd612-48c2-41c6-a628-68f42b3a1fa2}" id="{2c3459aa-17bb-4f0a-b453-1527da4dcee0}" done="0">
    <x18tc:text xml:space="preserve">Flat fee $11,950.00</x18tc:text>
  </x18tc:threadedComment>
  <x18tc:threadedComment ref="AT166" dT="2026-04-14T12:04:28.00" personId="{91ddd612-48c2-41c6-a628-68f42b3a1fa2}" id="{8b5c66b2-8f6b-4197-8683-6149bcb75c27}" done="0">
    <x18tc:text xml:space="preserve">28480 Cosmos Dr
AM verified.
@isabel@coryhometeam.com
@kenia@coryhometeam.com
4.14 CI sent to Escrow.
Assigned to isabel@coryhometeam.com</x18tc:text>
    <x18tc:mentions>
      <x18tc:mention mentionpersonId="{7d00647f-be2a-4639-a5f7-08a67118a5cf}" mentionId="{a6577fc8-4156-44b5-a7a2-942c84e366c3}" startIndex="29" length="24"/>
      <x18tc:mention mentionpersonId="{c2b0de28-3b31-4aa3-82a3-f8aba187b3e9}" mentionId="{e925cdc2-dd31-4c56-ae30-148b7cf98d63}" startIndex="54" length="23"/>
    </x18tc:mentions>
  </x18tc:threadedComment>
  <x18tc:threadedComment ref="AT216" dT="2026-05-19T16:12:18.00" personId="{91ddd612-48c2-41c6-a628-68f42b3a1fa2}" id="{9105c30a-d080-4be5-a918-daa8f9da4348}" done="0">
    <x18tc:text xml:space="preserve">31336 Pine Oak Rd
AM verified.
@isabel@coryhometeam.com
@kenia@coryhometeam.com
5.19 CI sent to Escrow.
Assigned to isabel@coryhometeam.com</x18tc:text>
    <x18tc:mentions>
      <x18tc:mention mentionpersonId="{7d00647f-be2a-4639-a5f7-08a67118a5cf}" mentionId="{9ff06d0f-a753-41a6-9cfc-1e4c175f3b6b}" startIndex="31" length="24"/>
      <x18tc:mention mentionpersonId="{c2b0de28-3b31-4aa3-82a3-f8aba187b3e9}" mentionId="{cf54176f-60aa-4913-b8b9-0fed7be89fe0}" startIndex="56" length="23"/>
    </x18tc:mentions>
  </x18tc:threadedComment>
  <x18tc:threadedComment ref="AJ49" dT="2026-02-03T20:14:22.00" personId="{91ddd612-48c2-41c6-a628-68f42b3a1fa2}" id="{d6ac1cbd-b68a-4668-928f-960ce18705f7}" done="0">
    <x18tc:text xml:space="preserve">3.3 Per Carmen: The fee for submitting the offer through Res.Net for 1303 Center Avenue was $300.00. Their requirement is for the buyer's agent to pay the fee through my commission. So that is correct.</x18tc:text>
    <x18tc:extLst>
      <ext uri="{F7C98A9C-CBB3-438F-8F68-D28B6AF4A901}">
        <xltc2:checksum/>
        <xltc2:hyperlink startIndex="57" length="7" url="http://Res.Net"/>
      </ext>
    </x18tc:extLst>
  </x18tc:threadedComment>
  <x18tc:threadedComment ref="AT81" dT="2026-02-12T22:48:07.00" personId="{d4b03686-3bed-491a-bd12-3b942153f8f5}" id="{f1cb8ad5-b62f-454b-b3f7-fb77b3684532}" done="0">
    <x18tc:text xml:space="preserve">CORTE CARRIO @isabel@coryhometeam.com
VERIFIED
Assigned to isabel@coryhometeam.com</x18tc:text>
    <x18tc:mentions>
      <x18tc:mention mentionpersonId="{7d00647f-be2a-4639-a5f7-08a67118a5cf}" mentionId="{72c3c4a4-11fc-46da-82fb-163eb76d8872}" startIndex="13" length="24"/>
    </x18tc:mentions>
  </x18tc:threadedComment>
  <x18tc:threadedComment ref="AF126" dT="2026-03-10T21:59:39.00" personId="{d4b03686-3bed-491a-bd12-3b942153f8f5}" id="{f049d856-36bd-4ed3-81a6-7ea5d9708a18}" done="0">
    <x18tc:text xml:space="preserve">to be paid by seller</x18tc:text>
  </x18tc:threadedComment>
  <x18tc:threadedComment ref="AJ33" dT="2026-01-22T17:12:37.00" personId="{686b49bf-83f4-411b-b0f1-f0e341680f5a}" id="{e4616387-c637-4777-8ab3-118aebb44c8a}" done="0">
    <x18tc:text xml:space="preserve">Per Mel approved off the top, this file needs to close.</x18tc:text>
  </x18tc:threadedComment>
  <x18tc:threadedComment ref="AB62" dT="2026-02-03T23:26:46.00" personId="{e9fc873c-1c43-4e02-b893-c88033c9c8f6}" id="{7f4fb3e2-14ca-4a60-8e5e-f846292d9013}" done="0">
    <x18tc:text xml:space="preserve">@isabel@coryhometeam.com confirmed marios soi
Assigned to isabel@coryhometeam.com</x18tc:text>
    <x18tc:mentions>
      <x18tc:mention mentionpersonId="{7d00647f-be2a-4639-a5f7-08a67118a5cf}" mentionId="{ddb226cd-2758-4f16-811d-c8aadd29f8b2}" startIndex="0" length="24"/>
    </x18tc:mentions>
  </x18tc:threadedComment>
  <x18tc:threadedComment ref="AB62" dT="2026-03-02T19:10:46.00" personId="{2c0b40a3-d34a-4e30-997b-e7e5451e40bb}" id="{53b5f2a4-c978-4ef7-b321-c957fba55b76}" parentId="{7f4fb3e2-14ca-4a60-8e5e-f846292d9013}">
    <x18tc:text xml:space="preserve">Past Client of Mario (closed in 202)</x18tc:text>
  </x18tc:threadedComment>
  <x18tc:threadedComment ref="AT42" dT="2026-02-04T00:13:52.00" personId="{d4b03686-3bed-491a-bd12-3b942153f8f5}" id="{91e125c1-5773-496e-a7de-08939834e085}" done="0">
    <x18tc:text xml:space="preserve">COLUMBIA UNION @isabel@coryhometeam.com
VERIFIED
Assigned to isabel@coryhometeam.com</x18tc:text>
    <x18tc:mentions>
      <x18tc:mention mentionpersonId="{7d00647f-be2a-4639-a5f7-08a67118a5cf}" mentionId="{b524990d-26f6-4282-b8ad-44ceef0074a5}" startIndex="15" length="24"/>
    </x18tc:mentions>
  </x18tc:threadedComment>
  <x18tc:threadedComment ref="AT59" dT="2026-02-04T00:10:53.00" personId="{d4b03686-3bed-491a-bd12-3b942153f8f5}" id="{c77d2a14-bf40-44c7-b4b8-8e897ce7901c}" done="0">
    <x18tc:text xml:space="preserve">JOAQUIN RIDGE @isabel@coryhometeam.com
VERIFIED
Assigned to isabel@coryhometeam.com</x18tc:text>
    <x18tc:mentions>
      <x18tc:mention mentionpersonId="{7d00647f-be2a-4639-a5f7-08a67118a5cf}" mentionId="{fe2ad404-35e3-4c43-9f5a-f5fe606fec76}" startIndex="14" length="24"/>
    </x18tc:mentions>
  </x18tc:threadedComment>
  <x18tc:threadedComment ref="AJ126" dT="2026-03-31T22:12:05.00" personId="{686b49bf-83f4-411b-b0f1-f0e341680f5a}" id="{f8cbf559-9402-4bcd-a09b-1270edf044e2}" done="0">
    <x18tc:text xml:space="preserve">This is a credit to the Seller from Nicole's commission.</x18tc:text>
  </x18tc:threadedComment>
  <x18tc:threadedComment ref="AJ61" dT="2026-02-03T21:21:14.00" personId="{686b49bf-83f4-411b-b0f1-f0e341680f5a}" id="{4f7c9313-3c73-4830-a455-76f1e7ee5f5a}" done="0">
    <x18tc:text xml:space="preserve">CHT Group covered the cost of photos and sign install. Agent owes team.
Photos $500
Sign/Lockbox Install $99</x18tc:text>
  </x18tc:threadedComment>
  <x18tc:threadedComment ref="P12" dT="2026-04-01T00:12:57.00" personId="{686b49bf-83f4-411b-b0f1-f0e341680f5a}" id="{83700941-d30e-469a-92d3-178fc3858200}" done="0">
    <x18tc:text xml:space="preserve">Choice Home Warranty - Outside TC</x18tc:text>
  </x18tc:threadedComment>
  <x18tc:threadedComment ref="AD213" dT="2026-04-30T23:36:34.00" personId="{91ddd612-48c2-41c6-a628-68f42b3a1fa2}" id="{627515d0-ec81-4c15-af44-811dd0c7ec88}" done="0">
    <x18tc:text xml:space="preserve">4.30 Kenia: I spoke to Jessica and she agreed to lower her commission. I have already emailed escrow. Can you please update everything else. Please note the correction: The listing side commission is 2% plus the $1,425.00 Administration Fee.</x18tc:text>
  </x18tc:threadedComment>
  <x18tc:threadedComment ref="AB60" dT="2026-02-03T23:26:07.00" personId="{e9fc873c-1c43-4e02-b893-c88033c9c8f6}" id="{38b8e0e1-0250-41c8-950d-02dadb47a438}" done="0">
    <x18tc:text xml:space="preserve">@isabel@coryhometeam.com confirmed marios SOI
Assigned to isabel@coryhometeam.com</x18tc:text>
    <x18tc:mentions>
      <x18tc:mention mentionpersonId="{7d00647f-be2a-4639-a5f7-08a67118a5cf}" mentionId="{3c9097e0-b437-46db-a83a-f4fd7536450f}" startIndex="0" length="24"/>
    </x18tc:mentions>
  </x18tc:threadedComment>
  <x18tc:threadedComment ref="AB60" dT="2026-03-02T19:10:37.00" personId="{2c0b40a3-d34a-4e30-997b-e7e5451e40bb}" id="{abe36c1d-7fac-4dc3-badc-9c04c1af5942}" parentId="{38b8e0e1-0250-41c8-950d-02dadb47a438}">
    <x18tc:text xml:space="preserve">Past Client of Mario (closed in 202)</x18tc:text>
  </x18tc:threadedComment>
  <x18tc:threadedComment ref="AT85" dT="2026-02-13T00:43:34.00" personId="{d4b03686-3bed-491a-bd12-3b942153f8f5}" id="{8fe87287-1a13-4eee-8e3c-7d6060eae0dc}" done="0">
    <x18tc:text xml:space="preserve">CARMEL RD @isabel@coryhometeam.com
VERIFIED
Assigned to isabel@coryhometeam.com</x18tc:text>
    <x18tc:mentions>
      <x18tc:mention mentionpersonId="{7d00647f-be2a-4639-a5f7-08a67118a5cf}" mentionId="{8516a07e-c820-4aa5-90ee-b9538b4614cc}" startIndex="10" length="24"/>
    </x18tc:mentions>
  </x18tc:threadedComment>
  <x18tc:threadedComment ref="AG22" dT="2026-01-16T22:39:59.00" personId="{e9fc873c-1c43-4e02-b893-c88033c9c8f6}" id="{5aec480d-573f-41df-a8fb-005145d3f8ff}" done="0">
    <x18tc:text xml:space="preserve">Dana will pay out of splits</x18tc:text>
  </x18tc:threadedComment>
  <x18tc:threadedComment ref="AT60" dT="2026-02-03T15:20:26.00" personId="{d4b03686-3bed-491a-bd12-3b942153f8f5}" id="{90f2b34b-2890-4d6c-b387-4ed1739779da}" done="0">
    <x18tc:text xml:space="preserve">SEVILLA AVE @isabel@coryhometeam.com
VERIFIED
Assigned to isabel@coryhometeam.com</x18tc:text>
    <x18tc:mentions>
      <x18tc:mention mentionpersonId="{7d00647f-be2a-4639-a5f7-08a67118a5cf}" mentionId="{ba21171c-cfbc-4485-91dc-afd2bce5ce59}" startIndex="12" length="24"/>
    </x18tc:mentions>
  </x18tc:threadedComment>
  <x18tc:threadedComment ref="AC209" dT="2026-05-18T08:55:33.00" personId="{91ddd612-48c2-41c6-a628-68f42b3a1fa2}" id="{069d3f43-6c3e-4338-bfe5-0cbab51c916d}" done="0">
    <x18tc:text xml:space="preserve">5.18 Price decreased from 660k to 634k as per AEA1.</x18tc:text>
  </x18tc:threadedComment>
  <x18tc:threadedComment ref="X148" dT="2026-03-31T18:25:03.00" personId="{91ddd612-48c2-41c6-a628-68f42b3a1fa2}" id="{7a43ffc3-2d97-4130-a7d4-b673871d8e5a}" done="0">
    <x18tc:text xml:space="preserve">Estimated date only. This escrow is contingent on the seller's property.</x18tc:text>
  </x18tc:threadedComment>
  <x18tc:threadedComment ref="AT186" dT="2026-05-15T14:30:16.00" personId="{d4b03686-3bed-491a-bd12-3b942153f8f5}" id="{25537d7b-93d4-4850-98ec-dcd841c27fb3}" done="0">
    <x18tc:text xml:space="preserve">MARTINIQUE DRIVE @isabel@coryhometeam.com
VERIFIED
Assigned to isabel@coryhometeam.com</x18tc:text>
    <x18tc:mentions>
      <x18tc:mention mentionpersonId="{7d00647f-be2a-4639-a5f7-08a67118a5cf}" mentionId="{4f3cf450-94a2-4e22-aee1-af880e5e90d7}" startIndex="17" length="24"/>
    </x18tc:mentions>
  </x18tc:threadedComment>
  <x18tc:threadedComment ref="AT104" dT="2026-02-27T16:47:17.00" personId="{91ddd612-48c2-41c6-a628-68f42b3a1fa2}" id="{2f1fc3de-2463-4c25-866b-4df9b8aeef48}" done="0">
    <x18tc:text xml:space="preserve">29130 Prestwick Rd
AM verified.
@isabel@coryhometeam.com
@kenia@coryhometeam.com
2.27 CI sent to Escrow.
Assigned to isabel@coryhometeam.com</x18tc:text>
    <x18tc:mentions>
      <x18tc:mention mentionpersonId="{7d00647f-be2a-4639-a5f7-08a67118a5cf}" mentionId="{31b7e20a-0f4f-4a2e-82ec-1e682357bce7}" startIndex="32" length="24"/>
      <x18tc:mention mentionpersonId="{c2b0de28-3b31-4aa3-82a3-f8aba187b3e9}" mentionId="{c6efafcd-5829-4f72-a010-202d80e171af}" startIndex="57" length="23"/>
    </x18tc:mentions>
  </x18tc:threadedComment>
  <x18tc:threadedComment ref="AT44" dT="2026-02-03T14:20:53.00" personId="{d4b03686-3bed-491a-bd12-3b942153f8f5}" id="{ae1a1a54-09fb-43d5-ad0c-44ea4180e4bd}" done="0">
    <x18tc:text xml:space="preserve">JASPER ST. SPC 12 @isabel@coryhometeam.com
VERIFIED
Assigned to isabel@coryhometeam.com</x18tc:text>
    <x18tc:mentions>
      <x18tc:mention mentionpersonId="{7d00647f-be2a-4639-a5f7-08a67118a5cf}" mentionId="{14a78da1-03fb-45fa-b4e9-7e363a32c5bf}" startIndex="18" length="24"/>
    </x18tc:mentions>
  </x18tc:threadedComment>
  <x18tc:threadedComment ref="AT140" dT="2026-03-27T22:37:29.00" personId="{91ddd612-48c2-41c6-a628-68f42b3a1fa2}" id="{33efeaa3-d3f7-4e9b-bd3d-e02fbaf2754a}" done="0">
    <x18tc:text xml:space="preserve">13144 Sycamore Village Dr
AM verified.
@isabel@coryhometeam.com
@kenia@coryhometeam.com
3.27 CI sent to Escrow.
Assigned to isabel@coryhometeam.com</x18tc:text>
    <x18tc:mentions>
      <x18tc:mention mentionpersonId="{7d00647f-be2a-4639-a5f7-08a67118a5cf}" mentionId="{c7168d08-58b7-496f-9e13-084e1140e2e5}" startIndex="39" length="24"/>
      <x18tc:mention mentionpersonId="{c2b0de28-3b31-4aa3-82a3-f8aba187b3e9}" mentionId="{155d45b4-d501-411e-a0dc-42778a5823e8}" startIndex="64" length="23"/>
    </x18tc:mentions>
  </x18tc:threadedComment>
  <x18tc:threadedComment ref="AT21" dT="2026-01-14T22:36:25.00" personId="{91ddd612-48c2-41c6-a628-68f42b3a1fa2}" id="{904a0417-15d6-48ec-ba27-4607e7c18e4b}" done="0">
    <x18tc:text xml:space="preserve">1.4 AM verified.
@isabel@coryhometeam.com 
@kenia@coryhometeam.com
Assigned to isabel@coryhometeam.com</x18tc:text>
    <x18tc:mentions>
      <x18tc:mention mentionpersonId="{7d00647f-be2a-4639-a5f7-08a67118a5cf}" mentionId="{b8f6ef1c-2709-41c5-994e-3561a6e21595}" startIndex="17" length="24"/>
      <x18tc:mention mentionpersonId="{c2b0de28-3b31-4aa3-82a3-f8aba187b3e9}" mentionId="{5a5f38d7-065a-46d8-a6be-ed5289ef938b}" startIndex="43" length="23"/>
    </x18tc:mentions>
  </x18tc:threadedComment>
  <x18tc:threadedComment ref="AK129" dT="2026-04-10T19:24:02.00" personId="{283cbab7-8785-4d8a-9d80-ae85deef9da8}" id="{5e762f1d-4f52-4ba9-9da6-3b1e8a242d28}" done="0">
    <x18tc:text xml:space="preserve">RFE copy sent to @dana@coryhometeam.com @isabel@coryhometeam.com</x18tc:text>
    <x18tc:mentions>
      <x18tc:mention mentionpersonId="{97a5b354-94ec-4750-87c3-99cebe208b41}" mentionId="{459015dd-0a5a-4e13-8358-5cb90e91a50d}" startIndex="17" length="22"/>
      <x18tc:mention mentionpersonId="{7d00647f-be2a-4639-a5f7-08a67118a5cf}" mentionId="{54ecc0af-3d0f-4193-9ad5-8778c4bf3f6d}" startIndex="40" length="24"/>
    </x18tc:mentions>
  </x18tc:threadedComment>
  <x18tc:threadedComment ref="AT142" dT="2026-03-17T18:33:46.00" personId="{91ddd612-48c2-41c6-a628-68f42b3a1fa2}" id="{95645de3-0002-4626-80fa-932489732038}" done="0">
    <x18tc:text xml:space="preserve">15707 Merced Ave
AM verified.
@isabel@coryhometeam.com
@kenia@coryhometeam.com
3.10 CI sent to Escrow.
Assigned to isabel@coryhometeam.com</x18tc:text>
    <x18tc:mentions>
      <x18tc:mention mentionpersonId="{7d00647f-be2a-4639-a5f7-08a67118a5cf}" mentionId="{5088ec43-02d5-4e54-baf6-aaa6010a8059}" startIndex="30" length="24"/>
      <x18tc:mention mentionpersonId="{c2b0de28-3b31-4aa3-82a3-f8aba187b3e9}" mentionId="{17a8ce51-9e9e-4afc-ba49-c12e74db7321}" startIndex="55" length="23"/>
    </x18tc:mentions>
  </x18tc:threadedComment>
  <x18tc:threadedComment ref="AI150" dT="2026-03-17T18:49:12.00" personId="{d4b03686-3bed-491a-bd12-3b942153f8f5}" id="{71905fa0-757c-47f8-9fc9-38efa33a9e6f}" done="0">
    <x18tc:text xml:space="preserve">Kathy will pay for the TC fee.</x18tc:text>
  </x18tc:threadedComment>
  <x18tc:threadedComment ref="AT175" dT="2026-04-17T07:59:37.00" personId="{91ddd612-48c2-41c6-a628-68f42b3a1fa2}" id="{40cb564f-9ea5-4497-8fd1-bee19cd95457}" done="0">
    <x18tc:text xml:space="preserve">1702 Tamarron Dr
AM verified.
@isabel@coryhometeam.com
@kenia@coryhometeam.com
4.17 CI sent to Escrow.
Assigned to isabel@coryhometeam.com</x18tc:text>
    <x18tc:mentions>
      <x18tc:mention mentionpersonId="{7d00647f-be2a-4639-a5f7-08a67118a5cf}" mentionId="{df2d80c5-8769-4435-89a8-321da3d1ddd7}" startIndex="30" length="24"/>
      <x18tc:mention mentionpersonId="{c2b0de28-3b31-4aa3-82a3-f8aba187b3e9}" mentionId="{86021899-ea79-4ee0-bb24-4a39442832a1}" startIndex="55" length="23"/>
    </x18tc:mentions>
  </x18tc:threadedComment>
  <x18tc:threadedComment ref="AI124" dT="2026-03-04T20:30:45.00" personId="{e9fc873c-1c43-4e02-b893-c88033c9c8f6}" id="{52326ba2-7549-42b7-9a15-28ebc5bea182}" done="0">
    <x18tc:text xml:space="preserve">collected $1095, only putting $595 to cover our transaction fee, the remaining is to cover her outside TC</x18tc:text>
  </x18tc:threadedComment>
  <x18tc:threadedComment ref="AT156" dT="2026-04-17T08:12:26.00" personId="{91ddd612-48c2-41c6-a628-68f42b3a1fa2}" id="{d65b412e-bad6-4d47-aae6-559405076b55}" done="0">
    <x18tc:text xml:space="preserve">27250 Murrieta Rd #216
AM verified.
@isabel@coryhometeam.com
@kenia@coryhometeam.com
4.17 CI sent to Escrow.
Assigned to isabel@coryhometeam.com</x18tc:text>
    <x18tc:mentions>
      <x18tc:mention mentionpersonId="{7d00647f-be2a-4639-a5f7-08a67118a5cf}" mentionId="{32c0026f-ae8e-4634-93e2-c953b949cebf}" startIndex="36" length="24"/>
      <x18tc:mention mentionpersonId="{c2b0de28-3b31-4aa3-82a3-f8aba187b3e9}" mentionId="{8180c41d-0519-48b9-81be-4ca063c3de2d}" startIndex="61" length="23"/>
    </x18tc:mentions>
  </x18tc:threadedComment>
  <x18tc:threadedComment ref="AI63" dT="2026-03-04T19:33:33.00" personId="{e9fc873c-1c43-4e02-b893-c88033c9c8f6}" id="{bd62354d-4f7b-42cb-840c-2b97290788cd}" done="0">
    <x18tc:text xml:space="preserve">@kenia@coryhometeam.com @isabel@coryhometeam.com $1350, I dont see a check or line item on the Final Statement that this was collected.</x18tc:text>
    <x18tc:mentions>
      <x18tc:mention mentionpersonId="{c2b0de28-3b31-4aa3-82a3-f8aba187b3e9}" mentionId="{84f9bb25-bb27-45fb-a0d6-d8cf859da9ee}" startIndex="0" length="23"/>
      <x18tc:mention mentionpersonId="{7d00647f-be2a-4639-a5f7-08a67118a5cf}" mentionId="{6d93b7a0-37b9-4a13-858e-6002ea506f2a}" startIndex="24" length="24"/>
    </x18tc:mentions>
  </x18tc:threadedComment>
  <x18tc:threadedComment ref="P140" dT="2026-03-23T22:43:31.00" personId="{91ddd612-48c2-41c6-a628-68f42b3a1fa2}" id="{2d9b274c-e615-46fe-8a8c-6fd1df3cec44}" done="0">
    <x18tc:text xml:space="preserve">Seller will transfer the current home warranty to the buyer.</x18tc:text>
  </x18tc:threadedComment>
  <x18tc:threadedComment ref="AI78" dT="2026-03-04T20:31:24.00" personId="{e9fc873c-1c43-4e02-b893-c88033c9c8f6}" id="{363e9763-0a85-48a7-bf9a-0bb0ebf3f5a6}" done="0">
    <x18tc:text xml:space="preserve">collected $1170, only putting $595 to cover our transaction fee, the remaining is to cover her outside TC</x18tc:text>
  </x18tc:threadedComment>
  <x18tc:threadedComment ref="X113" dT="2026-03-19T19:22:36.00" personId="{91ddd612-48c2-41c6-a628-68f42b3a1fa2}" id="{9c605553-e02f-41a6-9e00-614d3b51570f}" done="0">
    <x18tc:text xml:space="preserve">3.19 COE moved as per ADM4.</x18tc:text>
  </x18tc:threadedComment>
  <x18tc:threadedComment ref="AT198" dT="2026-06-01T23:36:20.00" personId="{91ddd612-48c2-41c6-a628-68f42b3a1fa2}" id="{da04759f-da8a-4f0a-927c-abfc3cdcb58b}" done="0">
    <x18tc:text xml:space="preserve">0 Ryan Ave
AM verified.
@isabel@coryhometeam.com
@kenia@coryhometeam.com
6.1 CI sent to Escrow.
Assigned to isabel@coryhometeam.com</x18tc:text>
    <x18tc:mentions>
      <x18tc:mention mentionpersonId="{7d00647f-be2a-4639-a5f7-08a67118a5cf}" mentionId="{0cba741b-b35b-4605-8dd0-76e7c02691e3}" startIndex="24" length="24"/>
      <x18tc:mention mentionpersonId="{c2b0de28-3b31-4aa3-82a3-f8aba187b3e9}" mentionId="{dc907892-0232-4e32-a1a7-42aa01eeb8f4}" startIndex="49" length="23"/>
    </x18tc:mentions>
  </x18tc:threadedComment>
  <x18tc:threadedComment ref="AT129" dT="2026-03-20T12:46:14.00" personId="{91ddd612-48c2-41c6-a628-68f42b3a1fa2}" id="{619d5cd8-e64e-48f7-892b-1f620d8b200e}" done="0">
    <x18tc:text xml:space="preserve">40156 White Leaf Lane
AM verified.
@isabel@coryhometeam.com
@kenia@coryhometeam.com
3.20 CI sent to Escrow.
Assigned to isabel@coryhometeam.com</x18tc:text>
    <x18tc:mentions>
      <x18tc:mention mentionpersonId="{7d00647f-be2a-4639-a5f7-08a67118a5cf}" mentionId="{c4d7c7a5-5538-4e39-b9db-b2f5c80425c5}" startIndex="35" length="24"/>
      <x18tc:mention mentionpersonId="{c2b0de28-3b31-4aa3-82a3-f8aba187b3e9}" mentionId="{535557fd-8394-46c2-a252-d6707d9bc61e}" startIndex="60" length="23"/>
    </x18tc:mentions>
  </x18tc:threadedComment>
  <x18tc:threadedComment ref="AE47" dT="2026-01-27T15:45:31.00" personId="{686b49bf-83f4-411b-b0f1-f0e341680f5a}" id="{149c1c73-c047-4890-98eb-ac4719750639}" done="0">
    <x18tc:text xml:space="preserve">@dana@coryhometeam.com This is under the old platform for splits.
Assigned to dana@coryhometeam.com</x18tc:text>
    <x18tc:mentions>
      <x18tc:mention mentionpersonId="{97a5b354-94ec-4750-87c3-99cebe208b41}" mentionId="{ca724bf3-08b0-4d87-a582-93d12e9edb89}" startIndex="0" length="22"/>
    </x18tc:mentions>
  </x18tc:threadedComment>
  <x18tc:threadedComment ref="AT107" dT="2026-03-05T10:47:36.00" personId="{91ddd612-48c2-41c6-a628-68f42b3a1fa2}" id="{43bd6c6a-b518-4c7c-8b1a-31a8a70aebea}" done="0">
    <x18tc:text xml:space="preserve">1422 E Sandison St
AM verified.
@isabel@coryhometeam.com
@kenia@coryhometeam.com
3.5 CI sent to Escrow.
Assigned to isabel@coryhometeam.com</x18tc:text>
    <x18tc:mentions>
      <x18tc:mention mentionpersonId="{7d00647f-be2a-4639-a5f7-08a67118a5cf}" mentionId="{d62b14b4-d9e3-481d-ab50-69ffe9a033d8}" startIndex="32" length="24"/>
      <x18tc:mention mentionpersonId="{c2b0de28-3b31-4aa3-82a3-f8aba187b3e9}" mentionId="{3cf8be41-3246-4c2d-b4ed-4657581ea694}" startIndex="57" length="23"/>
    </x18tc:mentions>
  </x18tc:threadedComment>
  <x18tc:threadedComment ref="AC144" dT="2026-04-21T16:45:17.00" personId="{91ddd612-48c2-41c6-a628-68f42b3a1fa2}" id="{ec477429-f1d0-4536-941e-bfe0ae2e84c7}" done="0">
    <x18tc:text xml:space="preserve">Purchase price decreased to $635k as per AEA2.</x18tc:text>
  </x18tc:threadedComment>
  <x18tc:threadedComment ref="X80" dT="2026-01-30T23:52:58.00" personId="{d4b03686-3bed-491a-bd12-3b942153f8f5}" id="{cada378a-1e75-4516-89e1-5309c9ae0531}" done="0">
    <x18tc:text xml:space="preserve">All time periods shall commence 30 Days after Seller enters into a contract to acquire replacement property or the removal of the Finding Replacement Property Contingency (SPRP 1.A).</x18tc:text>
  </x18tc:threadedComment>
  <x18tc:threadedComment ref="X80" dT="2026-02-24T21:50:14.00" personId="{686b49bf-83f4-411b-b0f1-f0e341680f5a}" id="{f6c82153-375d-44ac-a0e6-3ba9dd4b5870}" parentId="{cada378a-1e75-4516-89e1-5309c9ae0531}">
    <x18tc:text xml:space="preserve">SPRP Finding of Replacement Property 
Start Date per SPRP: 2/11
Disclosures to buyers: Attached
CR1 - Loan | Appraisal: 2/23
CR2 - Buyers Investigation: 2/25
CR3 - L(4)-L(8): 3/2
Final walk through (VP): 3/6
COE: 3/11
Possession: 3/18</x18tc:text>
  </x18tc:threadedComment>
  <x18tc:threadedComment ref="AF165" dT="2026-04-22T21:03:22.00" personId="{283cbab7-8785-4d8a-9d80-ae85deef9da8}" id="{939f3c48-fe16-47ac-8d80-6c7e556f59d6}" done="0">
    <x18tc:text xml:space="preserve">Kiona approve $795 "off the top" 
Re: 738 Highlands Dr, San Jacinto, CA 92582
Inbox
Summarize this email
Kiona Grantham
1:39 PM (22 minutes ago)
to Dana, Jenna, Isabel, me
Jenna this is a one time approval. Please note that in the future I can't approve because then I have to for everyone. :) 
On Wed, Apr 22, 2026 at 1:11 PM Dana Martinez &lt;dana@coryhometeam.com&gt; wrote:
Hi Jenna, Thank you for letting me know. Typically if the agent is unable to collect the fees it would be taken out of the agents split. We would have to have Kionas approval otherwise. I'll add her to this email. 
On Tue, Apr 21, 2026 at 2:16 PM Jenna Melendez &lt;jenna@coryhometeam.com&gt; wrote:
Hi Dana, buyer doesn’t have funds for $1,095. He’s a VA buyer. Since it’s a new build he actually only needs to pay the $595 fee and $200 dollar TC Fee. Can the $795 be taken off the top, out of my commission? He just doesn’t have funds to cover the extra.
@dana@coryhometeam.com 
@isabel@coryhometeam.com
Assigned to dana@coryhometeam.com</x18tc:text>
    <x18tc:mentions>
      <x18tc:mention mentionpersonId="{97a5b354-94ec-4750-87c3-99cebe208b41}" mentionId="{f0be4c7d-1e99-4da3-a84c-d627dacb3f70}" startIndex="928" length="22"/>
      <x18tc:mention mentionpersonId="{7d00647f-be2a-4639-a5f7-08a67118a5cf}" mentionId="{4d173c68-05c2-4f1e-b44f-2397ede79198}" startIndex="952" length="24"/>
    </x18tc:mentions>
  </x18tc:threadedComment>
  <x18tc:threadedComment ref="A80" dT="2026-01-30T23:45:18.00" personId="{d4b03686-3bed-491a-bd12-3b942153f8f5}" id="{b79e4b00-bcee-4a07-8ee6-7634cf57f2ff}" done="0">
    <x18tc:text xml:space="preserve">All time periods shall commence 30 Days after Seller enters into a contract to acquire replacement property or the removal of the Finding Replacement Property Contingency (SPRP 1.A).</x18tc:text>
  </x18tc:threadedComment>
  <x18tc:threadedComment ref="W80" dT="2026-01-30T23:52:54.00" personId="{d4b03686-3bed-491a-bd12-3b942153f8f5}" id="{ac930ec9-f481-4bfd-aed3-a71432e5e2e1}" done="0">
    <x18tc:text xml:space="preserve">All time periods shall commence 30 Days after Seller enters into a contract to acquire replacement property or the removal of the Finding Replacement Property Contingency (SPRP 1.A).</x18tc:text>
  </x18tc:threadedComment>
  <x18tc:threadedComment ref="W80" dT="2026-02-24T21:50:05.00" personId="{686b49bf-83f4-411b-b0f1-f0e341680f5a}" id="{3128af2e-de39-4685-9975-60634e69f922}" parentId="{ac930ec9-f481-4bfd-aed3-a71432e5e2e1}">
    <x18tc:text xml:space="preserve">SPRP Finding of Replacement Property 
Start Date per SPRP: 2/11
Disclosures to buyers: Attached
CR1 - Loan | Appraisal: 2/23
CR2 - Buyers Investigation: 2/25
CR3 - L(4)-L(8): 3/2
Final walk through (VP): 3/6
COE: 3/11
Possession: 3/18</x18tc:text>
  </x18tc:threadedComment>
  <x18tc:threadedComment ref="AT77" dT="2026-02-24T23:37:41.00" personId="{d4b03686-3bed-491a-bd12-3b942153f8f5}" id="{18ce581d-9b97-41e0-a670-a26ca14e7ec7}" done="0">
    <x18tc:text xml:space="preserve">ALTA VISTA DRIVE @isabel@coryhometeam.com
VERIFIED
Assigned to isabel@coryhometeam.com</x18tc:text>
    <x18tc:mentions>
      <x18tc:mention mentionpersonId="{7d00647f-be2a-4639-a5f7-08a67118a5cf}" mentionId="{4b710d20-063f-4c5d-8b4c-fbc2af3acafc}" startIndex="17" length="24"/>
    </x18tc:mentions>
  </x18tc:threadedComment>
  <x18tc:threadedComment ref="AT108" dT="2026-03-20T10:19:46.00" personId="{91ddd612-48c2-41c6-a628-68f42b3a1fa2}" id="{c8e0b4f5-30b6-47cc-ac7b-44922f7198cf}" done="0">
    <x18tc:text xml:space="preserve">22960 Penasco Circle
AM verified.
@isabel@coryhometeam.com
@kenia@coryhometeam.com
3.20 CI sent to Escrow.
Assigned to isabel@coryhometeam.com</x18tc:text>
    <x18tc:mentions>
      <x18tc:mention mentionpersonId="{7d00647f-be2a-4639-a5f7-08a67118a5cf}" mentionId="{0e432a9b-2615-4038-8d09-0da953a0eed1}" startIndex="34" length="24"/>
      <x18tc:mention mentionpersonId="{c2b0de28-3b31-4aa3-82a3-f8aba187b3e9}" mentionId="{68f094a4-99ed-41e7-91cb-a6cd0f59bc08}" startIndex="59" length="23"/>
    </x18tc:mentions>
  </x18tc:threadedComment>
  <x18tc:threadedComment ref="AT47" dT="2026-01-15T00:13:53.00" personId="{d4b03686-3bed-491a-bd12-3b942153f8f5}" id="{52e9cdb0-2ab9-4214-9da9-5a416bfb5064}" done="0">
    <x18tc:text xml:space="preserve">FALCON CREST DR. @isabel@coryhometeam.com
VERIFIED
Assigned to isabel@coryhometeam.com</x18tc:text>
    <x18tc:mentions>
      <x18tc:mention mentionpersonId="{7d00647f-be2a-4639-a5f7-08a67118a5cf}" mentionId="{761776b7-45e0-44b8-b78f-0043c3ea4719}" startIndex="17" length="24"/>
    </x18tc:mentions>
  </x18tc:threadedComment>
  <x18tc:threadedComment ref="AT146" dT="2026-03-20T10:24:54.00" personId="{91ddd612-48c2-41c6-a628-68f42b3a1fa2}" id="{af45f779-e434-41ea-bd2e-88bd2b6b9bbc}" done="0">
    <x18tc:text xml:space="preserve">4448 Owens Street #106
AM verified.
@isabel@coryhometeam.com
@kenia@coryhometeam.com
3.20 CI sent to Escrow.
Assigned to isabel@coryhometeam.com</x18tc:text>
    <x18tc:mentions>
      <x18tc:mention mentionpersonId="{7d00647f-be2a-4639-a5f7-08a67118a5cf}" mentionId="{744f8e73-0dce-4a98-8f94-0d209d6950e4}" startIndex="36" length="24"/>
      <x18tc:mention mentionpersonId="{c2b0de28-3b31-4aa3-82a3-f8aba187b3e9}" mentionId="{4edef1ee-3923-45c9-98fa-7f7ef82fe5d6}" startIndex="61" length="23"/>
    </x18tc:mentions>
  </x18tc:threadedComment>
  <x18tc:threadedComment ref="AG179" dT="2026-03-27T18:16:34.00" personId="{e9fc873c-1c43-4e02-b893-c88033c9c8f6}" id="{a3470841-d027-45c7-b6c6-0cfc5e44921d}" done="0">
    <x18tc:text xml:space="preserve">Connors first deal TC fee is being waived @isabel@coryhometeam.com @kenia@coryhometeam.com</x18tc:text>
    <x18tc:mentions>
      <x18tc:mention mentionpersonId="{7d00647f-be2a-4639-a5f7-08a67118a5cf}" mentionId="{a9d3181f-4741-4cb4-82e0-1cf4a3c84df1}" startIndex="42" length="24"/>
      <x18tc:mention mentionpersonId="{c2b0de28-3b31-4aa3-82a3-f8aba187b3e9}" mentionId="{c4f2ee88-f195-43a6-b5a4-7398814d492a}" startIndex="67" length="23"/>
    </x18tc:mentions>
  </x18tc:threadedComment>
  <x18tc:threadedComment ref="AG179" dT="2026-03-27T18:57:43.00" personId="{686b49bf-83f4-411b-b0f1-f0e341680f5a}" id="{28fcdcd1-16b2-463b-ad1f-6e27141c5b7d}" parentId="{a3470841-d027-45c7-b6c6-0cfc5e44921d}">
    <x18tc:text xml:space="preserve">I don’t think Connor is my agent.</x18tc:text>
  </x18tc:threadedComment>
  <x18tc:threadedComment ref="AG179" dT="2026-03-27T19:39:51.00" personId="{e9fc873c-1c43-4e02-b893-c88033c9c8f6}" id="{d5156424-d5c9-43ac-a11a-fff07839e35d}" parentId="{a3470841-d027-45c7-b6c6-0cfc5e44921d}">
    <x18tc:text xml:space="preserve">opps I'll update thanks</x18tc:text>
  </x18tc:threadedComment>
  <x18tc:threadedComment ref="AG179" dT="2026-03-27T20:08:15.00" personId="{686b49bf-83f4-411b-b0f1-f0e341680f5a}" id="{2648a959-2bba-444b-9a3d-cc28fc4fb41c}" parentId="{a3470841-d027-45c7-b6c6-0cfc5e44921d}">
    <x18tc:text xml:space="preserve">Marked as resolved</x18tc:text>
  </x18tc:threadedComment>
  <x18tc:threadedComment ref="AG179" dT="2026-03-27T20:12:26.00" personId="{283cbab7-8785-4d8a-9d80-ae85deef9da8}" id="{6083b857-e0ac-483c-bbdc-2d1c040020a8}" parentId="{a3470841-d027-45c7-b6c6-0cfc5e44921d}">
    <x18tc:text xml:space="preserve">ok I've updated it, 
but you guys are checking that on back end as well correct? @dana@coryhometeam.com @isabel@coryhometeam.com
Re-opened</x18tc:text>
    <x18tc:mentions>
      <x18tc:mention mentionpersonId="{97a5b354-94ec-4750-87c3-99cebe208b41}" mentionId="{ca12ad3d-8293-41e1-8ccf-e01ee0ed044c}" startIndex="81" length="22"/>
      <x18tc:mention mentionpersonId="{7d00647f-be2a-4639-a5f7-08a67118a5cf}" mentionId="{e6f4b99f-caa6-497f-9646-75f902667297}" startIndex="104" length="24"/>
    </x18tc:mentions>
  </x18tc:threadedComment>
  <x18tc:threadedComment ref="AT130" dT="2026-03-27T23:38:24.00" personId="{d4b03686-3bed-491a-bd12-3b942153f8f5}" id="{3a056a73-89ee-4b61-9c48-67b43b8eb9af}" done="0">
    <x18tc:text xml:space="preserve">MELROSE RD @isabel@coryhometeam.com
VERIFIED
Assigned to isabel@coryhometeam.com</x18tc:text>
    <x18tc:mentions>
      <x18tc:mention mentionpersonId="{7d00647f-be2a-4639-a5f7-08a67118a5cf}" mentionId="{5f2dac73-e7ab-4c87-8b15-3e0f44e0ca95}" startIndex="11" length="24"/>
    </x18tc:mentions>
  </x18tc:threadedComment>
  <x18tc:threadedComment ref="AT114" dT="2026-03-05T17:16:05.00" personId="{91ddd612-48c2-41c6-a628-68f42b3a1fa2}" id="{e405c7eb-e62d-443e-a863-5422e21131ac}" done="0">
    <x18tc:text xml:space="preserve">4455 Brighton Court
AM verified.
@isabel@coryhometeam.com
@kenia@coryhometeam.com
3.5 CI sent to Escrow.
Assigned to isabel@coryhometeam.com</x18tc:text>
    <x18tc:mentions>
      <x18tc:mention mentionpersonId="{7d00647f-be2a-4639-a5f7-08a67118a5cf}" mentionId="{fb5e2083-12f0-412c-a212-381eb1149796}" startIndex="33" length="24"/>
      <x18tc:mention mentionpersonId="{c2b0de28-3b31-4aa3-82a3-f8aba187b3e9}" mentionId="{3bf432b4-560c-48f8-bcb3-fb1071c50358}" startIndex="58" length="23"/>
    </x18tc:mentions>
  </x18tc:threadedComment>
  <x18tc:threadedComment ref="AI218" dT="2026-06-16T16:29:31.00" personId="{91ddd612-48c2-41c6-a628-68f42b3a1fa2}" id="{d3525386-6d2f-4f8a-a08a-67a426b53905}" done="0">
    <x18tc:text xml:space="preserve">6.16 As per Spencer the correct admin fee is $699. He provided a wrong fee on his take sheet.</x18tc:text>
  </x18tc:threadedComment>
  <x18tc:threadedComment ref="AT143" dT="2026-03-27T23:33:10.00" personId="{d4b03686-3bed-491a-bd12-3b942153f8f5}" id="{94648257-4d5c-4563-bcec-1355911343ba}" done="0">
    <x18tc:text xml:space="preserve">BEAULIEU RD @isabel@coryhometeam.com
VERIFIED
Assigned to isabel@coryhometeam.com</x18tc:text>
    <x18tc:mentions>
      <x18tc:mention mentionpersonId="{7d00647f-be2a-4639-a5f7-08a67118a5cf}" mentionId="{2df3c4ab-3369-498f-ac2f-e2685401d8b8}" startIndex="12" length="24"/>
    </x18tc:mentions>
  </x18tc:threadedComment>
  <x18tc:threadedComment ref="AD118" dT="2026-03-05T17:26:42.00" personId="{91ddd612-48c2-41c6-a628-68f42b3a1fa2}" id="{3a650ac7-2df9-48c6-8f99-c9864d9f1021}" done="0">
    <x18tc:text xml:space="preserve">3.5 Per Spencer we need a MT-BR updating commission to 2%-paid by seller(builder) Buyer to pay $1395 admin fee.</x18tc:text>
  </x18tc:threadedComment>
  <x18tc:threadedComment ref="AT99" dT="2026-03-05T17:31:22.00" personId="{91ddd612-48c2-41c6-a628-68f42b3a1fa2}" id="{dac0381f-eab6-45cf-a797-6d8b5c83d760}" done="0">
    <x18tc:text xml:space="preserve">5540 Rainbow Heights Rd
AM verified.
@isabel@coryhometeam.com
@kenia@coryhometeam.com
3.5 CI sent to Escrow.
Assigned to isabel@coryhometeam.com</x18tc:text>
    <x18tc:mentions>
      <x18tc:mention mentionpersonId="{7d00647f-be2a-4639-a5f7-08a67118a5cf}" mentionId="{2c8e2953-7e97-433a-a9d0-528aaa8e5b71}" startIndex="37" length="24"/>
      <x18tc:mention mentionpersonId="{c2b0de28-3b31-4aa3-82a3-f8aba187b3e9}" mentionId="{279423cc-03d6-407e-bc94-335547dd997d}" startIndex="62" length="23"/>
    </x18tc:mentions>
  </x18tc:threadedComment>
  <x18tc:threadedComment ref="AT89" dT="2026-01-16T00:19:10.00" personId="{d4b03686-3bed-491a-bd12-3b942153f8f5}" id="{2b1b5db3-84cb-4011-ba88-1fbb9b69b987}" done="0">
    <x18tc:text xml:space="preserve">MURRIETA RD. #378 @isabel@coryhometeam.com
VERIFIED
Assigned to isabel@coryhometeam.com</x18tc:text>
    <x18tc:mentions>
      <x18tc:mention mentionpersonId="{7d00647f-be2a-4639-a5f7-08a67118a5cf}" mentionId="{e0ca32b9-020b-4a44-9a29-0ed09943908e}" startIndex="18" length="24"/>
    </x18tc:mentions>
  </x18tc:threadedComment>
  <x18tc:threadedComment ref="AT154" dT="2026-04-20T13:29:03.00" personId="{91ddd612-48c2-41c6-a628-68f42b3a1fa2}" id="{b8c10659-41d2-4fb6-b551-3e34c5a55a8d}" done="0">
    <x18tc:text xml:space="preserve">4438 Wanda Cir
AM verified.
@isabel@coryhometeam.com
@kenia@coryhometeam.com
4.20 CI sent to Escrow.
Assigned to isabel@coryhometeam.com</x18tc:text>
    <x18tc:mentions>
      <x18tc:mention mentionpersonId="{7d00647f-be2a-4639-a5f7-08a67118a5cf}" mentionId="{566d9eaf-6911-4b40-a4fe-7a5a885bfa7e}" startIndex="28" length="24"/>
      <x18tc:mention mentionpersonId="{c2b0de28-3b31-4aa3-82a3-f8aba187b3e9}" mentionId="{e2f0ecd8-f9fb-42f2-ade6-7d2d99caf19b}" startIndex="53" length="23"/>
    </x18tc:mentions>
  </x18tc:threadedComment>
  <x18tc:threadedComment ref="AD114" dT="2026-03-18T17:52:25.00" personId="{91ddd612-48c2-41c6-a628-68f42b3a1fa2}" id="{26d72cc8-a930-40bd-a967-4030ce3d1b7d}" done="0">
    <x18tc:text xml:space="preserve">Flat fee per AEA1.</x18tc:text>
  </x18tc:threadedComment>
  <x18tc:threadedComment ref="AD114" dT="2026-03-30T16:21:29.00" personId="{283cbab7-8785-4d8a-9d80-ae85deef9da8}" id="{32301f96-1f06-40f3-a992-333300530fa6}" parentId="{26d72cc8-a930-40bd-a967-4030ce3d1b7d}">
    <x18tc:text xml:space="preserve">Flat fee per AEA1 $11,850 @dana@coryhometeam.com @isabel@coryhometeam.com</x18tc:text>
    <x18tc:mentions>
      <x18tc:mention mentionpersonId="{97a5b354-94ec-4750-87c3-99cebe208b41}" mentionId="{90cae9d7-eadb-478b-8c73-1ba69416aa28}" startIndex="26" length="22"/>
      <x18tc:mention mentionpersonId="{7d00647f-be2a-4639-a5f7-08a67118a5cf}" mentionId="{9fa5c182-5895-4d4c-a038-49bc9437b64a}" startIndex="49" length="24"/>
    </x18tc:mentions>
  </x18tc:threadedComment>
  <x18tc:threadedComment ref="AT182" dT="2026-05-07T15:26:20.00" personId="{91ddd612-48c2-41c6-a628-68f42b3a1fa2}" id="{6bcd1399-bc13-4de5-afca-5b62ef23f6ef}" done="0">
    <x18tc:text xml:space="preserve">29225 Avenida De Las Flores
AM verified.
@isabel@coryhometeam.com
@kenia@coryhometeam.com
5.7 CI sent to Escrow.
Assigned to isabel@coryhometeam.com</x18tc:text>
    <x18tc:mentions>
      <x18tc:mention mentionpersonId="{7d00647f-be2a-4639-a5f7-08a67118a5cf}" mentionId="{b8a00c23-c544-4df0-81bc-4238eb679484}" startIndex="41" length="24"/>
      <x18tc:mention mentionpersonId="{c2b0de28-3b31-4aa3-82a3-f8aba187b3e9}" mentionId="{452403ac-09c5-47b4-925f-bb7e06c33398}" startIndex="66" length="23"/>
    </x18tc:mentions>
  </x18tc:threadedComment>
  <x18tc:threadedComment ref="AC114" dT="2026-03-18T17:52:09.00" personId="{91ddd612-48c2-41c6-a628-68f42b3a1fa2}" id="{6d08247c-6847-48e7-9908-fc33a881e551}" done="0">
    <x18tc:text xml:space="preserve">Purchase price reduced. Please see AEA1.</x18tc:text>
  </x18tc:threadedComment>
  <x18tc:threadedComment ref="W137" dT="2026-02-24T02:00:28.00" personId="{d4b03686-3bed-491a-bd12-3b942153f8f5}" id="{38306b15-8177-4d74-9813-522ef89890c2}" done="0">
    <x18tc:text xml:space="preserve">Contingency Removals: All time periods shall commence upon the Seller’s delivery of property evidence or the removal of the Purchase Replacement Property (SPRP 1.A).</x18tc:text>
  </x18tc:threadedComment>
  <x18tc:threadedComment ref="X137" dT="2026-02-24T02:00:35.00" personId="{d4b03686-3bed-491a-bd12-3b942153f8f5}" id="{b31c6e48-fa2c-42d6-94b6-e53d9dce371c}" done="0">
    <x18tc:text xml:space="preserve">Contingency Removals: All time periods shall commence upon the Seller’s delivery of property evidence or the removal of the Purchase Replacement Property (SPRP 1.A).</x18tc:text>
  </x18tc:threadedComment>
  <x18tc:threadedComment ref="AJ179" dT="2026-05-07T16:47:24.00" personId="{91ddd612-48c2-41c6-a628-68f42b3a1fa2}" id="{f6fb60c5-dfa3-4c0d-9cbe-b42a81007f1d}" done="0">
    <x18tc:text xml:space="preserve">Please see commission reduction form.</x18tc:text>
  </x18tc:threadedComment>
  <x18tc:threadedComment ref="AJ221" dT="2026-06-16T00:18:22.00" personId="{686b49bf-83f4-411b-b0f1-f0e341680f5a}" id="{872f473c-da78-48e4-ad6b-e7b22ddc07bc}" done="0">
    <x18tc:text xml:space="preserve">Kiona approved off the top credit to Buyer.</x18tc:text>
  </x18tc:threadedComment>
  <x18tc:threadedComment ref="AB56" dT="2026-01-13T23:56:02.00" personId="{5a7b7df7-22eb-4b3a-a492-7d9d82a49202}" id="{0abae940-5c37-491b-8e7a-f614f40ca599}" done="1">
    <x18tc:text xml:space="preserve">@isabel@coryhometeam.com i don't believe this is correct. Not sure who put this in but I think its' you
Assigned to isabel@coryhometeam.com</x18tc:text>
    <x18tc:mentions>
      <x18tc:mention mentionpersonId="{7d00647f-be2a-4639-a5f7-08a67118a5cf}" mentionId="{7d88fb32-31bc-4825-8a71-5880f24579a6}" startIndex="0" length="24"/>
    </x18tc:mentions>
  </x18tc:threadedComment>
  <x18tc:threadedComment ref="AB56" dT="2026-01-14T08:34:34.00" personId="{c7fad490-24e0-4859-bb84-4307c52d4768}" id="{f14fd296-9070-451f-a7cc-4d44f6fb5161}" parentId="{0abae940-5c37-491b-8e7a-f614f40ca599}">
    <x18tc:text xml:space="preserve">I'm not sure either, but thanks. This is now corrected, info based on FUB.</x18tc:text>
  </x18tc:threadedComment>
  <x18tc:threadedComment ref="AG75" dT="2026-03-18T17:30:10.00" personId="{e9fc873c-1c43-4e02-b893-c88033c9c8f6}" id="{140e7a29-f631-400a-be69-16aadff1156d}" done="0">
    <x18tc:text xml:space="preserve">this is approved to be waived</x18tc:text>
  </x18tc:threadedComment>
  <x18tc:threadedComment ref="X92" dT="2026-03-09T15:15:39.00" personId="{91ddd612-48c2-41c6-a628-68f42b3a1fa2}" id="{57f24d8d-1b1a-4b72-82dd-a166b11cd766}" done="0">
    <x18tc:text xml:space="preserve">3.9 COE move 3.13 as per ETA1.</x18tc:text>
  </x18tc:threadedComment>
  <x18tc:threadedComment ref="AT39" dT="2026-01-20T19:53:55.00" personId="{d4b03686-3bed-491a-bd12-3b942153f8f5}" id="{ef01ce2f-cc70-4c54-ab27-7511a26dd4fe}" done="0">
    <x18tc:text xml:space="preserve">PANORAMA DR @isabel@coryhometeam.com
VERIFIED
Assigned to isabel@coryhometeam.com</x18tc:text>
    <x18tc:mentions>
      <x18tc:mention mentionpersonId="{7d00647f-be2a-4639-a5f7-08a67118a5cf}" mentionId="{4666d6f4-e46c-4c88-bb9c-c2694ee7b97d}" startIndex="12" length="24"/>
    </x18tc:mentions>
  </x18tc:threadedComment>
  <x18tc:threadedComment ref="AC140" dT="2026-04-02T07:07:27.00" personId="{91ddd612-48c2-41c6-a628-68f42b3a1fa2}" id="{85b17574-f0f1-484f-9051-584c1dbf2916}" done="0">
    <x18tc:text xml:space="preserve">See ADM2 for price decrease from 690k to 680K.</x18tc:text>
  </x18tc:threadedComment>
  <x18tc:threadedComment ref="AT164" dT="2026-04-20T12:27:00.00" personId="{91ddd612-48c2-41c6-a628-68f42b3a1fa2}" id="{3c481553-d9bb-4734-ab34-3968ecb4eb97}" done="0">
    <x18tc:text xml:space="preserve">36329 Albus Ave
AM verified.
@isabel@coryhometeam.com
@kenia@coryhometeam.com
4.20 CI sent to Escrow.
Assigned to isabel@coryhometeam.com</x18tc:text>
    <x18tc:mentions>
      <x18tc:mention mentionpersonId="{7d00647f-be2a-4639-a5f7-08a67118a5cf}" mentionId="{cc6962aa-6e81-4c2d-81c9-d38ef0605026}" startIndex="29" length="24"/>
      <x18tc:mention mentionpersonId="{c2b0de28-3b31-4aa3-82a3-f8aba187b3e9}" mentionId="{312d8c45-00b3-42f8-a169-b59b09da8b11}" startIndex="54" length="23"/>
    </x18tc:mentions>
  </x18tc:threadedComment>
  <x18tc:threadedComment ref="P44" dT="2026-01-20T17:51:00.00" personId="{d4b03686-3bed-491a-bd12-3b942153f8f5}" id="{9e73886f-3d80-416d-8df1-db1942335812}" done="0">
    <x18tc:text xml:space="preserve">Buyer to pay for Home Warranty as per SCO #1</x18tc:text>
  </x18tc:threadedComment>
  <x18tc:threadedComment ref="AT179" dT="2026-04-02T07:04:17.00" personId="{91ddd612-48c2-41c6-a628-68f42b3a1fa2}" id="{cb45c7b9-34a5-4d38-aa9a-f780fe33e74b}" done="0">
    <x18tc:text xml:space="preserve">634 Via Santa Cruz
AM verified.
@isabel@coryhometeam.com
@kenia@coryhometeam.com
4.2 CI sent to Escrow.
Assigned to isabel@coryhometeam.com</x18tc:text>
    <x18tc:mentions>
      <x18tc:mention mentionpersonId="{7d00647f-be2a-4639-a5f7-08a67118a5cf}" mentionId="{77d0de71-b795-46cd-8d4d-893370dcb858}" startIndex="32" length="24"/>
      <x18tc:mention mentionpersonId="{c2b0de28-3b31-4aa3-82a3-f8aba187b3e9}" mentionId="{385458a6-4480-4365-9851-c7312347be2b}" startIndex="57" length="23"/>
    </x18tc:mentions>
  </x18tc:threadedComment>
  <x18tc:threadedComment ref="X134" dT="2026-03-09T15:22:37.00" personId="{91ddd612-48c2-41c6-a628-68f42b3a1fa2}" id="{2e09f039-c8dd-421f-85be-58b151651d47}" done="0">
    <x18tc:text xml:space="preserve">3.9 COE moved to 4.6 as per ETA1.</x18tc:text>
  </x18tc:threadedComment>
  <x18tc:threadedComment ref="X134" dT="2026-04-06T20:16:10.00" personId="{91ddd612-48c2-41c6-a628-68f42b3a1fa2}" id="{fdc1698c-10ff-459f-89bf-7183f1a43eca}" parentId="{2e09f039-c8dd-421f-85be-58b151651d47}">
    <x18tc:text xml:space="preserve">4.6 NEW COE per ETA2.</x18tc:text>
  </x18tc:threadedComment>
  <x18tc:threadedComment ref="AT213" dT="2026-05-12T11:11:42.00" personId="{91ddd612-48c2-41c6-a628-68f42b3a1fa2}" id="{b396c789-6d28-4277-a775-b5bdb709fe0f}" done="0">
    <x18tc:text xml:space="preserve">1098 Stonebridge Ave
AM verified.
@isabel@coryhometeam.com
@kenia@coryhometeam.com
5.12 CI sent to Escrow.
Assigned to isabel@coryhometeam.com</x18tc:text>
    <x18tc:mentions>
      <x18tc:mention mentionpersonId="{7d00647f-be2a-4639-a5f7-08a67118a5cf}" mentionId="{8e8b5d4e-51f0-4f17-8959-a8995254ce7b}" startIndex="34" length="24"/>
      <x18tc:mention mentionpersonId="{c2b0de28-3b31-4aa3-82a3-f8aba187b3e9}" mentionId="{57c8ec8d-98b8-4cfb-8669-ee979e59a4b9}" startIndex="59" length="23"/>
    </x18tc:mentions>
  </x18tc:threadedComment>
  <x18tc:threadedComment ref="AJ130" dT="2026-04-08T23:20:52.00" personId="{686b49bf-83f4-411b-b0f1-f0e341680f5a}" id="{98861945-2746-4393-8139-9e0a53da3174}" done="0">
    <x18tc:text xml:space="preserve">From Tyler's commission, $400 credit to Buyer for closing cost</x18tc:text>
  </x18tc:threadedComment>
  <x18tc:threadedComment ref="AG130" dT="2026-04-08T23:20:26.00" personId="{686b49bf-83f4-411b-b0f1-f0e341680f5a}" id="{610beadb-37c7-4980-a910-3adcca6bd9e9}" done="1">
    <x18tc:text xml:space="preserve">@dana@coryhometeam.com is Tyler getting this one free as his first transaction with the team? If so, then only the $595 will apply plus the credit he is giving the Buyer.
Assigned to dana@coryhometeam.com</x18tc:text>
    <x18tc:mentions>
      <x18tc:mention mentionpersonId="{97a5b354-94ec-4750-87c3-99cebe208b41}" mentionId="{57e2de35-37df-4986-bbeb-24f76e79f47f}" startIndex="0" length="22"/>
    </x18tc:mentions>
  </x18tc:threadedComment>
  <x18tc:threadedComment ref="AG130" dT="2026-04-10T20:36:00.00" personId="{e9fc873c-1c43-4e02-b893-c88033c9c8f6}" id="{c35c7f2a-97d9-45c5-bae8-b72c34766939}" parentId="{610beadb-37c7-4980-a910-3adcca6bd9e9}">
    <x18tc:text xml:space="preserve">approved to be waived</x18tc:text>
  </x18tc:threadedComment>
  <x18tc:threadedComment ref="AG130" dT="2026-04-10T20:59:46.00" personId="{686b49bf-83f4-411b-b0f1-f0e341680f5a}" id="{f3808596-6efa-49f8-8235-73ec2986a946}" parentId="{610beadb-37c7-4980-a910-3adcca6bd9e9}">
    <x18tc:text xml:space="preserve">Marked as done</x18tc:text>
  </x18tc:threadedComment>
  <x18tc:threadedComment ref="X38" dT="2026-01-05T18:54:24.00" personId="{91ddd612-48c2-41c6-a628-68f42b3a1fa2}" id="{8c14fb60-63ef-46e7-9f2a-3441a039622d}" done="0">
    <x18tc:text xml:space="preserve">1.5 ETA3 COE 1.9</x18tc:text>
  </x18tc:threadedComment>
  <x18tc:threadedComment ref="X38" dT="2026-01-14T00:53:00.00" personId="{91ddd612-48c2-41c6-a628-68f42b3a1fa2}" id="{7ba009f0-e2b0-465d-8c58-d65b498cef91}" parentId="{8c14fb60-63ef-46e7-9f2a-3441a039622d}">
    <x18tc:text xml:space="preserve">1.13 ETA4 COE 1.20</x18tc:text>
  </x18tc:threadedComment>
  <x18tc:threadedComment ref="X38" dT="2026-01-21T17:55:42.00" personId="{91ddd612-48c2-41c6-a628-68f42b3a1fa2}" id="{08f985ea-af8c-437a-9afd-44be0034a57d}" parentId="{8c14fb60-63ef-46e7-9f2a-3441a039622d}">
    <x18tc:text xml:space="preserve">1.21 Pushed through Monday as per Kenia's advise.</x18tc:text>
  </x18tc:threadedComment>
  <x18tc:threadedComment ref="X38" dT="2026-01-27T15:43:26.00" personId="{91ddd612-48c2-41c6-a628-68f42b3a1fa2}" id="{b66329c6-072b-49fe-a6bd-17199e9c63ed}" parentId="{8c14fb60-63ef-46e7-9f2a-3441a039622d}">
    <x18tc:text xml:space="preserve">1.27 As per Escrow: Asked the lender for an update this morning – haven’t heard back. Just sent another email for status on loan docs/closing.
Jenn moved the COE to 28th in SS.</x18tc:text>
  </x18tc:threadedComment>
  <x18tc:threadedComment ref="X38" dT="2026-01-28T18:51:07.00" personId="{91ddd612-48c2-41c6-a628-68f42b3a1fa2}" id="{9e6773fe-f8e5-42bb-9d2b-b270343c477f}" parentId="{8c14fb60-63ef-46e7-9f2a-3441a039622d}">
    <x18tc:text xml:space="preserve">1.28 COE moved to 1/30. No update on loan.</x18tc:text>
  </x18tc:threadedComment>
  <x18tc:threadedComment ref="X38" dT="2026-02-02T18:58:12.00" personId="{91ddd612-48c2-41c6-a628-68f42b3a1fa2}" id="{edebfa9b-9b63-47eb-a876-8a256975c501}" parentId="{8c14fb60-63ef-46e7-9f2a-3441a039622d}">
    <x18tc:text xml:space="preserve">2.2 Pushed COE to 2.6</x18tc:text>
  </x18tc:threadedComment>
  <x18tc:threadedComment ref="X38" dT="2026-02-06T18:50:56.00" personId="{91ddd612-48c2-41c6-a628-68f42b3a1fa2}" id="{dfef3524-f729-45fb-9139-71d8e43d0db1}" parentId="{8c14fb60-63ef-46e7-9f2a-3441a039622d}">
    <x18tc:text xml:space="preserve">2.6 Moved for another week. No lender updates as of today.</x18tc:text>
  </x18tc:threadedComment>
  <x18tc:threadedComment ref="X38" dT="2026-02-10T20:38:27.00" personId="{91ddd612-48c2-41c6-a628-68f42b3a1fa2}" id="{c585f253-7120-46bd-9385-643509218d35}" parentId="{8c14fb60-63ef-46e7-9f2a-3441a039622d}">
    <x18tc:text xml:space="preserve">2.10 ETA5 COE 2.10</x18tc:text>
  </x18tc:threadedComment>
  <x18tc:threadedComment ref="AT96" dT="2026-02-19T23:12:31.00" personId="{d4b03686-3bed-491a-bd12-3b942153f8f5}" id="{b5aabd48-82d4-4bb1-8ecd-f33c67be6433}" done="0">
    <x18tc:text xml:space="preserve">BRIARVALE ST @isabel@coryhometeam.com
VERIFIED
Assigned to isabel@coryhometeam.com</x18tc:text>
    <x18tc:mentions>
      <x18tc:mention mentionpersonId="{7d00647f-be2a-4639-a5f7-08a67118a5cf}" mentionId="{95bb4b11-720f-4954-aae6-26ec0412ee43}" startIndex="13" length="24"/>
    </x18tc:mentions>
  </x18tc:threadedComment>
  <x18tc:threadedComment ref="X213" dT="2026-05-26T05:36:17.00" personId="{91ddd612-48c2-41c6-a628-68f42b3a1fa2}" id="{0207b054-aa67-4239-b937-e811b1916ca3}" done="0">
    <x18tc:text xml:space="preserve">5.25 ETA1 extending COE to June 8 out for signature.</x18tc:text>
  </x18tc:threadedComment>
  <x18tc:threadedComment ref="X213" dT="2026-06-10T15:06:20.00" personId="{91ddd612-48c2-41c6-a628-68f42b3a1fa2}" id="{4d0ad110-f166-4d51-8f68-2d2a883f15a5}" parentId="{0207b054-aa67-4239-b937-e811b1916ca3}">
    <x18tc:text xml:space="preserve">6.10 ETA2 COE 6.10.</x18tc:text>
  </x18tc:threadedComment>
  <x18tc:threadedComment ref="P43" dT="2026-01-26T20:14:18.00" personId="{91ddd612-48c2-41c6-a628-68f42b3a1fa2}" id="{31374be1-1b65-4dd5-94a4-3e18354260cb}" done="0">
    <x18tc:text xml:space="preserve">1.26 Per agent the buyer will not order a warranty.</x18tc:text>
  </x18tc:threadedComment>
  <x18tc:threadedComment ref="AT9" dT="2026-01-05T17:41:45.00" personId="{d4b03686-3bed-491a-bd12-3b942153f8f5}" id="{28e516e1-2b50-4f6b-918a-6ce9139a0143}" done="0">
    <x18tc:text xml:space="preserve">TOPAZ LN @isabel@coryhometeam.com 
VERIFIED
Assigned to isabel@coryhometeam.com</x18tc:text>
    <x18tc:mentions>
      <x18tc:mention mentionpersonId="{7d00647f-be2a-4639-a5f7-08a67118a5cf}" mentionId="{abf1f008-9b70-4bc8-9818-2d9eb9129ac9}" startIndex="9" length="24"/>
    </x18tc:mentions>
  </x18tc:threadedComment>
  <x18tc:threadedComment ref="AT28" dT="2026-01-05T17:43:54.00" personId="{d4b03686-3bed-491a-bd12-3b942153f8f5}" id="{ce8ea2ab-c2e9-480c-9c9a-06af6cf0343b}" done="0">
    <x18tc:text xml:space="preserve">COUR MEYNEY @isabel@coryhometeam.com 
VERIFIED
Assigned to isabel@coryhometeam.com</x18tc:text>
    <x18tc:mentions>
      <x18tc:mention mentionpersonId="{7d00647f-be2a-4639-a5f7-08a67118a5cf}" mentionId="{ed67cafb-9dad-4575-acc7-e3f8c82dbc38}" startIndex="12" length="24"/>
    </x18tc:mentions>
  </x18tc:threadedComment>
  <x18tc:threadedComment ref="AT113" dT="2026-03-10T15:43:05.00" personId="{91ddd612-48c2-41c6-a628-68f42b3a1fa2}" id="{f553d998-1f0b-456f-965f-da09a39e5c50}" done="0">
    <x18tc:text xml:space="preserve">23143 Canyon Estates
AM verified.
@isabel@coryhometeam.com
@kenia@coryhometeam.com
3.25 CI sent to Escrow.
Assigned to isabel@coryhometeam.com</x18tc:text>
    <x18tc:mentions>
      <x18tc:mention mentionpersonId="{7d00647f-be2a-4639-a5f7-08a67118a5cf}" mentionId="{2c5ab478-5106-4833-8253-13d96df115dd}" startIndex="34" length="24"/>
      <x18tc:mention mentionpersonId="{c2b0de28-3b31-4aa3-82a3-f8aba187b3e9}" mentionId="{2a3cf226-a777-42a0-b413-2656256969cb}" startIndex="59" length="23"/>
    </x18tc:mentions>
  </x18tc:threadedComment>
  <x18tc:threadedComment ref="AT153" dT="2026-04-06T15:53:36.00" personId="{91ddd612-48c2-41c6-a628-68f42b3a1fa2}" id="{b873b07b-1772-4994-bb96-495976d2e7a4}" done="0">
    <x18tc:text xml:space="preserve">27565 Boston Dr
AM verified.
@isabel@coryhometeam.com
@kenia@coryhometeam.com
4.6 CI sent to Escrow.
Assigned to isabel@coryhometeam.com</x18tc:text>
    <x18tc:mentions>
      <x18tc:mention mentionpersonId="{7d00647f-be2a-4639-a5f7-08a67118a5cf}" mentionId="{f4288b7e-681b-45e6-b90c-a08cdddd4eb9}" startIndex="29" length="24"/>
      <x18tc:mention mentionpersonId="{c2b0de28-3b31-4aa3-82a3-f8aba187b3e9}" mentionId="{70462ef4-1059-4dec-94c7-e71088daebde}" startIndex="54" length="23"/>
    </x18tc:mentions>
  </x18tc:threadedComment>
  <x18tc:threadedComment ref="C196" dT="2026-06-03T01:52:13.00" personId="{2c0b40a3-d34a-4e30-997b-e7e5451e40bb}" id="{de394105-1c0d-4369-a03f-ca187d27a3e1}" done="1">
    <x18tc:text xml:space="preserve">Not found in CHT LIsting Board (?) @alexis@coryhometeam.com
Assigned to alexis@coryhometeam.com</x18tc:text>
    <x18tc:mentions>
      <x18tc:mention mentionpersonId="{e0ede1ef-7aee-4904-9f47-62fb26fea2cd}" mentionId="{28dfda68-7b14-4f1e-85e7-e8c849b97da1}" startIndex="35" length="24"/>
    </x18tc:mentions>
  </x18tc:threadedComment>
  <x18tc:threadedComment ref="C196" dT="2026-06-03T01:59:20.00" personId="{686b49bf-83f4-411b-b0f1-f0e341680f5a}" id="{bdbc6d3e-7cd1-4772-ad7c-af94d44e7e80}" parentId="{de394105-1c0d-4369-a03f-ca187d27a3e1}">
    <x18tc:text xml:space="preserve">@remy@coryhometeam.com This is not a listing we went to market with. This was an OpenDoor deal. It won't be on the Listing Board.
Reassigned to remy@coryhometeam.com</x18tc:text>
    <x18tc:mentions>
      <x18tc:mention mentionpersonId="{5fc4901b-b525-40a8-b626-e780cd452fac}" mentionId="{e81e633f-b102-4f52-aa1e-38fb41273d8f}" startIndex="0" length="22"/>
    </x18tc:mentions>
  </x18tc:threadedComment>
  <x18tc:threadedComment ref="C196" dT="2026-06-03T01:59:27.00" personId="{686b49bf-83f4-411b-b0f1-f0e341680f5a}" id="{5affce79-15b6-4d95-a9af-f8b47877d923}" parentId="{de394105-1c0d-4369-a03f-ca187d27a3e1}">
    <x18tc:text xml:space="preserve">Marked as done</x18tc:text>
  </x18tc:threadedComment>
  <x18tc:threadedComment ref="C196" dT="2026-06-03T02:00:13.00" personId="{2c0b40a3-d34a-4e30-997b-e7e5451e40bb}" id="{93c90642-ca95-42ab-93e2-4ae0cdfbfef5}" parentId="{de394105-1c0d-4369-a03f-ca187d27a3e1}">
    <x18tc:text xml:space="preserve">okay noted. Thank you!
Re-opened</x18tc:text>
  </x18tc:threadedComment>
  <x18tc:threadedComment ref="AT206" dT="2026-05-11T12:36:27.00" personId="{91ddd612-48c2-41c6-a628-68f42b3a1fa2}" id="{18dca840-594c-415a-898f-06290400e088}" done="0">
    <x18tc:text xml:space="preserve">650 Rainier Way
AM verified.
@isabel@coryhometeam.com
@kenia@coryhometeam.com
5.11 CI sent to Escrow.
Assigned to isabel@coryhometeam.com</x18tc:text>
    <x18tc:mentions>
      <x18tc:mention mentionpersonId="{7d00647f-be2a-4639-a5f7-08a67118a5cf}" mentionId="{342040d2-2ce9-49ad-9f73-970eb3593b55}" startIndex="29" length="24"/>
      <x18tc:mention mentionpersonId="{c2b0de28-3b31-4aa3-82a3-f8aba187b3e9}" mentionId="{1380b99b-a8e9-40e3-b253-654c18bae840}" startIndex="54" length="23"/>
    </x18tc:mentions>
  </x18tc:threadedComment>
  <x18tc:threadedComment ref="AN48" dT="2026-02-18T04:09:18.00" personId="{5a7b7df7-22eb-4b3a-a492-7d9d82a49202}" id="{c36cdc31-c021-4d26-8b21-62db0a5ee884}" done="0">
    <x18tc:text xml:space="preserve">@dana@coryhometeam.com just making sure we are on the same page because we seldomly do these, this whole total would be to the company. The $1500 commission isn’t shared.</x18tc:text>
    <x18tc:mentions>
      <x18tc:mention mentionpersonId="{97a5b354-94ec-4750-87c3-99cebe208b41}" mentionId="{d86a2e16-06a7-4940-a7bc-601525a3ef7e}" startIndex="0" length="22"/>
    </x18tc:mentions>
  </x18tc:threadedComment>
  <x18tc:threadedComment ref="AI196" dT="2026-06-02T20:23:17.00" personId="{e9fc873c-1c43-4e02-b893-c88033c9c8f6}" id="{6ece101d-a650-48e5-900c-0f945ac6c01e}" done="0">
    <x18tc:text xml:space="preserve">approved, once this check amount is confirmed, 100% of the additional collected is going to Myrna @isabel@coryhometeam.com
Assigned to isabel@coryhometeam.com</x18tc:text>
    <x18tc:mentions>
      <x18tc:mention mentionpersonId="{7d00647f-be2a-4639-a5f7-08a67118a5cf}" mentionId="{7785af26-a07c-4ae5-8be2-baaa12233c2d}" startIndex="98" length="24"/>
    </x18tc:mentions>
  </x18tc:threadedComment>
  <x18tc:threadedComment ref="AT37" dT="2026-02-18T02:53:02.00" personId="{d4b03686-3bed-491a-bd12-3b942153f8f5}" id="{caa4f3ae-51c2-4215-b39e-ba1766856e36}" done="0">
    <x18tc:text xml:space="preserve">KAFFIRBOOM CT @isabel@coryhometeam.com
VERIFIED
Assigned to isabel@coryhometeam.com</x18tc:text>
    <x18tc:mentions>
      <x18tc:mention mentionpersonId="{7d00647f-be2a-4639-a5f7-08a67118a5cf}" mentionId="{64a17a55-7ef0-4a8e-baff-45575d9e9240}" startIndex="14" length="24"/>
    </x18tc:mentions>
  </x18tc:threadedComment>
  <x18tc:threadedComment ref="AI116" dT="2026-04-02T20:19:27.00" personId="{283cbab7-8785-4d8a-9d80-ae85deef9da8}" id="{d50ffb79-b1cb-4d8b-bba9-05ad7c79f370}" done="0">
    <x18tc:text xml:space="preserve">Rosie agreed to lower Admin fee 
buyer to cover $700. 
She will cover $395 @dana@coryhometeam.com @isabel@coryhometeam.com</x18tc:text>
    <x18tc:mentions>
      <x18tc:mention mentionpersonId="{97a5b354-94ec-4750-87c3-99cebe208b41}" mentionId="{b1a4c23c-5f33-4f3c-b24d-7ac7708abc26}" startIndex="75" length="22"/>
      <x18tc:mention mentionpersonId="{7d00647f-be2a-4639-a5f7-08a67118a5cf}" mentionId="{4bb864be-052a-48d5-b7fe-80a3f0ff3ca1}" startIndex="98" length="24"/>
    </x18tc:mentions>
  </x18tc:threadedComment>
  <x18tc:threadedComment ref="AJ40" dT="2026-02-11T03:28:20.00" personId="{686b49bf-83f4-411b-b0f1-f0e341680f5a}" id="{62f23641-f2fb-4fd5-9bcd-2a1316012a99}" done="0">
    <x18tc:text xml:space="preserve">02/10/26
Kiona approved collect off the top in house splits to cover the other half of our fees. Escrow issued payment for the other half on the commission check and it is on the final closing statement.</x18tc:text>
  </x18tc:threadedComment>
  <x18tc:threadedComment ref="W75" dT="2026-02-11T03:23:49.00" personId="{686b49bf-83f4-411b-b0f1-f0e341680f5a}" id="{2ed6ae5b-b137-437d-99f4-05728c0cab0b}" done="0">
    <x18tc:text xml:space="preserve">Pending park approval. Contract states 30 days or sooner from approval.</x18tc:text>
  </x18tc:threadedComment>
  <x18tc:threadedComment ref="AT162" dT="2026-04-13T06:24:11.00" personId="{91ddd612-48c2-41c6-a628-68f42b3a1fa2}" id="{c37f5f6f-2a49-4dc7-b05e-642bffc850ea}" done="0">
    <x18tc:text xml:space="preserve">68916 H St #59
AM verified.
@isabel@coryhometeam.com
@kenia@coryhometeam.com
4.13 CI sent to Escrow.</x18tc:text>
    <x18tc:mentions>
      <x18tc:mention mentionpersonId="{7d00647f-be2a-4639-a5f7-08a67118a5cf}" mentionId="{b6f4b94b-c1ba-4fe9-941c-634daff74e89}" startIndex="28" length="24"/>
      <x18tc:mention mentionpersonId="{c2b0de28-3b31-4aa3-82a3-f8aba187b3e9}" mentionId="{a5bab34b-924a-46e2-a751-1a302dddd252}" startIndex="53" length="23"/>
    </x18tc:mentions>
  </x18tc:threadedComment>
  <x18tc:threadedComment ref="AT152" dT="2026-04-13T08:02:36.00" personId="{91ddd612-48c2-41c6-a628-68f42b3a1fa2}" id="{68b5249d-09b7-4d23-8ccb-b05701b1ac0f}" done="0">
    <x18tc:text xml:space="preserve">27101 Comwell St
AM verified.
@isabel@coryhometeam.com
@kenia@coryhometeam.com
4.13 CI sent to Escrow.
Assigned to isabel@coryhometeam.com</x18tc:text>
    <x18tc:mentions>
      <x18tc:mention mentionpersonId="{7d00647f-be2a-4639-a5f7-08a67118a5cf}" mentionId="{d4e40e9b-cca8-4782-bc39-cc5e31867a38}" startIndex="30" length="24"/>
      <x18tc:mention mentionpersonId="{c2b0de28-3b31-4aa3-82a3-f8aba187b3e9}" mentionId="{4295ce14-7c61-4494-8076-4f7db8a8ef70}" startIndex="55" length="23"/>
    </x18tc:mentions>
  </x18tc:threadedComment>
  <x18tc:threadedComment ref="Q14" dT="2026-01-05T22:51:46.00" personId="{d4b03686-3bed-491a-bd12-3b942153f8f5}" id="{9b088b4d-e74a-44af-b1fc-e55741971b8f}" done="1">
    <x18tc:text xml:space="preserve">Your One NHD</x18tc:text>
  </x18tc:threadedComment>
  <x18tc:threadedComment ref="AT185" dT="2026-04-23T23:27:08.00" personId="{d4b03686-3bed-491a-bd12-3b942153f8f5}" id="{0c026348-6c90-48d4-9909-144784bb9b98}" done="0">
    <x18tc:text xml:space="preserve">SIERRA VISTA @isabel@coryhometeam.com
VERIFIED
Assigned to isabel@coryhometeam.com</x18tc:text>
    <x18tc:mentions>
      <x18tc:mention mentionpersonId="{7d00647f-be2a-4639-a5f7-08a67118a5cf}" mentionId="{8a95fc5e-90ff-40ef-baba-07c0edfd4981}" startIndex="13" length="24"/>
    </x18tc:mentions>
  </x18tc:threadedComment>
  <x18tc:threadedComment ref="AD48" dT="2026-02-04T19:11:08.00" personId="{283cbab7-8785-4d8a-9d80-ae85deef9da8}" id="{bf730d10-8a12-4341-a029-981efa20fd20}" done="0">
    <x18tc:text xml:space="preserve">@dana@coryhometeam.com 
@isabel@coryhometeam.com 
Jeff said he negotiated at joining his personal Listing to be 0% commission w $1500 flat fee. 
But he added the $1500 as Admin on the RLA just wanted to check/give you heads up if this is correct?
Assigned to dana@coryhometeam.com</x18tc:text>
    <x18tc:mentions>
      <x18tc:mention mentionpersonId="{97a5b354-94ec-4750-87c3-99cebe208b41}" mentionId="{5f8423d4-05a1-4518-a79a-3f6b8bd526b0}" startIndex="0" length="22"/>
      <x18tc:mention mentionpersonId="{7d00647f-be2a-4639-a5f7-08a67118a5cf}" mentionId="{553ce0be-c305-4683-ad8c-76c761689c68}" startIndex="24" length="24"/>
    </x18tc:mentions>
  </x18tc:threadedComment>
  <x18tc:threadedComment ref="AJ140" dT="2026-04-17T20:33:22.00" personId="{283cbab7-8785-4d8a-9d80-ae85deef9da8}" id="{3a4e5bf9-dcc4-4f86-8814-b45bf0cbd753}" done="0">
    <x18tc:text xml:space="preserve">LA to pay $1250 towards buyers closing costs 
@dana@coryhometeam.com @isabel@coryhometeam.com</x18tc:text>
    <x18tc:mentions>
      <x18tc:mention mentionpersonId="{97a5b354-94ec-4750-87c3-99cebe208b41}" mentionId="{a6e3a045-6ad7-4218-8236-46868111d89e}" startIndex="46" length="22"/>
      <x18tc:mention mentionpersonId="{7d00647f-be2a-4639-a5f7-08a67118a5cf}" mentionId="{7d5bb8e9-f7f1-4d7f-941a-e950d9284e54}" startIndex="69" length="24"/>
    </x18tc:mentions>
  </x18tc:threadedComment>
  <x18tc:threadedComment ref="AT2" dT="2026-02-05T22:37:42.00" personId="{d4b03686-3bed-491a-bd12-3b942153f8f5}" id="{5e2a5edc-5d02-42ba-8808-98956e6ece1c}" done="0">
    <x18tc:text xml:space="preserve">WOODLANDS WAY @isabel@coryhometeam.com
VERIFIED
Assigned to isabel@coryhometeam.com</x18tc:text>
    <x18tc:mentions>
      <x18tc:mention mentionpersonId="{7d00647f-be2a-4639-a5f7-08a67118a5cf}" mentionId="{5892a00c-2d18-40ae-b23b-14ba2f105e8e}" startIndex="14" length="24"/>
    </x18tc:mentions>
  </x18tc:threadedComment>
  <x18tc:threadedComment ref="AE50" dT="2026-02-04T19:43:50.00" personId="{686b49bf-83f4-411b-b0f1-f0e341680f5a}" id="{48f931db-64f1-45b9-bca4-55265d8d92cb}" done="0">
    <x18tc:text xml:space="preserve">2.5% Commission + $3,000 additional from seller.</x18tc:text>
  </x18tc:threadedComment>
  <x18tc:threadedComment ref="AI165" dT="2026-04-23T18:44:16.00" personId="{e9fc873c-1c43-4e02-b893-c88033c9c8f6}" id="{3ffd9a2e-0494-4f79-960a-b320378b8783}" done="0">
    <x18tc:text xml:space="preserve">@kenia@coryhometeam.com Is this amount correct? I thought jenna cannot collect these fees?
Assigned to kenia@coryhometeam.com</x18tc:text>
    <x18tc:mentions>
      <x18tc:mention mentionpersonId="{c2b0de28-3b31-4aa3-82a3-f8aba187b3e9}" mentionId="{8a3668d8-f769-4e7e-b464-1cfb4ac8a99d}" startIndex="0" length="23"/>
    </x18tc:mentions>
  </x18tc:threadedComment>
  <x18tc:threadedComment ref="AI165" dT="2026-04-23T19:20:05.00" personId="{283cbab7-8785-4d8a-9d80-ae85deef9da8}" id="{89e7fbb4-0ee9-47f1-8877-0050db0bf494}" parentId="{3ffd9a2e-0494-4f79-960a-b320378b8783}">
    <x18tc:text xml:space="preserve">correct this is updated and we will send a MT form to remove $1095.00 from BRBC @dana@coryhometeam.com @isabel@coryhometeam.com</x18tc:text>
    <x18tc:mentions>
      <x18tc:mention mentionpersonId="{97a5b354-94ec-4750-87c3-99cebe208b41}" mentionId="{152124d8-1ae2-48b5-a115-7dd916fc9acf}" startIndex="80" length="22"/>
      <x18tc:mention mentionpersonId="{7d00647f-be2a-4639-a5f7-08a67118a5cf}" mentionId="{2025cb6d-2560-44f0-af25-e227db89f999}" startIndex="103" length="24"/>
    </x18tc:mentions>
  </x18tc:threadedComment>
  <x18tc:threadedComment ref="AT139" dT="2026-03-24T09:53:40.00" personId="{91ddd612-48c2-41c6-a628-68f42b3a1fa2}" id="{25318809-37cf-4323-9ee4-f7fdbc837d34}" done="0">
    <x18tc:text xml:space="preserve">1010 Terrace Rd # 52
AM verified.
@isabel@coryhometeam.com
@kenia@coryhometeam.com
3.24 CI sent to Escrow.
Assigned to isabel@coryhometeam.com</x18tc:text>
    <x18tc:mentions>
      <x18tc:mention mentionpersonId="{7d00647f-be2a-4639-a5f7-08a67118a5cf}" mentionId="{ba12a6be-cd03-4923-886e-56d3612c4dc1}" startIndex="34" length="24"/>
      <x18tc:mention mentionpersonId="{c2b0de28-3b31-4aa3-82a3-f8aba187b3e9}" mentionId="{32bb2e0a-5a09-47ab-b829-6e2502474731}" startIndex="59" length="23"/>
    </x18tc:mentions>
  </x18tc:threadedComment>
  <x18tc:threadedComment ref="AT70" dT="2026-02-04T07:36:45.00" personId="{d4b03686-3bed-491a-bd12-3b942153f8f5}" id="{6af21148-7a7b-4449-9c7d-a9e9e0148db8}" done="0">
    <x18tc:text xml:space="preserve">AVENIDA ANTONOVICH @isabel@coryhometeam.com
VERIFIED
Assigned to isabel@coryhometeam.com</x18tc:text>
    <x18tc:mentions>
      <x18tc:mention mentionpersonId="{7d00647f-be2a-4639-a5f7-08a67118a5cf}" mentionId="{f0e6363f-571d-4eb3-a7e2-0324fbafc1f2}" startIndex="19" length="24"/>
    </x18tc:mentions>
  </x18tc:threadedComment>
  <x18tc:threadedComment ref="AT141" dT="2026-02-04T07:51:45.00" personId="{d4b03686-3bed-491a-bd12-3b942153f8f5}" id="{0b3c5904-210a-4c2b-83d7-8372cf7fc9d4}" done="0">
    <x18tc:text xml:space="preserve">VISTA WAY @isabel@coryhometeam.com
VERIFIED
Assigned to isabel@coryhometeam.com</x18tc:text>
    <x18tc:mentions>
      <x18tc:mention mentionpersonId="{7d00647f-be2a-4639-a5f7-08a67118a5cf}" mentionId="{ee29f680-dbb4-4601-9a05-068ef061aedd}" startIndex="10" length="24"/>
    </x18tc:mentions>
  </x18tc:threadedComment>
  <x18tc:threadedComment ref="AT52" dT="2026-01-23T23:13:59.00" personId="{d4b03686-3bed-491a-bd12-3b942153f8f5}" id="{4c34ce10-af59-49c3-a0d3-553490e6e68b}" done="0">
    <x18tc:text xml:space="preserve">SANTA TERESA WAY @isabel@coryhometeam.com
VERIFIED
Assigned to isabel@coryhometeam.com</x18tc:text>
    <x18tc:mentions>
      <x18tc:mention mentionpersonId="{7d00647f-be2a-4639-a5f7-08a67118a5cf}" mentionId="{f1d62a23-808d-4526-b88e-4669ad034962}" startIndex="17" length="24"/>
    </x18tc:mentions>
  </x18tc:threadedComment>
  <x18tc:threadedComment ref="AT41" dT="2026-02-09T23:52:58.00" personId="{d4b03686-3bed-491a-bd12-3b942153f8f5}" id="{aa2fe946-c9c5-4d46-add0-ad08544b29c8}" done="0">
    <x18tc:text xml:space="preserve">SWEETBRIER CT @isabel@coryhometeam.com
VERIFIED
Assigned to isabel@coryhometeam.com</x18tc:text>
    <x18tc:mentions>
      <x18tc:mention mentionpersonId="{7d00647f-be2a-4639-a5f7-08a67118a5cf}" mentionId="{a882de5a-b3c0-4c9a-ba44-1c88ecb1f906}" startIndex="14" length="24"/>
    </x18tc:mentions>
  </x18tc:threadedComment>
  <x18tc:threadedComment ref="AD191" dT="2026-04-28T21:48:56.00" personId="{d4b03686-3bed-491a-bd12-3b942153f8f5}" id="{3aea3d0f-311f-4820-a36e-a187f59c190f}" done="0">
    <x18tc:text xml:space="preserve">Sellers are paying 2%, buyer is paying .5%</x18tc:text>
  </x18tc:threadedComment>
  <x18tc:threadedComment ref="AI48" dT="2026-01-19T22:01:21.00" personId="{91ddd612-48c2-41c6-a628-68f42b3a1fa2}" id="{d1078771-261a-4525-9f59-81daddef2896}" done="0">
    <x18tc:text xml:space="preserve">1.19 LA commission is flat rate.</x18tc:text>
  </x18tc:threadedComment>
  <x18tc:threadedComment ref="X209" dT="2026-06-02T13:50:46.00" personId="{91ddd612-48c2-41c6-a628-68f42b3a1fa2}" id="{23e66bab-4c8d-47bd-9440-af0917342579}" done="0">
    <x18tc:text xml:space="preserve">6.2 COE extended to 6.5 as per ETA1.</x18tc:text>
  </x18tc:threadedComment>
  <x18tc:threadedComment ref="X209" dT="2026-06-08T17:56:29.00" personId="{91ddd612-48c2-41c6-a628-68f42b3a1fa2}" id="{649b50f2-b943-4d82-94e0-8fc72555c945}" parentId="{23e66bab-4c8d-47bd-9440-af0917342579}">
    <x18tc:text xml:space="preserve">ETA2 - COE 6.8</x18tc:text>
  </x18tc:threadedComment>
  <x18tc:threadedComment ref="AT53" dT="2026-02-10T00:00:19.00" personId="{d4b03686-3bed-491a-bd12-3b942153f8f5}" id="{fd07a50c-46ca-4513-bec3-c526ec7d4541}" done="0">
    <x18tc:text xml:space="preserve">MOUNTAIN PRIDE @isabel@coryhometeam.com
VERIFIED
Assigned to isabel@coryhometeam.com</x18tc:text>
    <x18tc:mentions>
      <x18tc:mention mentionpersonId="{7d00647f-be2a-4639-a5f7-08a67118a5cf}" mentionId="{d4fec1a5-ae7f-417a-84c0-ddf007b6bc59}" startIndex="15" length="24"/>
    </x18tc:mentions>
  </x18tc:threadedComment>
  <x18tc:threadedComment ref="AH89" dT="2026-02-10T01:52:58.00" personId="{686b49bf-83f4-411b-b0f1-f0e341680f5a}" id="{345f4cf0-0de4-4310-893f-299765fbabbc}" done="0">
    <x18tc:text xml:space="preserve">Old Listing - prior to changes.</x18tc:text>
  </x18tc:threadedComment>
  <x18tc:threadedComment ref="AL201" dT="2026-05-29T17:02:08.00" personId="{e9fc873c-1c43-4e02-b893-c88033c9c8f6}" id="{4701dd43-ba5c-4051-bd47-6d2bc7663934}" done="0">
    <x18tc:text xml:space="preserve">Steve Hayden advance</x18tc:text>
  </x18tc:threadedComment>
  <x18tc:threadedComment ref="AJ41" dT="2026-02-10T01:10:17.00" personId="{686b49bf-83f4-411b-b0f1-f0e341680f5a}" id="{fc81dfda-0dcb-4ac4-9462-68b30ee699c6}" done="0">
    <x18tc:text xml:space="preserve">To be deducted from Alexandra's compendation. She is covering the cost of Home Warranty</x18tc:text>
  </x18tc:threadedComment>
  <x18tc:threadedComment ref="AG59" dT="2026-02-10T01:53:56.00" personId="{686b49bf-83f4-411b-b0f1-f0e341680f5a}" id="{499bd0c6-a357-4c85-a762-0a4a2518c28c}" done="0">
    <x18tc:text xml:space="preserve">Old Listing - prior to changes.</x18tc:text>
  </x18tc:threadedComment>
  <x18tc:threadedComment ref="AH47" dT="2026-02-10T01:53:30.00" personId="{686b49bf-83f4-411b-b0f1-f0e341680f5a}" id="{c32ba321-95bc-44e9-b45f-58954289d1af}" done="0">
    <x18tc:text xml:space="preserve">Old Listing - prior to changes.</x18tc:text>
  </x18tc:threadedComment>
  <x18tc:threadedComment ref="AH47" dT="2026-02-18T00:47:14.00" personId="{686b49bf-83f4-411b-b0f1-f0e341680f5a}" id="{5b0ff5e5-11e5-4080-9497-5315475c4f33}" parentId="{c32ba321-95bc-44e9-b45f-58954289d1af}">
    <x18tc:text xml:space="preserve">@dana@coryhometeam.com Refere to the email thread sent today 02/17 regarding Alicia subscribing following COE.</x18tc:text>
    <x18tc:mentions>
      <x18tc:mention mentionpersonId="{97a5b354-94ec-4750-87c3-99cebe208b41}" mentionId="{fae38a62-5c74-46a5-af7c-2aa35e412bcd}" startIndex="0" length="22"/>
    </x18tc:mentions>
  </x18tc:threadedComment>
  <x18tc:threadedComment ref="P68" dT="2026-02-17T23:48:13.00" personId="{91ddd612-48c2-41c6-a628-68f42b3a1fa2}" id="{fd9e8f47-0ba6-46da-a9a9-c2c8727f2a84}" done="0">
    <x18tc:text xml:space="preserve">2.17 Per Kenia: She was diving to an appointment and said she wants to handle the addendum herself. 
So let’s leave it as is for now and make a note that we are pending adm from here.</x18tc:text>
  </x18tc:threadedComment>
  <x18tc:threadedComment ref="AH59" dT="2026-02-10T01:54:08.00" personId="{686b49bf-83f4-411b-b0f1-f0e341680f5a}" id="{46395d86-c3d5-4e88-8b8f-2b05e85c40d4}" done="0">
    <x18tc:text xml:space="preserve">Old Listing - prior to changes.</x18tc:text>
  </x18tc:threadedComment>
  <x18tc:threadedComment ref="AD46" dT="2026-01-23T20:12:50.00" personId="{d4b03686-3bed-491a-bd12-3b942153f8f5}" id="{3024db79-da7b-4be8-9b9e-333e9357dd19}" done="0">
    <x18tc:text xml:space="preserve">$589.00</x18tc:text>
  </x18tc:threadedComment>
  <x18tc:threadedComment ref="AT205" dT="2026-05-11T12:15:00.00" personId="{91ddd612-48c2-41c6-a628-68f42b3a1fa2}" id="{e9e189b6-1ef3-43db-878c-fee42961b98a}" done="0">
    <x18tc:text xml:space="preserve">10061 Van Ruiten St
AM verified.
@isabel@coryhometeam.com
@kenia@coryhometeam.com
5.11 CI sent to Escrow.
Assigned to isabel@coryhometeam.com</x18tc:text>
    <x18tc:mentions>
      <x18tc:mention mentionpersonId="{7d00647f-be2a-4639-a5f7-08a67118a5cf}" mentionId="{2c3955fb-bc0d-4855-a364-ede6cface63b}" startIndex="33" length="24"/>
      <x18tc:mention mentionpersonId="{c2b0de28-3b31-4aa3-82a3-f8aba187b3e9}" mentionId="{718be358-7985-47f6-ab4c-7d12159162f7}" startIndex="58" length="23"/>
    </x18tc:mentions>
  </x18tc:threadedComment>
  <x18tc:threadedComment ref="AT117" dT="2026-03-13T00:20:26.00" personId="{d4b03686-3bed-491a-bd12-3b942153f8f5}" id="{9b616e70-2639-4ea3-b46d-9a4411adf018}" done="0">
    <x18tc:text xml:space="preserve">BRADLEY @isabel@coryhometeam.com
VERIFIED
Assigned to isabel@coryhometeam.com</x18tc:text>
    <x18tc:mentions>
      <x18tc:mention mentionpersonId="{7d00647f-be2a-4639-a5f7-08a67118a5cf}" mentionId="{a1aebda4-b905-4f27-806e-d66440fb670f}" startIndex="8" length="24"/>
    </x18tc:mentions>
  </x18tc:threadedComment>
  <x18tc:threadedComment ref="AD24" dT="2026-01-23T17:32:18.00" personId="{d4b03686-3bed-491a-bd12-3b942153f8f5}" id="{ce0d10ca-e0fa-4da6-8d44-1fd3e9d6a53b}" done="0">
    <x18tc:text xml:space="preserve">$12,000.00</x18tc:text>
  </x18tc:threadedComment>
  <x18tc:threadedComment ref="AT183" dT="2026-05-11T11:40:01.00" personId="{91ddd612-48c2-41c6-a628-68f42b3a1fa2}" id="{d1ab496d-5fe7-49ca-8fe1-15096a6e9659}" done="0">
    <x18tc:text xml:space="preserve">38194 Oaktree Loop
AM verified.
@isabel@coryhometeam.com
@kenia@coryhometeam.com
5.11 CI sent to Escrow.
Assigned to isabel@coryhometeam.com</x18tc:text>
    <x18tc:mentions>
      <x18tc:mention mentionpersonId="{7d00647f-be2a-4639-a5f7-08a67118a5cf}" mentionId="{b9aac895-8716-4b69-a728-35aff7422c7f}" startIndex="32" length="24"/>
      <x18tc:mention mentionpersonId="{c2b0de28-3b31-4aa3-82a3-f8aba187b3e9}" mentionId="{5ac11b6a-90c4-43ff-b67a-6295c1513e27}" startIndex="57" length="23"/>
    </x18tc:mentions>
  </x18tc:threadedComment>
  <x18tc:threadedComment ref="AB162" dT="2026-04-30T19:02:05.00" personId="{e9fc873c-1c43-4e02-b893-c88033c9c8f6}" id="{b809566d-90f0-4a6d-8f53-336d394fb804}" done="0">
    <x18tc:text xml:space="preserve">@isabel@coryhometeam.com @remy@coryhometeam.com Per Blake this is a crush it marketing lead, which has a referral fee due
Assigned to isabel@coryhometeam.com</x18tc:text>
    <x18tc:mentions>
      <x18tc:mention mentionpersonId="{7d00647f-be2a-4639-a5f7-08a67118a5cf}" mentionId="{6619777d-10c6-40c8-b929-a033cafd8aaf}" startIndex="0" length="24"/>
      <x18tc:mention mentionpersonId="{5fc4901b-b525-40a8-b626-e780cd452fac}" mentionId="{ed5fe96b-7231-42a2-8200-4fa0640fba27}" startIndex="25" length="22"/>
    </x18tc:mentions>
  </x18tc:threadedComment>
  <x18tc:threadedComment ref="AD51" dT="2026-02-05T23:59:34.00" personId="{d4b03686-3bed-491a-bd12-3b942153f8f5}" id="{aece508e-090f-49ce-aff9-fb1d1a6602e3}" done="0">
    <x18tc:text xml:space="preserve">2% from Seller 1% from Buyer</x18tc:text>
  </x18tc:threadedComment>
  <x18tc:threadedComment ref="AB201" dT="2026-04-30T19:01:35.00" personId="{e9fc873c-1c43-4e02-b893-c88033c9c8f6}" id="{7008cc35-f3b6-4e20-88f5-05b126afc756}" done="1">
    <x18tc:text xml:space="preserve">@isabel@coryhometeam.com @remy@coryhometeam.com Per Blake this is a crush it marketing lead, which has a referral fee due
Assigned to isabel@coryhometeam.com</x18tc:text>
    <x18tc:mentions>
      <x18tc:mention mentionpersonId="{7d00647f-be2a-4639-a5f7-08a67118a5cf}" mentionId="{5a097dd0-11c9-4bbe-830c-6a4690d41929}" startIndex="0" length="24"/>
      <x18tc:mention mentionpersonId="{5fc4901b-b525-40a8-b626-e780cd452fac}" mentionId="{d1f89cf8-31b9-4284-be39-64078121a65a}" startIndex="25" length="22"/>
    </x18tc:mentions>
  </x18tc:threadedComment>
  <x18tc:threadedComment ref="AT51" dT="2026-02-05T23:54:00.00" personId="{d4b03686-3bed-491a-bd12-3b942153f8f5}" id="{208c356d-9b94-46fe-92b6-4c67e78f1f47}" done="0">
    <x18tc:text xml:space="preserve">GIFHORN CT @isabel@coryhometeam.com
VERIFIED
Assigned to isabel@coryhometeam.com</x18tc:text>
    <x18tc:mentions>
      <x18tc:mention mentionpersonId="{7d00647f-be2a-4639-a5f7-08a67118a5cf}" mentionId="{664b3114-9988-484d-978d-90473d6e5e19}" startIndex="11" length="24"/>
    </x18tc:mentions>
  </x18tc:threadedComment>
  <x18tc:threadedComment ref="AT165" dT="2026-05-08T16:13:10.00" personId="{91ddd612-48c2-41c6-a628-68f42b3a1fa2}" id="{3cef5a94-cd30-4619-9879-4e3b3e529e76}" done="0">
    <x18tc:text xml:space="preserve">738 Highlands Dr
AM verified.
@isabel@coryhometeam.com
@kenia@coryhometeam.com
5.8 CI sent to Escrow.
Assigned to isabel@coryhometeam.com</x18tc:text>
    <x18tc:mentions>
      <x18tc:mention mentionpersonId="{7d00647f-be2a-4639-a5f7-08a67118a5cf}" mentionId="{1d0d85e9-8b76-4a64-af2c-8e86e52abfdc}" startIndex="30" length="24"/>
      <x18tc:mention mentionpersonId="{c2b0de28-3b31-4aa3-82a3-f8aba187b3e9}" mentionId="{f572f38a-9b37-492f-ac2b-ff2536c5f176}" startIndex="55" length="23"/>
    </x18tc:mentions>
  </x18tc:threadedComment>
  <x18tc:threadedComment ref="AT210" dT="2026-05-27T19:48:31.00" personId="{d4b03686-3bed-491a-bd12-3b942153f8f5}" id="{0b7c9399-e841-42e3-945d-4aebfe85aaa0}" done="0">
    <x18tc:text xml:space="preserve">PRINCESS VIEW @isabel@coryhometeam.com
VERIFIED
Assigned to isabel@coryhometeam.com</x18tc:text>
    <x18tc:mentions>
      <x18tc:mention mentionpersonId="{7d00647f-be2a-4639-a5f7-08a67118a5cf}" mentionId="{0e193f3f-c109-496f-816c-167c51a6dfa3}" startIndex="14" length="24"/>
    </x18tc:mentions>
  </x18tc:threadedComment>
  <x18tc:threadedComment ref="AT222" dT="2026-05-27T17:59:53.00" personId="{91ddd612-48c2-41c6-a628-68f42b3a1fa2}" id="{155ee20a-405b-4fed-ba81-aa7f2b9e05b9}" done="0">
    <x18tc:text xml:space="preserve">29307 Saltbush
AM verified.
@isabel@coryhometeam.com
@kenia@coryhometeam.com
5.27 CI sent to Escrow.
Assigned to isabel@coryhometeam.com</x18tc:text>
    <x18tc:mentions>
      <x18tc:mention mentionpersonId="{7d00647f-be2a-4639-a5f7-08a67118a5cf}" mentionId="{36056c80-1b4b-489b-a0e5-ec7c7c92760f}" startIndex="28" length="24"/>
      <x18tc:mention mentionpersonId="{c2b0de28-3b31-4aa3-82a3-f8aba187b3e9}" mentionId="{ebbab666-196f-4f74-9e59-cd48d0a64da6}" startIndex="53" length="23"/>
    </x18tc:mentions>
  </x18tc:threadedComment>
  <x18tc:threadedComment ref="AJ145" dT="2026-03-30T19:16:01.00" personId="{686b49bf-83f4-411b-b0f1-f0e341680f5a}" id="{ffbc78df-e9cd-4d35-a077-5f0342cb5d65}" done="1">
    <x18tc:text xml:space="preserve">See closing notes.</x18tc:text>
  </x18tc:threadedComment>
  <x18tc:threadedComment ref="AJ145" dT="2026-04-23T17:16:54.00" personId="{e9fc873c-1c43-4e02-b893-c88033c9c8f6}" id="{3cbe9fa6-af66-46f2-b566-10edacbf304f}" parentId="{ffbc78df-e9cd-4d35-a077-5f0342cb5d65}">
    <x18tc:text xml:space="preserve">invoice sent</x18tc:text>
  </x18tc:threadedComment>
  <x18tc:threadedComment ref="X109" dT="2026-03-19T15:36:07.00" personId="{686b49bf-83f4-411b-b0f1-f0e341680f5a}" id="{e6fa82ff-7225-4e7a-a412-bc08b1087e58}" done="0">
    <x18tc:text xml:space="preserve">03/19/26
EM From Title:
teammonique
8:18 AM (16 minutes ago)
to me, teammonique, Renée
Good morning,
Updated COE is 3/26. Pending loan docs.</x18tc:text>
  </x18tc:threadedComment>
  <x18tc:threadedComment ref="AT200" dT="2026-05-27T19:00:53.00" personId="{d4b03686-3bed-491a-bd12-3b942153f8f5}" id="{e052cf95-82bc-4b6b-8b9e-f0fafcb2bdf4}" done="0">
    <x18tc:text xml:space="preserve">AVENUE L 10 @isabel@coryhometeam.com
VERIFIED
Assigned to isabel@coryhometeam.com</x18tc:text>
    <x18tc:mentions>
      <x18tc:mention mentionpersonId="{7d00647f-be2a-4639-a5f7-08a67118a5cf}" mentionId="{ab0e5bde-e6d8-4c65-b369-77b9b0770c64}" startIndex="12" length="24"/>
    </x18tc:mentions>
  </x18tc:threadedComment>
  <x18tc:threadedComment ref="AT116" dT="2026-03-02T17:06:36.00" personId="{91ddd612-48c2-41c6-a628-68f42b3a1fa2}" id="{a323e10e-e567-4c17-98a2-6ad3ef5bdfb8}" done="0">
    <x18tc:text xml:space="preserve">25818 Iris Ave #C
AM verified.
@isabel@coryhometeam.com
@kenia@coryhometeam.com
3.2 CI sent to Escrow.
Assigned to isabel@coryhometeam.com</x18tc:text>
    <x18tc:mentions>
      <x18tc:mention mentionpersonId="{7d00647f-be2a-4639-a5f7-08a67118a5cf}" mentionId="{60e7fe06-2179-489b-a238-a64ed93de583}" startIndex="31" length="24"/>
      <x18tc:mention mentionpersonId="{c2b0de28-3b31-4aa3-82a3-f8aba187b3e9}" mentionId="{c228db9c-9e8c-422b-9229-0edd44e559ce}" startIndex="56" length="23"/>
    </x18tc:mentions>
  </x18tc:threadedComment>
  <x18tc:threadedComment ref="AJ11" dT="2026-01-07T17:08:38.00" personId="{283cbab7-8785-4d8a-9d80-ae85deef9da8}" id="{064ea7b5-2f41-48a5-b8f2-13235c4a030c}" done="0">
    <x18tc:text xml:space="preserve">Kendra Harlan
Tue, Jan 6, 7:31 PM (13 hours ago)
to me
Hey Kenia,
I have to give a $50 per day credit to the sellers due to the delay in closing effective the 1st, so hopefully we close the 8th and it saves me some money, but can you add that credit? 
So either from 1-9 $450 or 1-8 $400. 
Thank you! 
Kendra Harlan</x18tc:text>
  </x18tc:threadedComment>
  <x18tc:threadedComment ref="AT195" dT="2026-05-27T18:58:35.00" personId="{d4b03686-3bed-491a-bd12-3b942153f8f5}" id="{753b7338-cf48-4945-9408-cda2a798afdf}" done="0">
    <x18tc:text xml:space="preserve">LA LUNE AVE @isabel@coryhometeam.com
VERIFIED
Assigned to isabel@coryhometeam.com</x18tc:text>
    <x18tc:mentions>
      <x18tc:mention mentionpersonId="{7d00647f-be2a-4639-a5f7-08a67118a5cf}" mentionId="{0cfd71dd-c9cd-48bf-a1b2-a2b6689a71b7}" startIndex="12" length="24"/>
    </x18tc:mentions>
  </x18tc:threadedComment>
  <x18tc:threadedComment ref="C203" dT="2026-05-08T21:34:29.00" personId="{5a7b7df7-22eb-4b3a-a492-7d9d82a49202}" id="{cd21c3ee-326b-4d4d-93a2-422ab847a6c4}" done="0">
    <x18tc:text xml:space="preserve">@mario@coryhometeam.com this is Zillow Preferred.
Assigned to mario@coryhometeam.com</x18tc:text>
    <x18tc:mentions>
      <x18tc:mention mentionpersonId="{2e22d597-0391-4fad-b35d-27f803a9ca3b}" mentionId="{4ef1670f-7496-4209-8801-7e59731dc0fb}" startIndex="0" length="23"/>
    </x18tc:mentions>
  </x18tc:threadedComment>
  <x18tc:threadedComment ref="C203" dT="2026-05-08T23:30:15.00" personId="{0133e9b1-fafb-4583-93c6-8ca1e64b90cc}" id="{ca90eea5-cee4-49ce-9391-b9449c935f4b}" parentId="{cd21c3ee-326b-4d4d-93a2-422ab847a6c4}">
    <x18tc:text xml:space="preserve">Marked as done</x18tc:text>
  </x18tc:threadedComment>
  <x18tc:threadedComment ref="C203" dT="2026-05-08T23:30:31.00" personId="{0133e9b1-fafb-4583-93c6-8ca1e64b90cc}" id="{b003263c-23d6-4600-a552-60b7eaf24881}" parentId="{cd21c3ee-326b-4d4d-93a2-422ab847a6c4}">
    <x18tc:text xml:space="preserve">DONE
Re-opened</x18tc:text>
  </x18tc:threadedComment>
  <x18tc:threadedComment ref="AK201" dT="2026-05-27T21:17:19.00" personId="{5a7b7df7-22eb-4b3a-a492-7d9d82a49202}" id="{4078030f-ad1b-42da-af78-c6434fc5850e}" done="0">
    <x18tc:text xml:space="preserve">@dana@coryhometeam.com referral fee needs to be hit on this closing.
Assigned to dana@coryhometeam.com</x18tc:text>
    <x18tc:mentions>
      <x18tc:mention mentionpersonId="{97a5b354-94ec-4750-87c3-99cebe208b41}" mentionId="{584cd441-7f95-483f-b7bc-b2ea07d5509e}" startIndex="0" length="22"/>
    </x18tc:mentions>
  </x18tc:threadedComment>
  <x18tc:threadedComment ref="AT149" dT="2026-04-02T23:30:49.00" personId="{d4b03686-3bed-491a-bd12-3b942153f8f5}" id="{2fbf84b8-7efb-464c-881d-3ce2a453d92d}" done="0">
    <x18tc:text xml:space="preserve">OAK VIEW LN @isabel@coryhometeam.com
VERIFIED
Assigned to isabel@coryhometeam.com</x18tc:text>
    <x18tc:mentions>
      <x18tc:mention mentionpersonId="{7d00647f-be2a-4639-a5f7-08a67118a5cf}" mentionId="{3fdcaf76-00d8-475a-9e43-fec6605bb973}" startIndex="12" length="24"/>
    </x18tc:mentions>
  </x18tc:threadedComment>
  <x18tc:threadedComment ref="AT138" dT="2026-03-25T08:38:12.00" personId="{91ddd612-48c2-41c6-a628-68f42b3a1fa2}" id="{b0c13552-cb70-4759-b330-35bd315d4a90}" done="0">
    <x18tc:text xml:space="preserve">42951 Virgo Court
AM verified.
@isabel@coryhometeam.com
@kenia@coryhometeam.com
3.25 CI sent to Escrow.
Assigned to isabel@coryhometeam.com</x18tc:text>
    <x18tc:mentions>
      <x18tc:mention mentionpersonId="{7d00647f-be2a-4639-a5f7-08a67118a5cf}" mentionId="{1894423d-3e1c-4ce5-9118-2c796bb95b3b}" startIndex="31" length="24"/>
      <x18tc:mention mentionpersonId="{c2b0de28-3b31-4aa3-82a3-f8aba187b3e9}" mentionId="{205f519d-8ee1-49d6-9fd9-b7f5784f7d9a}" startIndex="56" length="23"/>
    </x18tc:mentions>
  </x18tc:threadedComment>
  <x18tc:threadedComment ref="AJ176" dT="2026-05-20T17:16:32.00" personId="{e9fc873c-1c43-4e02-b893-c88033c9c8f6}" id="{5a45e36d-b95b-42f5-bc78-baebeae98333}" done="0">
    <x18tc:text xml:space="preserve">termite</x18tc:text>
  </x18tc:threadedComment>
  <x18tc:threadedComment ref="P166" dT="2026-04-07T23:26:02.00" personId="{91ddd612-48c2-41c6-a628-68f42b3a1fa2}" id="{59f8dec8-18fe-438a-8beb-96cf219ba44d}" done="0">
    <x18tc:text xml:space="preserve">Choice Home Warranty</x18tc:text>
  </x18tc:threadedComment>
  <x18tc:threadedComment ref="AJ44" dT="2026-02-11T00:43:20.00" personId="{686b49bf-83f4-411b-b0f1-f0e341680f5a}" id="{f90d9ce1-1817-402d-8af3-d9af68466b6d}" done="0">
    <x18tc:text xml:space="preserve">02/10/26
EM approval from Kiona, this credit to the Seller is off the top of the commission before splits.</x18tc:text>
  </x18tc:threadedComment>
  <x18tc:threadedComment ref="X114" dT="2026-03-23T23:21:01.00" personId="{91ddd612-48c2-41c6-a628-68f42b3a1fa2}" id="{8a4e8e2c-1cf1-4a12-be37-20fa0d9c0c01}" done="0">
    <x18tc:text xml:space="preserve">3.23 COE extended. Please see ETA1.</x18tc:text>
  </x18tc:threadedComment>
  <x18tc:threadedComment ref="AJ129" dT="2026-04-10T20:08:19.00" personId="{283cbab7-8785-4d8a-9d80-ae85deef9da8}" id="{3bb21e1a-ba08-46ab-ac56-76767672c030}" done="0">
    <x18tc:text xml:space="preserve">ADM1 
$65.00 deduction for Rachele as she agreed to cover Home Warranty difference for buyer 
@dana@coryhometeam.com @isabel@coryhometeam.com</x18tc:text>
    <x18tc:mentions>
      <x18tc:mention mentionpersonId="{97a5b354-94ec-4750-87c3-99cebe208b41}" mentionId="{034a1271-8de3-41d9-a9b9-694caa710f53}" startIndex="94" length="22"/>
      <x18tc:mention mentionpersonId="{7d00647f-be2a-4639-a5f7-08a67118a5cf}" mentionId="{7f32b093-be4e-47d0-a3cf-cf8afd1489b1}" startIndex="117" length="24"/>
    </x18tc:mentions>
  </x18tc:threadedComment>
  <x18tc:threadedComment ref="AE33" dT="2026-01-21T06:28:14.00" personId="{686b49bf-83f4-411b-b0f1-f0e341680f5a}" id="{fefc46b8-3692-467f-8003-5d6e015eddce}" done="0">
    <x18tc:text xml:space="preserve">Commission is being split 75% to Richard and 25% to Alexis. Mel is not collecting commission on this, she stepped in for communication to the Sellers only.</x18tc:text>
  </x18tc:threadedComment>
  <x18tc:threadedComment ref="O140" dT="2026-04-08T01:09:15.00" personId="{91ddd612-48c2-41c6-a628-68f42b3a1fa2}" id="{1764529c-c49a-4a33-a695-21b6e7555607}" done="0">
    <x18tc:text xml:space="preserve">New Lender from Citibank to Rocket Mortgage.</x18tc:text>
  </x18tc:threadedComment>
  <x18tc:threadedComment ref="AC217" dT="2026-05-20T23:05:39.00" personId="{91ddd612-48c2-41c6-a628-68f42b3a1fa2}" id="{8eccb9fd-64b9-4aef-9b75-a09413daf8fb}" done="0">
    <x18tc:text xml:space="preserve">5.20 Adjusted purchase price to base price as per agreement.</x18tc:text>
  </x18tc:threadedComment>
  <x18tc:threadedComment ref="AJ128" dT="2026-04-07T22:50:37.00" personId="{686b49bf-83f4-411b-b0f1-f0e341680f5a}" id="{ac96540d-4bdb-48ea-b078-94c6aa482811}" done="0">
    <x18tc:text xml:space="preserve">This is a credit to the Seller for Home Warranty costs from Alexandra's commission.</x18tc:text>
  </x18tc:threadedComment>
  <x18tc:threadedComment ref="X108" dT="2026-03-23T23:13:53.00" personId="{91ddd612-48c2-41c6-a628-68f42b3a1fa2}" id="{7e61e757-7500-4aba-9819-7322435fdd74}" done="0">
    <x18tc:text xml:space="preserve">3.23 COE extended. Please see ETA1.</x18tc:text>
  </x18tc:threadedComment>
  <x18tc:threadedComment ref="AT118" dT="2026-03-17T15:48:03.00" personId="{91ddd612-48c2-41c6-a628-68f42b3a1fa2}" id="{470c2729-6dd0-4fce-aa98-9aea29a33475}" done="0">
    <x18tc:text xml:space="preserve">465 Maiden Cross Ct
AM verified.
@isabel@coryhometeam.com
@kenia@coryhometeam.com
3.17 CI sent to Escrow.
Assigned to isabel@coryhometeam.com</x18tc:text>
    <x18tc:mentions>
      <x18tc:mention mentionpersonId="{7d00647f-be2a-4639-a5f7-08a67118a5cf}" mentionId="{6721ab7d-da76-4ce7-af52-08c095d00bbc}" startIndex="33" length="24"/>
      <x18tc:mention mentionpersonId="{c2b0de28-3b31-4aa3-82a3-f8aba187b3e9}" mentionId="{a091ea03-1cc1-4b5a-9e8d-24b984d200e7}" startIndex="58" length="23"/>
    </x18tc:mentions>
  </x18tc:threadedComment>
  <x18tc:threadedComment ref="AD84" dT="2026-02-19T20:01:08.00" personId="{d4b03686-3bed-491a-bd12-3b942153f8f5}" id="{5a6d97fd-5313-4260-bcae-e994795992a0}" done="0">
    <x18tc:text xml:space="preserve">2% from Seller 2% from Buyer</x18tc:text>
  </x18tc:threadedComment>
  <x18tc:threadedComment ref="AT94" dT="2026-01-26T19:12:37.00" personId="{d4b03686-3bed-491a-bd12-3b942153f8f5}" id="{c28c7f60-3ff0-4818-be83-13cbe30fb12b}" done="0">
    <x18tc:text xml:space="preserve">VIA DE LA VALLE @isabel@coryhometeam.com
VERIFIED
Assigned to isabel@coryhometeam.com</x18tc:text>
    <x18tc:mentions>
      <x18tc:mention mentionpersonId="{7d00647f-be2a-4639-a5f7-08a67118a5cf}" mentionId="{bcb8dc5f-ccb6-480c-8aaa-de72d16bb60b}" startIndex="16" length="24"/>
    </x18tc:mentions>
  </x18tc:threadedComment>
  <x18tc:threadedComment ref="AT88" dT="2026-02-19T20:14:14.00" personId="{91ddd612-48c2-41c6-a628-68f42b3a1fa2}" id="{759c353c-5052-4b0f-92ad-aa8425678a36}" done="0">
    <x18tc:text xml:space="preserve">25180 Juno St 
AM verified.
@isabel@coryhometeam.com
@kenia@coryhometeam.com
2.19 CI sent to Escrow.
Assigned to isabel@coryhometeam.com</x18tc:text>
    <x18tc:mentions>
      <x18tc:mention mentionpersonId="{7d00647f-be2a-4639-a5f7-08a67118a5cf}" mentionId="{844c325a-c3c8-4eab-86ef-2438ae4dcc14}" startIndex="28" length="24"/>
      <x18tc:mention mentionpersonId="{c2b0de28-3b31-4aa3-82a3-f8aba187b3e9}" mentionId="{5ee43af3-a85b-49bf-8590-af02e24e6a1d}" startIndex="53" length="23"/>
    </x18tc:mentions>
  </x18tc:threadedComment>
  <x18tc:threadedComment ref="AT30" dT="2026-01-26T19:14:06.00" personId="{d4b03686-3bed-491a-bd12-3b942153f8f5}" id="{3391dc5a-41e9-4efa-8e02-33233537256e}" done="0">
    <x18tc:text xml:space="preserve">BROADMOOR BLVD @isabel@coryhometeam.com
VERIFIED
Assigned to isabel@coryhometeam.com</x18tc:text>
    <x18tc:mentions>
      <x18tc:mention mentionpersonId="{7d00647f-be2a-4639-a5f7-08a67118a5cf}" mentionId="{351a1250-7699-4b30-a242-1b0d41653fce}" startIndex="15" length="24"/>
    </x18tc:mentions>
  </x18tc:threadedComment>
  <x18tc:threadedComment ref="AT72" dT="2026-02-19T20:14:15.00" personId="{d4b03686-3bed-491a-bd12-3b942153f8f5}" id="{7ff2e006-5dbe-4509-b7bf-8c937ea8a5e3}" done="0">
    <x18tc:text xml:space="preserve">JUTLAND DR @isabel@coryhometeam.com
VERIFIED
Assigned to isabel@coryhometeam.com</x18tc:text>
    <x18tc:mentions>
      <x18tc:mention mentionpersonId="{7d00647f-be2a-4639-a5f7-08a67118a5cf}" mentionId="{8d52c3fe-faa5-4138-a9a9-79c97378f7ac}" startIndex="11" length="24"/>
    </x18tc:mentions>
  </x18tc:threadedComment>
  <x18tc:threadedComment ref="AJ58" dT="2026-02-10T19:19:32.00" personId="{686b49bf-83f4-411b-b0f1-f0e341680f5a}" id="{a676f0a1-a3e2-4f38-a315-cbf60c1d6f41}" done="0">
    <x18tc:text xml:space="preserve">Send invoice to Cheryl to pay for sign install.</x18tc:text>
  </x18tc:threadedComment>
  <x18tc:threadedComment ref="AO136" dT="2026-03-16T19:50:41.00" personId="{e9fc873c-1c43-4e02-b893-c88033c9c8f6}" id="{9ad02470-af6b-4889-a3d8-d27ed620864f}" done="0">
    <x18tc:text xml:space="preserve">@isabel@coryhometeam.com reminder this is being split between Bridget and Isy. 60% Bridget and 40% Isy. Isa still needs to pay her New Agent 5% to bridget
Assigned to isabel@coryhometeam.com</x18tc:text>
    <x18tc:mentions>
      <x18tc:mention mentionpersonId="{7d00647f-be2a-4639-a5f7-08a67118a5cf}" mentionId="{6f7d2efa-93e5-487f-a921-7f7cd9d0a7da}" startIndex="0" length="24"/>
    </x18tc:mentions>
  </x18tc:threadedComment>
  <x18tc:threadedComment ref="AT218" dT="2026-05-13T19:08:05.00" personId="{91ddd612-48c2-41c6-a628-68f42b3a1fa2}" id="{ee9ea7e2-e70b-4417-9209-d63524ff021f}" done="0">
    <x18tc:text xml:space="preserve">23737 Cold Spring
AM verified.
@isabel@coryhometeam.com
@kenia@coryhometeam.com
5.13 CI sent to Escrow.
Assigned to isabel@coryhometeam.com</x18tc:text>
    <x18tc:mentions>
      <x18tc:mention mentionpersonId="{7d00647f-be2a-4639-a5f7-08a67118a5cf}" mentionId="{18e8aa57-cb1c-4af5-bc58-0a956011446d}" startIndex="31" length="24"/>
      <x18tc:mention mentionpersonId="{c2b0de28-3b31-4aa3-82a3-f8aba187b3e9}" mentionId="{cf3b80d3-ce45-462f-be43-85f77647a7aa}" startIndex="56" length="23"/>
    </x18tc:mentions>
  </x18tc:threadedComment>
  <x18tc:threadedComment ref="AT43" dT="2026-02-02T16:51:32.00" personId="{91ddd612-48c2-41c6-a628-68f42b3a1fa2}" id="{0379492f-1bcf-4dce-9d4e-5d1e3c9ccd33}" done="0">
    <x18tc:text xml:space="preserve">2823 Moonshimmer St
AM verified.
@isabel@coryhometeam.com 
@kenia@coryhometeam.com
2.2 CI sent to Escrow.
Assigned to isabel@coryhometeam.com</x18tc:text>
    <x18tc:mentions>
      <x18tc:mention mentionpersonId="{7d00647f-be2a-4639-a5f7-08a67118a5cf}" mentionId="{503b6fe2-4bff-4a0c-bf18-ad60337a0af1}" startIndex="33" length="24"/>
      <x18tc:mention mentionpersonId="{c2b0de28-3b31-4aa3-82a3-f8aba187b3e9}" mentionId="{28b48259-200a-4603-9881-ddf0965a5df2}" startIndex="59" length="23"/>
    </x18tc:mentions>
  </x18tc:threadedComment>
  <x18tc:threadedComment ref="AT190" dT="2026-05-13T19:05:28.00" personId="{91ddd612-48c2-41c6-a628-68f42b3a1fa2}" id="{a91ec549-9eec-42f0-beda-4f83b080abc0}" done="0">
    <x18tc:text xml:space="preserve">1040 W Macarthur #42
AM verified.
@isabel@coryhometeam.com
@kenia@coryhometeam.com
5.13 CI sent to Escrow.
Assigned to isabel@coryhometeam.com</x18tc:text>
    <x18tc:mentions>
      <x18tc:mention mentionpersonId="{7d00647f-be2a-4639-a5f7-08a67118a5cf}" mentionId="{7d87d850-2af2-4e84-9d3b-33b0f38e8748}" startIndex="34" length="24"/>
      <x18tc:mention mentionpersonId="{c2b0de28-3b31-4aa3-82a3-f8aba187b3e9}" mentionId="{244c2107-bb02-497f-bb49-d4b6c85b27fe}" startIndex="59" length="23"/>
    </x18tc:mentions>
  </x18tc:threadedComment>
  <x18tc:threadedComment ref="AG92" dT="2026-03-16T19:24:11.00" personId="{e9fc873c-1c43-4e02-b893-c88033c9c8f6}" id="{8f1fee8e-d724-4b94-b0e9-e44afd1e50f6}" done="1">
    <x18tc:text xml:space="preserve">@kenia@coryhometeam.com no active subscription for Carmen, $500 to be charged
Assigned to kenia@coryhometeam.com</x18tc:text>
    <x18tc:mentions>
      <x18tc:mention mentionpersonId="{c2b0de28-3b31-4aa3-82a3-f8aba187b3e9}" mentionId="{948da796-6838-4652-8822-0207453a9fa5}" startIndex="0" length="23"/>
    </x18tc:mentions>
  </x18tc:threadedComment>
  <x18tc:threadedComment ref="AG92" dT="2026-03-16T19:34:32.00" personId="{283cbab7-8785-4d8a-9d80-ae85deef9da8}" id="{4b504436-6804-4bc8-b0a9-0b9ae227cf89}" parentId="{8f1fee8e-d724-4b94-b0e9-e44afd1e50f6}">
    <x18tc:text xml:space="preserve">the TS is updated
Marked as done</x18tc:text>
  </x18tc:threadedComment>
  <x18tc:threadedComment ref="AT103" dT="2026-02-28T02:03:37.00" personId="{d4b03686-3bed-491a-bd12-3b942153f8f5}" id="{03256574-df4e-4ac3-82e6-90846e4f93e7}" done="0">
    <x18tc:text xml:space="preserve">HARBINSON AVE @isabel@coryhometeam.com
VERIFIED
Assigned to isabel@coryhometeam.com</x18tc:text>
    <x18tc:mentions>
      <x18tc:mention mentionpersonId="{7d00647f-be2a-4639-a5f7-08a67118a5cf}" mentionId="{16086144-f8fa-451a-ba86-74199bf4b391}" startIndex="14" length="24"/>
    </x18tc:mentions>
  </x18tc:threadedComment>
  <x18tc:threadedComment ref="AT148" dT="2026-04-06T15:17:36.00" personId="{91ddd612-48c2-41c6-a628-68f42b3a1fa2}" id="{2ffe798c-af6a-44c6-bf7c-292b7e63257f}" done="0">
    <x18tc:text xml:space="preserve">17666 High Vista St
AM verified.
@isabel@coryhometeam.com
@kenia@coryhometeam.com
4.6 CI sent to Escrow.
Assigned to isabel@coryhometeam.com</x18tc:text>
    <x18tc:mentions>
      <x18tc:mention mentionpersonId="{7d00647f-be2a-4639-a5f7-08a67118a5cf}" mentionId="{75a34059-86f8-4678-a784-68adead4416d}" startIndex="33" length="24"/>
      <x18tc:mention mentionpersonId="{c2b0de28-3b31-4aa3-82a3-f8aba187b3e9}" mentionId="{5407eebe-aa92-407f-8226-2d6e2b6667c9}" startIndex="58" length="23"/>
    </x18tc:mentions>
  </x18tc:threadedComment>
  <x18tc:threadedComment ref="AT215" dT="2026-05-13T18:44:16.00" personId="{91ddd612-48c2-41c6-a628-68f42b3a1fa2}" id="{e6366806-8467-45e7-8927-d47577116a9b}" done="0">
    <x18tc:text xml:space="preserve">19145 Oak St
AM verified.
@isabel@coryhometeam.com
@kenia@coryhometeam.com
5.13 CI sent to Escrow.
Assigned to isabel@coryhometeam.com</x18tc:text>
    <x18tc:mentions>
      <x18tc:mention mentionpersonId="{7d00647f-be2a-4639-a5f7-08a67118a5cf}" mentionId="{78b6d06b-7278-4048-b240-a75a4c6cbfe5}" startIndex="26" length="24"/>
      <x18tc:mention mentionpersonId="{c2b0de28-3b31-4aa3-82a3-f8aba187b3e9}" mentionId="{07212f68-37c9-4cee-b329-4fc0f22752c2}" startIndex="51" length="23"/>
    </x18tc:mentions>
  </x18tc:threadedComment>
  <x18tc:threadedComment ref="AG115" dT="2026-03-16T16:55:48.00" personId="{91ddd612-48c2-41c6-a628-68f42b3a1fa2}" id="{b5963ab7-5cff-46ed-9efe-791d9297595f}" done="0">
    <x18tc:text xml:space="preserve">3.16 As per Cavin the buyer will only pay the 595 fee. Please see the MT-BR form.</x18tc:text>
  </x18tc:threadedComment>
  <x18tc:threadedComment ref="AC150" dT="2026-03-31T00:42:52.00" personId="{d4b03686-3bed-491a-bd12-3b942153f8f5}" id="{fa920ef4-ba6b-4b82-82bb-751cae4cb617}" done="0">
    <x18tc:text xml:space="preserve">Agent commissions shall be based upon net sales price of $725,000 as per RR #1</x18tc:text>
  </x18tc:threadedComment>
  <x18tc:threadedComment ref="AT74" dT="2026-02-21T00:33:29.00" personId="{d4b03686-3bed-491a-bd12-3b942153f8f5}" id="{746bf927-a954-4cb1-849c-bc7124bf8786}" done="0">
    <x18tc:text xml:space="preserve">INDIGO PL @isabel@coryhometeam.com
VERIFIED
Assigned to isabel@coryhometeam.com</x18tc:text>
    <x18tc:mentions>
      <x18tc:mention mentionpersonId="{7d00647f-be2a-4639-a5f7-08a67118a5cf}" mentionId="{36a86d39-45a1-4114-97dc-0439e95279cf}" startIndex="10" length="24"/>
    </x18tc:mentions>
  </x18tc:threadedComment>
  <x18tc:threadedComment ref="X11" dT="2026-01-07T14:43:19.00" personId="{91ddd612-48c2-41c6-a628-68f42b3a1fa2}" id="{749fbe89-bc66-4a1e-8c2d-0aa0000a40de}" done="0">
    <x18tc:text xml:space="preserve">1.7 Executed ETA1 (COE 1.9) received.</x18tc:text>
  </x18tc:threadedComment>
  <x18tc:threadedComment ref="AT102" dT="2026-02-21T00:25:27.00" personId="{d4b03686-3bed-491a-bd12-3b942153f8f5}" id="{2c342f20-2429-408e-b4e7-8e017f48a962}" done="0">
    <x18tc:text xml:space="preserve">MARK TWAIN CT @isabel@coryhometeam.com
VERIFIED
Assigned to isabel@coryhometeam.com</x18tc:text>
    <x18tc:mentions>
      <x18tc:mention mentionpersonId="{7d00647f-be2a-4639-a5f7-08a67118a5cf}" mentionId="{59f3b354-dfc4-488a-a09a-0272d5ecaa79}" startIndex="14" length="24"/>
    </x18tc:mentions>
  </x18tc:threadedComment>
  <x18tc:threadedComment ref="N68" dT="2026-02-18T20:12:38.00" personId="{91ddd612-48c2-41c6-a628-68f42b3a1fa2}" id="{214e741b-2985-4759-887d-6a52eda17c26}" done="0">
    <x18tc:text xml:space="preserve">2.18 Per agent: Quick update: The original escrow could not work with this file and has transferred to Chicago Title Company. I included her info below and also cc'd you on the last email with her. Please let me know if there's anything you need from me.</x18tc:text>
  </x18tc:threadedComment>
  <x18tc:threadedComment ref="AL74" dT="2026-02-18T17:53:39.00" personId="{e9fc873c-1c43-4e02-b893-c88033c9c8f6}" id="{a38f6b9d-7eb6-4731-a916-e0e9beb9345d}" done="0">
    <x18tc:text xml:space="preserve">seller advance w Steve Hayden</x18tc:text>
  </x18tc:threadedComment>
  <x18tc:threadedComment ref="AT50" dT="2026-02-12T20:18:25.00" personId="{d4b03686-3bed-491a-bd12-3b942153f8f5}" id="{f26218f9-602f-4ac8-a17f-dc3f1ad36e33}" done="0">
    <x18tc:text xml:space="preserve">SAN JACINTO AVE @isabel@coryhometeam.com
VERIFIED
Assigned to isabel@coryhometeam.com</x18tc:text>
    <x18tc:mentions>
      <x18tc:mention mentionpersonId="{7d00647f-be2a-4639-a5f7-08a67118a5cf}" mentionId="{cadce454-3da1-4d4d-8005-2f5142f59cd8}" startIndex="16" length="24"/>
    </x18tc:mentions>
  </x18tc:threadedComment>
  <x18tc:threadedComment ref="AL87" dT="2026-02-18T17:54:05.00" personId="{e9fc873c-1c43-4e02-b893-c88033c9c8f6}" id="{bfd7fb3d-ffa6-4a3e-854a-73afb3230d90}" done="0">
    <x18tc:text xml:space="preserve">seller advance w steve hayden</x18tc:text>
  </x18tc:threadedComment>
  <x18tc:threadedComment ref="AB176" dT="2026-05-15T17:49:31.00" personId="{e9fc873c-1c43-4e02-b893-c88033c9c8f6}" id="{0176c1d3-f1c1-4381-969a-4f29c6f6cdae}" done="0">
    <x18tc:text xml:space="preserve">This is a zillow lead, originally purchased with the same trust with Cheryl as agent @remy@coryhometeam.com @isabel@coryhometeam.com</x18tc:text>
    <x18tc:mentions>
      <x18tc:mention mentionpersonId="{5fc4901b-b525-40a8-b626-e780cd452fac}" mentionId="{132cf0be-4188-4eb9-9e37-93de04fe37f7}" startIndex="85" length="22"/>
      <x18tc:mention mentionpersonId="{7d00647f-be2a-4639-a5f7-08a67118a5cf}" mentionId="{709622ad-5dd1-4c7e-a011-3f57d565045f}" startIndex="108" length="24"/>
    </x18tc:mentions>
  </x18tc:threadedComment>
  <x18tc:threadedComment ref="AB176" dT="2026-05-15T19:43:50.00" personId="{2c0b40a3-d34a-4e30-997b-e7e5451e40bb}" id="{d224b46b-afc6-431d-b666-d609e620188d}" parentId="{0176c1d3-f1c1-4381-969a-4f29c6f6cdae}">
    <x18tc:text xml:space="preserve">this is noted</x18tc:text>
  </x18tc:threadedComment>
  <x18tc:threadedComment ref="AD56" dT="2026-01-13T18:04:49.00" personId="{91ddd612-48c2-41c6-a628-68f42b3a1fa2}" id="{1d67c537-ee7a-46a3-bb78-d972c88381ea}" done="0">
    <x18tc:text xml:space="preserve">1.13 Commission Breakdown:
•	Listing Agent: 2.5% per SCO1
•	Buyer: 1.5% per Spencer’s take sheet
Total Commission: 4%</x18tc:text>
  </x18tc:threadedComment>
  <x18tc:threadedComment ref="AI56" dT="2026-01-13T18:06:10.00" personId="{91ddd612-48c2-41c6-a628-68f42b3a1fa2}" id="{8c51afd7-4797-4449-bab3-29d0d45eb376}" done="0">
    <x18tc:text xml:space="preserve">1.13 $500 paid by Seller per contract. Total admin fee is $1,395.00.</x18tc:text>
  </x18tc:threadedComment>
  <x18tc:threadedComment ref="AT105" dT="2026-03-07T00:56:03.00" personId="{d4b03686-3bed-491a-bd12-3b942153f8f5}" id="{8ecb6dd7-667d-401c-af4d-cb9d58168a9d}" done="0">
    <x18tc:text xml:space="preserve">PROMENADE RD @isabel@coryhometeam.com
VERIFIED
Assigned to isabel@coryhometeam.com</x18tc:text>
    <x18tc:mentions>
      <x18tc:mention mentionpersonId="{7d00647f-be2a-4639-a5f7-08a67118a5cf}" mentionId="{a140bbcf-492e-453b-bbce-715ff1d00d60}" startIndex="13" length="24"/>
    </x18tc:mentions>
  </x18tc:threadedComment>
  <x18tc:threadedComment ref="AT128" dT="2026-03-07T00:58:49.00" personId="{d4b03686-3bed-491a-bd12-3b942153f8f5}" id="{34aa89cc-92c9-4d67-9891-4b4ccd95b4aa}" done="0">
    <x18tc:text xml:space="preserve">UKIAH ST @isabel@coryhometeam.com
VERIFIED
Assigned to isabel@coryhometeam.com</x18tc:text>
    <x18tc:mentions>
      <x18tc:mention mentionpersonId="{7d00647f-be2a-4639-a5f7-08a67118a5cf}" mentionId="{c60dc6e8-1c10-4971-8a53-c98b36fd7cf2}" startIndex="9" length="24"/>
    </x18tc:mentions>
  </x18tc:threadedComment>
  <x18tc:threadedComment ref="AT106" dT="2026-03-07T01:03:02.00" personId="{d4b03686-3bed-491a-bd12-3b942153f8f5}" id="{6a2efaba-edd2-4936-a9e4-992fff02f3b8}" done="0">
    <x18tc:text xml:space="preserve">HOME AVE @isabel@coryhometeam.com
VERIFIED
Assigned to isabel@coryhometeam.com</x18tc:text>
    <x18tc:mentions>
      <x18tc:mention mentionpersonId="{7d00647f-be2a-4639-a5f7-08a67118a5cf}" mentionId="{d588490b-c401-417a-beb8-967b57509981}" startIndex="9"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27" dT="2026-03-03T16:22:51.00" personId="{91ddd612-48c2-41c6-a628-68f42b3a1fa2}" id="{910df1c7-04f9-4153-85f6-a51c6ccb2d7a}" done="0">
    <x18tc:text xml:space="preserve">Instant NHD</x18tc:text>
  </x18tc:threadedComment>
  <x18tc:threadedComment ref="AB53" dT="2026-05-12T23:37:40.00" personId="{686b49bf-83f4-411b-b0f1-f0e341680f5a}" id="{056e47bc-0217-4d7a-8c1a-8f00943731ce}" done="0">
    <x18tc:text xml:space="preserve">This is a Buy/Sell - the sale fell out of escrow. The New Build extended COE for the seller to have time to try and get the sale property back into escrow.</x18tc:text>
  </x18tc:threadedComment>
  <x18tc:threadedComment ref="D18" dT="2026-02-26T11:28:58.00" personId="{91ddd612-48c2-41c6-a628-68f42b3a1fa2}" id="{a9f6928c-9ffd-4259-9721-f11b44f6daba}" done="0">
    <x18tc:text xml:space="preserve">Buyer's CC
Adm. No.1 with supporting documents: Inspection Report, Termite Report, Termite Completion, Exhibit A - Roofing, Exhibit B - Evidence of Current Termite.
Buyer conducted standard and appropriate due diligence, including a general property inspection, roof evaluation, and independent termite inspection.
The resulting reports identified material conditions that were inconsistent with the documentation and certifications previously provided.
Among the more significant findings:
Cracked roof tiles and evidence of an active roof leak, despite a roof certification having been provided.
Active termite droppings, fungus, and evidence of infestation within the interior of the structure, specifically the attic space.
Indications that prior termite treatment and repair work may not have been fully completed.
Notably, the newly discovered termite findings in the attic were not reflected in the prior termite documentation. The presence of interior structural findings raises serious concerns regarding the completeness and reliability of the earlier report, as well as the potential impact on the structural integrity of the property.
Buyer incurred out-of-pocket expenses in reliance on the transaction. These expenses were incurred in good faith pursuant to Buyer’s contractual due diligence rights. We believe this request is reasonable under the circumstances.</x18tc:text>
  </x18tc:threadedComment>
  <x18tc:threadedComment ref="AB28" dT="2026-03-15T10:54:27.00" personId="{91ddd612-48c2-41c6-a628-68f42b3a1fa2}" id="{ba16b000-6880-4a87-8ad4-8e366da2e70d}" done="0">
    <x18tc:text xml:space="preserve">Estimated COE only. This transaction is contingent on the sellers property.</x18tc:text>
  </x18tc:threadedComment>
  <x18tc:threadedComment ref="AX44" dT="2026-04-03T23:56:53.00" personId="{d4b03686-3bed-491a-bd12-3b942153f8f5}" id="{e5bb38b1-5f6c-4193-91ac-d407e18ddb77}" done="0">
    <x18tc:text xml:space="preserve">AMBERWOOD DR @isabel@coryhometeam.com
VERIFIED
Assigned to isabel@coryhometeam.com</x18tc:text>
    <x18tc:mentions>
      <x18tc:mention mentionpersonId="{7d00647f-be2a-4639-a5f7-08a67118a5cf}" mentionId="{5cd2af13-acd6-42e5-90ea-e17c58f29210}" startIndex="13" length="24"/>
    </x18tc:mentions>
  </x18tc:threadedComment>
  <x18tc:threadedComment ref="AX42" dT="2026-04-15T17:47:32.00" personId="{91ddd612-48c2-41c6-a628-68f42b3a1fa2}" id="{97844e6b-15a9-4975-998c-11550d90c95e}" done="0">
    <x18tc:text xml:space="preserve">29225 Avenida De Las Flores
AM verified.
@isabel@coryhometeam.com
@kenia@coryhometeam.com
4.15 CI sent to Escrow.
Assigned to isabel@coryhometeam.com</x18tc:text>
    <x18tc:mentions>
      <x18tc:mention mentionpersonId="{7d00647f-be2a-4639-a5f7-08a67118a5cf}" mentionId="{6035796b-cad7-4186-889c-ec34648655a5}" startIndex="41" length="24"/>
      <x18tc:mention mentionpersonId="{c2b0de28-3b31-4aa3-82a3-f8aba187b3e9}" mentionId="{8ecc22b5-70f5-409b-947d-3c8129cfe47c}" startIndex="66" length="23"/>
    </x18tc:mentions>
  </x18tc:threadedComment>
  <x18tc:threadedComment ref="AX35" dT="2026-02-24T11:43:53.00" personId="{91ddd612-48c2-41c6-a628-68f42b3a1fa2}" id="{87273a7a-b43e-4b53-b000-d368f5c9face}" done="0">
    <x18tc:text xml:space="preserve">17666 High Vista St
AM verified.
@isabel@coryhometeam.com
@kenia@coryhometeam.com
2.24 CI sent to Escrow.
Assigned to isabel@coryhometeam.com</x18tc:text>
    <x18tc:mentions>
      <x18tc:mention mentionpersonId="{7d00647f-be2a-4639-a5f7-08a67118a5cf}" mentionId="{dfecc232-3653-4441-8284-c9836021e740}" startIndex="33" length="24"/>
      <x18tc:mention mentionpersonId="{c2b0de28-3b31-4aa3-82a3-f8aba187b3e9}" mentionId="{f1b021d3-1b28-462c-99ab-c264e0e253d1}" startIndex="58" length="23"/>
    </x18tc:mentions>
  </x18tc:threadedComment>
  <x18tc:threadedComment ref="AV17" dT="2026-02-24T11:01:43.00" personId="{d4b03686-3bed-491a-bd12-3b942153f8f5}" id="{bd75d907-e3e2-4a3a-a7cd-f53478128140}" done="0">
    <x18tc:text xml:space="preserve">JOAQUIN RIDGE DR @isabel@coryhometeam.com
VERIFIED
Assigned to isabel@coryhometeam.com</x18tc:text>
    <x18tc:mentions>
      <x18tc:mention mentionpersonId="{7d00647f-be2a-4639-a5f7-08a67118a5cf}" mentionId="{c057def8-9e2d-4742-a1cf-1eb2d8bdde11}" startIndex="17" length="24"/>
    </x18tc:mentions>
  </x18tc:threadedComment>
  <x18tc:threadedComment ref="AA16" dT="2026-02-03T23:46:10.00" personId="{91ddd612-48c2-41c6-a628-68f42b3a1fa2}" id="{90108c1b-ac9d-481a-9bd4-dedc02b67f01}" done="0">
    <x18tc:text xml:space="preserve">2.3 The date is an estimate only. This escrow is contingent on the buyers property.</x18tc:text>
  </x18tc:threadedComment>
  <x18tc:threadedComment ref="AM15" dT="2026-01-16T21:20:58.00" personId="{d4b03686-3bed-491a-bd12-3b942153f8f5}" id="{ce78849c-ba95-4578-991a-dc7f8aee35f8}" done="0">
    <x18tc:text xml:space="preserve">Seller to additional fees as per BCO #1</x18tc:text>
  </x18tc:threadedComment>
  <x18tc:threadedComment ref="AV24" dT="2026-02-12T12:33:43.00" personId="{d4b03686-3bed-491a-bd12-3b942153f8f5}" id="{83a8cb51-586e-4723-a058-a4c57d49d7e0}" done="0">
    <x18tc:text xml:space="preserve">VIA LA PRESA @isabel@coryhometeam.com
VERIFIED
Assigned to isabel@coryhometeam.com</x18tc:text>
    <x18tc:mentions>
      <x18tc:mention mentionpersonId="{7d00647f-be2a-4639-a5f7-08a67118a5cf}" mentionId="{9969c176-1bd4-4546-81f3-4f971e709500}" startIndex="13" length="24"/>
    </x18tc:mentions>
  </x18tc:threadedComment>
  <x18tc:threadedComment ref="AB35" dT="2026-03-12T15:23:32.00" personId="{91ddd612-48c2-41c6-a628-68f42b3a1fa2}" id="{da9a0653-fa38-49d6-9679-122a14262c12}" done="0">
    <x18tc:text xml:space="preserve">3.11 CR-S1 (SPRP) finding replacement property.</x18tc:text>
  </x18tc:threadedComment>
  <x18tc:threadedComment ref="AB57" dT="2026-06-04T22:14:07.00" personId="{d4b03686-3bed-491a-bd12-3b942153f8f5}" id="{92a62654-6a6d-4074-90b4-8075e458c9ba}" done="0">
    <x18tc:text xml:space="preserve">All timelines under this agreement shall commence the day after the Seller delivers written notice to the Buyer removing the Finding Replacement Property Contingency specified in Paragraph 1A.</x18tc:text>
  </x18tc:threadedComment>
  <x18tc:threadedComment ref="AA57" dT="2026-06-04T22:13:57.00" personId="{d4b03686-3bed-491a-bd12-3b942153f8f5}" id="{502299f7-4975-486d-9bfb-4273f7e39213}" done="0">
    <x18tc:text xml:space="preserve">All timelines under this agreement shall commence the day after the Seller delivers written notice to the Buyer removing the Finding Replacement Property Contingency specified in Paragraph 1A.</x18tc:text>
  </x18tc:threadedComment>
  <x18tc:threadedComment ref="AX38" dT="2026-03-27T21:17:18.00" personId="{d4b03686-3bed-491a-bd12-3b942153f8f5}" id="{cd505de7-07d5-4cdc-973b-df243e7663aa}" done="0">
    <x18tc:text xml:space="preserve">LILAC RD @isabel@coryhometeam.com
VERIFIED
Assigned to isabel@coryhometeam.com</x18tc:text>
    <x18tc:mentions>
      <x18tc:mention mentionpersonId="{7d00647f-be2a-4639-a5f7-08a67118a5cf}" mentionId="{ff138240-d80f-4b4b-abde-5f4446f6f4f8}" startIndex="9" length="24"/>
    </x18tc:mentions>
  </x18tc:threadedComment>
  <x18tc:threadedComment ref="AA15" dT="2026-01-12T23:40:54.00" personId="{d4b03686-3bed-491a-bd12-3b942153f8f5}" id="{4f9868c1-beb6-493f-826c-eb1c725c1247}" done="0">
    <x18tc:text xml:space="preserve">All time periods shall commence upon the buyer’s delivery of property evidence or the removal of the Contingency of Purchase (COP 11.A).</x18tc:text>
  </x18tc:threadedComment>
  <x18tc:threadedComment ref="AJ37" dT="2026-03-10T19:39:33.00" personId="{d4b03686-3bed-491a-bd12-3b942153f8f5}" id="{a4800898-13b8-4d06-9fec-978e2196201f}" done="0">
    <x18tc:text xml:space="preserve">to be paid by seller</x18tc:text>
  </x18tc:threadedComment>
  <x18tc:threadedComment ref="AH22" dT="2026-02-26T23:31:25.00" personId="{d4b03686-3bed-491a-bd12-3b942153f8f5}" id="{8b0e57a0-0bc6-45b0-9e2d-7932be2a3fb2}" done="0">
    <x18tc:text xml:space="preserve">$589.00</x18tc:text>
  </x18tc:threadedComment>
  <x18tc:threadedComment ref="AA46" dT="2026-03-12T21:42:28.00" personId="{d4b03686-3bed-491a-bd12-3b942153f8f5}" id="{cd8744f6-861f-413b-ba27-a895e8a7a0af}" done="0">
    <x18tc:text xml:space="preserve">All time periods shall commence upon the Seller delivering a written notice to the Buyer removing the Finding Replacement Property Contingency (SPRP 2.A).</x18tc:text>
  </x18tc:threadedComment>
  <x18tc:threadedComment ref="AA46" dT="2026-03-20T22:08:12.00" personId="{686b49bf-83f4-411b-b0f1-f0e341680f5a}" id="{2d355c16-aec9-48a1-b1cb-b886fc4da768}" parentId="{cd8744f6-861f-413b-ba27-a895e8a7a0af}">
    <x18tc:text xml:space="preserve">CR-S #1 Finding Replacement Property issued on 03/20/26 - contract timeframes begin on this date.</x18tc:text>
  </x18tc:threadedComment>
  <x18tc:threadedComment ref="AV29" dT="2026-02-19T23:19:15.00" personId="{d4b03686-3bed-491a-bd12-3b942153f8f5}" id="{5eec640b-2e51-4de1-8af6-33cb5dfd84dc}" done="0">
    <x18tc:text xml:space="preserve">N 10TH STREET @isabel@coryhometeam.com
VERIFIED
Assigned to isabel@coryhometeam.com</x18tc:text>
    <x18tc:mentions>
      <x18tc:mention mentionpersonId="{7d00647f-be2a-4639-a5f7-08a67118a5cf}" mentionId="{cef0d5b9-115d-4235-9d6f-78c421f77191}" startIndex="14" length="24"/>
    </x18tc:mentions>
  </x18tc:threadedComment>
  <x18tc:threadedComment ref="AB43" dT="2026-04-13T07:06:21.00" personId="{91ddd612-48c2-41c6-a628-68f42b3a1fa2}" id="{d8ee5219-8927-4d93-b15f-4d5b65269fca}" done="0">
    <x18tc:text xml:space="preserve">4.13 COE moved to 5.19 as per ETA1.</x18tc:text>
  </x18tc:threadedComment>
  <x18tc:threadedComment ref="AQ13" dT="2026-01-21T23:31:14.00" personId="{91ddd612-48c2-41c6-a628-68f42b3a1fa2}" id="{82a5e466-22b9-4a81-a178-4f1eb853bbf9}" done="0">
    <x18tc:text xml:space="preserve">@kenia@coryhometeam.com
Assigned to kenia@coryhometeam.com</x18tc:text>
    <x18tc:mentions>
      <x18tc:mention mentionpersonId="{c2b0de28-3b31-4aa3-82a3-f8aba187b3e9}" mentionId="{94dd9fa0-b8eb-45ea-9967-f580d3e044f9}" startIndex="0" length="23"/>
    </x18tc:mentions>
  </x18tc:threadedComment>
  <x18tc:threadedComment ref="AB15" dT="2026-01-12T23:40:59.00" personId="{d4b03686-3bed-491a-bd12-3b942153f8f5}" id="{27ff81b6-db87-4a1d-9840-14684874e7bd}" done="0">
    <x18tc:text xml:space="preserve">All time periods shall commence upon the buyer’s delivery of property evidence or the removal of the Contingency of Purchase (COP 11.A).</x18tc:text>
  </x18tc:threadedComment>
  <x18tc:threadedComment ref="AV18" dT="2026-02-19T13:07:07.00" personId="{91ddd612-48c2-41c6-a628-68f42b3a1fa2}" id="{fe755907-3c02-474f-b11f-6a7e49686db0}" done="0">
    <x18tc:text xml:space="preserve">988 Rose Arbor Dr
AM verified.
@isabel@coryhometeam.com
@kenia@coryhometeam.com
2.19 CI sent to Escrow.
Assigned to isabel@coryhometeam.com</x18tc:text>
    <x18tc:mentions>
      <x18tc:mention mentionpersonId="{7d00647f-be2a-4639-a5f7-08a67118a5cf}" mentionId="{90b03e3f-8606-4e73-865d-dae252197888}" startIndex="31" length="24"/>
      <x18tc:mention mentionpersonId="{c2b0de28-3b31-4aa3-82a3-f8aba187b3e9}" mentionId="{9e4c6d13-6676-4015-96cb-c5ef9cf138b5}" startIndex="56" length="23"/>
    </x18tc:mentions>
  </x18tc:threadedComment>
  <x18tc:threadedComment ref="AV15" dT="2026-01-23T23:09:16.00" personId="{d4b03686-3bed-491a-bd12-3b942153f8f5}" id="{75ea2810-746d-4fc7-90a8-d488b8383ef9}" done="0">
    <x18tc:text xml:space="preserve">MURRIETA RD #75 @isabel@coryhometeam.com
VERIFIED
Assigned to isabel@coryhometeam.com</x18tc:text>
    <x18tc:mentions>
      <x18tc:mention mentionpersonId="{7d00647f-be2a-4639-a5f7-08a67118a5cf}" mentionId="{61f5b5ed-4edf-4d80-93fe-ef5fa7d4d248}" startIndex="16" length="24"/>
    </x18tc:mentions>
  </x18tc:threadedComment>
  <x18tc:threadedComment ref="AA11" dT="2026-01-23T20:19:29.00" personId="{d4b03686-3bed-491a-bd12-3b942153f8f5}" id="{49ee2421-9987-4de4-aa15-b3e2cf6eae17}" done="0">
    <x18tc:text xml:space="preserve">Upon the buyer’s delivery of property evidence or the removal of the Contingency of Purchase (COP 11.A &amp; B).</x18tc:text>
  </x18tc:threadedComment>
  <x18tc:threadedComment ref="AB46" dT="2026-03-12T21:43:00.00" personId="{d4b03686-3bed-491a-bd12-3b942153f8f5}" id="{f4f15f2a-feb5-435a-a9b0-3f88c8959fb5}" done="0">
    <x18tc:text xml:space="preserve">All time periods shall commence upon the Seller delivering a written notice to the Buyer removing the Finding Replacement Property Contingency (SPRP 2.A).</x18tc:text>
  </x18tc:threadedComment>
  <x18tc:threadedComment ref="AB46" dT="2026-03-20T22:08:24.00" personId="{686b49bf-83f4-411b-b0f1-f0e341680f5a}" id="{23f2d422-53bf-480e-af2d-cb169acfa4f9}" parentId="{f4f15f2a-feb5-435a-a9b0-3f88c8959fb5}">
    <x18tc:text xml:space="preserve">CR-S #1 Finding Replacement Property issued on 03/20/26 - contract timeframes begin on this date.</x18tc:text>
  </x18tc:threadedComment>
  <x18tc:threadedComment ref="AB11" dT="2026-01-23T20:19:35.00" personId="{d4b03686-3bed-491a-bd12-3b942153f8f5}" id="{12d4e702-c75e-4dc4-b5bc-6194bb16b21a}" done="0">
    <x18tc:text xml:space="preserve">Upon the buyer’s delivery of property evidence or the removal of the Contingency of Purchase (COP 11.A &amp; B).</x18tc:text>
  </x18tc:threadedComment>
  <x18tc:threadedComment ref="AV23" dT="2026-03-02T17:02:53.00" personId="{91ddd612-48c2-41c6-a628-68f42b3a1fa2}" id="{ed50bc4f-bb0c-4b44-b7bc-a026023de18c}" done="0">
    <x18tc:text xml:space="preserve">23143 Canyon Estates Dr
AM verified.
@isabel@coryhometeam.com
@kenia@coryhometeam.com
3.2 CI sent to Escrow.
Assigned to isabel@coryhometeam.com</x18tc:text>
    <x18tc:mentions>
      <x18tc:mention mentionpersonId="{7d00647f-be2a-4639-a5f7-08a67118a5cf}" mentionId="{3c0b402d-0d92-4ee4-8316-e8637dac4dab}" startIndex="37" length="24"/>
      <x18tc:mention mentionpersonId="{c2b0de28-3b31-4aa3-82a3-f8aba187b3e9}" mentionId="{129f4fa0-1bcf-4886-8b50-dd025b744faf}" startIndex="62" length="23"/>
    </x18tc:mentions>
  </x18tc:threadedComment>
  <x18tc:threadedComment ref="AX56" dT="2026-05-27T23:27:01.00" personId="{91ddd612-48c2-41c6-a628-68f42b3a1fa2}" id="{66813622-ba95-40bf-8ab1-e739530a5425}" done="0">
    <x18tc:text xml:space="preserve">1025 Dixie Dr
AM verified.
@isabel@coryhometeam.com
@kenia@coryhometeam.com
5.27 CI sent to Escrow.
Assigned to isabel@coryhometeam.com</x18tc:text>
    <x18tc:mentions>
      <x18tc:mention mentionpersonId="{7d00647f-be2a-4639-a5f7-08a67118a5cf}" mentionId="{cf43a2e6-42d1-4842-9bb0-88c0a3619418}" startIndex="27" length="24"/>
      <x18tc:mention mentionpersonId="{c2b0de28-3b31-4aa3-82a3-f8aba187b3e9}" mentionId="{dd687481-e7f3-4f10-8b65-bfde9149fc95}" startIndex="52" length="23"/>
    </x18tc:mentions>
  </x18tc:threadedComment>
  <x18tc:threadedComment ref="AI53" dT="2026-03-23T23:06:07.00" personId="{686b49bf-83f4-411b-b0f1-f0e341680f5a}" id="{c13302e2-069b-4f64-b903-c8b5745a214f}" done="0">
    <x18tc:text xml:space="preserve">This is a flat rate commission.</x18tc:text>
  </x18tc:threadedComment>
  <x18tc:threadedComment ref="AX43" dT="2026-04-03T16:09:00.00" personId="{91ddd612-48c2-41c6-a628-68f42b3a1fa2}" id="{33d82b96-059d-4ffa-b17c-686ac86f8e93}" done="0">
    <x18tc:text xml:space="preserve">27067 El Rancho Dr
AM verified.
@isabel@coryhometeam.com
@kenia@coryhometeam.com
4.3 CI sent to Escrow.
Assigned to isabel@coryhometeam.com</x18tc:text>
    <x18tc:mentions>
      <x18tc:mention mentionpersonId="{7d00647f-be2a-4639-a5f7-08a67118a5cf}" mentionId="{80145b51-5380-4df2-b850-4a0c591499b4}" startIndex="32" length="24"/>
      <x18tc:mention mentionpersonId="{c2b0de28-3b31-4aa3-82a3-f8aba187b3e9}" mentionId="{c387d7b6-1d5f-4a98-b116-b8831ad0a5ee}" startIndex="57" length="23"/>
    </x18tc:mentions>
  </x18tc:threadedComment>
  <x18tc:threadedComment ref="AX60" dT="2026-04-27T08:25:30.00" personId="{91ddd612-48c2-41c6-a628-68f42b3a1fa2}" id="{3aa5c310-964c-4b0c-8d7b-23345d649fd9}" done="0">
    <x18tc:text xml:space="preserve">8019 Caminito De Pizza #B
AM verified.
@isabel@coryhometeam.com
@kenia@coryhometeam.com
4.27 CI sent to Escrow.
Assigned to isabel@coryhometeam.com</x18tc:text>
    <x18tc:mentions>
      <x18tc:mention mentionpersonId="{7d00647f-be2a-4639-a5f7-08a67118a5cf}" mentionId="{8121fe45-8b8c-46eb-949e-fdb711a687bb}" startIndex="39" length="24"/>
      <x18tc:mention mentionpersonId="{c2b0de28-3b31-4aa3-82a3-f8aba187b3e9}" mentionId="{e1f7d5ed-c476-4c6a-a71c-88ec4ca8234f}" startIndex="64" length="23"/>
    </x18tc:mentions>
  </x18tc:threadedComment>
  <x18tc:threadedComment ref="AV16" dT="2026-02-10T20:57:12.00" personId="{91ddd612-48c2-41c6-a628-68f42b3a1fa2}" id="{f36ace2d-492b-45e3-a83f-bb3b367275cc}" done="0">
    <x18tc:text xml:space="preserve">26639 Mehaffey St
AM verified.
@isabel@coryhometeam.com 
@kenia@coryhometeam.com
2.10 CI sent to Escrow.
Assigned to isabel@coryhometeam.com</x18tc:text>
    <x18tc:mentions>
      <x18tc:mention mentionpersonId="{7d00647f-be2a-4639-a5f7-08a67118a5cf}" mentionId="{f0b8b59a-e0d0-4316-89ae-43820f1ab3ad}" startIndex="31" length="24"/>
      <x18tc:mention mentionpersonId="{c2b0de28-3b31-4aa3-82a3-f8aba187b3e9}" mentionId="{ccc1a12f-45c0-4bb4-aca0-73a67935fafe}" startIndex="57" length="23"/>
    </x18tc:mentions>
  </x18tc:threadedComment>
  <x18tc:threadedComment ref="AB56" dT="2026-05-13T23:36:38.00" personId="{91ddd612-48c2-41c6-a628-68f42b3a1fa2}" id="{415810eb-3f23-49d0-b6c9-7627c59b6199}" done="0">
    <x18tc:text xml:space="preserve">Estimated date only. This transaction is contingent on the sellers property.</x18tc:text>
  </x18tc:threadedComment>
  <x18tc:threadedComment ref="AK10" dT="2026-01-20T23:07:24.00" personId="{d4b03686-3bed-491a-bd12-3b942153f8f5}" id="{127450c9-6091-4b44-b6be-a2a0c7a6f4cf}" done="0">
    <x18tc:text xml:space="preserve">$650.00</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Y20" dT="2026-03-20T16:14:16.00" personId="{283cbab7-8785-4d8a-9d80-ae85deef9da8}" id="{38b41338-927b-4200-8b55-88eca305f001}" done="0">
    <x18tc:text xml:space="preserve">Kathleen to pay for Home Owner's Warranty: Old Republic Home Warranty $740.00</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4" dT="2026-06-01T21:23:55.00" personId="{686b49bf-83f4-411b-b0f1-f0e341680f5a}" id="{57f239f7-a641-46a9-b9dd-cd95331fc725}" done="0">
    <x18tc:text xml:space="preserve">Blake Ordered:
Showcase Photos
Showcase Token
Cleaning of Property $154.80</x18tc:text>
  </x18tc:threadedComment>
  <x18tc:threadedComment ref="N50" dT="2026-05-12T20:47:31.00" personId="{686b49bf-83f4-411b-b0f1-f0e341680f5a}" id="{f68b81d7-d86d-41c2-83a3-65f5de7e285f}" done="0">
    <x18tc:text xml:space="preserve">Kiona approved via EM, agent pay at COE. Myrna to be billed through the store $500 for Showcase photos.</x18tc:text>
  </x18tc:threadedComment>
  <x18tc:threadedComment ref="N50" dT="2026-05-13T23:19:26.00" personId="{686b49bf-83f4-411b-b0f1-f0e341680f5a}" id="{35a577e3-216a-466a-929f-8e9d6da4dcc2}" parentId="{f68b81d7-d86d-41c2-83a3-65f5de7e285f}">
    <x18tc:text xml:space="preserve">Mayra to be billed for Sign Install San Diego County South of Hwy 56 at $139</x18tc:text>
  </x18tc:threadedComment>
  <x18tc:threadedComment ref="N31" dT="2026-06-01T21:02:16.00" personId="{686b49bf-83f4-411b-b0f1-f0e341680f5a}" id="{843b4e15-bef2-4664-99c8-c054643dbc5c}" done="0">
    <x18tc:text xml:space="preserve">Blake Ordered:
Showcase Photos
Showcase Token
Cleaning of Property $145.60</x18tc:text>
  </x18tc:threadedComment>
  <x18tc:threadedComment ref="F14" dT="2026-05-14T23:37:18.00" personId="{686b49bf-83f4-411b-b0f1-f0e341680f5a}" id="{fc962a32-99f4-4f45-9ac4-6f33df57dc66}" done="0">
    <x18tc:text xml:space="preserve">Gate Code 32838#</x18tc:text>
  </x18tc:threadedComment>
  <x18tc:threadedComment ref="N37" dT="2026-06-04T21:15:03.00" personId="{686b49bf-83f4-411b-b0f1-f0e341680f5a}" id="{829dabe3-3c5c-4853-9101-1f02b1ee59e1}" done="0">
    <x18tc:text xml:space="preserve">Kiona approved CHT to cover photo cost. Nate will be billed actual invoice + PayPal fees.
$288.42</x18tc:text>
  </x18tc:threadedComment>
  <x18tc:threadedComment ref="N38" dT="2026-06-04T20:54:30.00" personId="{686b49bf-83f4-411b-b0f1-f0e341680f5a}" id="{7393eda3-b588-4456-baf9-092d9d1729f1}" done="0">
    <x18tc:text xml:space="preserve">Kiona approved CHT to cover photo cost. Nate will be billed actual invoice + PayPal fees.
$288.42</x18tc:text>
  </x18tc:threadedComment>
  <x18tc:threadedComment ref="N54" dT="2026-06-04T21:31:35.00" personId="{686b49bf-83f4-411b-b0f1-f0e341680f5a}" id="{2fe1fca1-14cd-43ca-8f93-700194bc7dd5}" done="0">
    <x18tc:text xml:space="preserve">Kiona approved CHT to cover photo cost. Nate will be billed actual invoice + PayPal fees.
$288.42</x18tc:text>
  </x18tc:threadedComment>
  <x18tc:threadedComment ref="N51" dT="2026-06-01T21:34:30.00" personId="{686b49bf-83f4-411b-b0f1-f0e341680f5a}" id="{7b78b8bd-208e-4fd5-bc07-82ab5ba867b4}" done="1">
    <x18tc:text xml:space="preserve">Blake Ordered:
Showcase Photos
Showcase Token
Cleaning of Property $225.10</x18tc:text>
  </x18tc:threadedComment>
  <x18tc:threadedComment ref="F32" dT="2026-05-18T22:55:29.00" personId="{686b49bf-83f4-411b-b0f1-f0e341680f5a}" id="{b086da53-25ca-42c7-b4a1-45dd3604d4a6}" done="0">
    <x18tc:text xml:space="preserve">Lockbox 0429</x18tc:text>
  </x18tc:threadedComment>
  <x18tc:threadedComment ref="N94" dT="2026-06-16T18:18:10.00" personId="{686b49bf-83f4-411b-b0f1-f0e341680f5a}" id="{a0df0419-f20f-4fca-bcc1-1efd12f56b6c}" done="0">
    <x18tc:text xml:space="preserve">Kiona approved billing from store to agent at COE.
$700 total to be billed to Martin
$500 Showcase Photos
$100 ADU Photos
$100 Travel
Martin approved additional cost in phone call on 06/16 - email summary followed for files.</x18tc:text>
  </x18tc:threadedComment>
  <x18tc:threadedComment ref="N27" dT="2026-04-17T19:19:09.00" personId="{283cbab7-8785-4d8a-9d80-ae85deef9da8}" id="{a2483f69-8981-47f1-8b87-8e8ab93523f6}" done="0">
    <x18tc:text xml:space="preserve">CHT is covering cost of listing photos $300.
Agent to pay back at coe @dana@coryhometeam.com @isabel@coryhometeam.com</x18tc:text>
    <x18tc:mentions>
      <x18tc:mention mentionpersonId="{97a5b354-94ec-4750-87c3-99cebe208b41}" mentionId="{cd27f74f-5b97-4f19-be3c-e31934cf5e8d}" startIndex="70" length="22"/>
      <x18tc:mention mentionpersonId="{7d00647f-be2a-4639-a5f7-08a67118a5cf}" mentionId="{611b13a6-3a9a-4938-a45d-3fb5a5652132}" startIndex="93" length="24"/>
    </x18tc:mentions>
  </x18tc:threadedComment>
  <x18tc:threadedComment ref="N65" dT="2026-04-28T20:44:55.00" personId="{283cbab7-8785-4d8a-9d80-ae85deef9da8}" id="{ff9090a1-6a52-42d1-a8df-1280566c3c43}" done="0">
    <x18tc:text xml:space="preserve">Agent-Kiona to pay cost at COE.
-listing photos $380.00
-cleaning $232.80</x18tc:text>
  </x18tc:threadedComment>
  <x18tc:threadedComment ref="M47" dT="2026-05-16T04:25:30.00" personId="{686b49bf-83f4-411b-b0f1-f0e341680f5a}" id="{6ccad41b-99c6-4896-8854-a60db7b83d47}" done="0">
    <x18tc:text xml:space="preserve">Flat Rate - $5,000</x18tc:text>
  </x18tc:threadedComment>
  <x18tc:threadedComment ref="X79" dT="2026-02-10T21:12:07.00" personId="{91ddd612-48c2-41c6-a628-68f42b3a1fa2}" id="{f48d382c-509c-4650-99b9-b3843b5bdb28}" done="0">
    <x18tc:text xml:space="preserve">2.10 To follow per Spencer.</x18tc:text>
  </x18tc:threadedComment>
  <x18tc:threadedComment ref="M31" dT="2026-05-16T05:23:24.00" personId="{686b49bf-83f4-411b-b0f1-f0e341680f5a}" id="{4742cda6-4e4a-4e76-97df-a1a80604e405}" done="0">
    <x18tc:text xml:space="preserve">Flat Rate - $10,000</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88" dT="2026-01-19T16:46:16.00" personId="{283cbab7-8785-4d8a-9d80-ae85deef9da8}" id="{2005bd02-1458-447e-9311-262e9e9766ac}" done="0">
    <x18tc:text xml:space="preserve">Agent opted out of Listing Add on 
I requested the Listing Take Sheet. Pending receipt</x18tc:text>
  </x18tc:threadedComment>
  <x18tc:threadedComment ref="G89" dT="2026-01-19T16:45:59.00" personId="{283cbab7-8785-4d8a-9d80-ae85deef9da8}" id="{e3086a3e-596e-4847-9ca7-d83d36f0e0d7}" done="0">
    <x18tc:text xml:space="preserve">Agent opted out of Listing Add on I requested the Listing Take Sheet. Pending receipt</x18tc:text>
  </x18tc:threadedComment>
  <x18tc:threadedComment ref="O78" dT="2026-03-12T19:40:31.00" personId="{686b49bf-83f4-411b-b0f1-f0e341680f5a}" id="{a3fc24d5-e5ed-4828-bbe9-e0d3ea502b35}" done="0">
    <x18tc:text xml:space="preserve">Mel to be billed from store $500 at COE for photos. Approved by Kiona</x18tc:text>
  </x18tc:threadedComment>
  <x18tc:threadedComment ref="H87" dT="2026-02-26T19:18:06.00" personId="{283cbab7-8785-4d8a-9d80-ae85deef9da8}" id="{8e9c5b52-c942-4013-b0b1-3ab07e01d837}" done="0">
    <x18tc:text xml:space="preserve">Carmen advised she installed her own signpost and lockbox</x18tc:text>
  </x18tc:threadedComment>
  <x18tc:threadedComment ref="N88" dT="2026-01-19T20:48:41.00" personId="{283cbab7-8785-4d8a-9d80-ae85deef9da8}" id="{7d0b9d22-3b7d-44a2-b2d7-16d7426a8f10}" done="0">
    <x18tc:text xml:space="preserve">@dana@coryhometeam.com Jeff said he negotiated at joining his personal Listing to be 0% commission w $1500 flat fee. 
But he added the $1500 as Admin on the RLA just wanted to check/give you heads up if this is correct? @isabel@coryhometeam.com
Assigned to dana@coryhometeam.com</x18tc:text>
    <x18tc:mentions>
      <x18tc:mention mentionpersonId="{97a5b354-94ec-4750-87c3-99cebe208b41}" mentionId="{bdfd0a6d-f5d0-46ec-945c-65787ef52db9}" startIndex="0" length="22"/>
      <x18tc:mention mentionpersonId="{7d00647f-be2a-4639-a5f7-08a67118a5cf}" mentionId="{67edd84c-af20-4016-bf35-0d9c8ebf259b}" startIndex="220" length="24"/>
    </x18tc:mentions>
  </x18tc:threadedComment>
  <x18tc:threadedComment ref="N88" dT="2026-02-04T19:07:30.00" personId="{283cbab7-8785-4d8a-9d80-ae85deef9da8}" id="{dd69dfbd-1056-4ac1-b532-047c109f7bd5}" parentId="{7d0b9d22-3b7d-44a2-b2d7-16d7426a8f10}">
    <x18tc:text xml:space="preserve">@dana@coryhometeam.com  please see above</x18tc:text>
    <x18tc:mentions>
      <x18tc:mention mentionpersonId="{97a5b354-94ec-4750-87c3-99cebe208b41}" mentionId="{dd6ccba4-9823-4f9a-ab50-7cff394d642b}" startIndex="0" length="22"/>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33" dT="2026-04-21T21:47:44.00" personId="{c7fad490-24e0-4859-bb84-4307c52d4768}" id="{d0a1c609-769e-44c2-af27-2710ea36e53f}" done="0">
    <x18tc:text xml:space="preserve">100% to Kendra, cancellation of listing</x18tc:text>
  </x18tc:threadedComment>
  <x18tc:threadedComment ref="C32" dT="2026-04-14T16:18:04.00" personId="{c7fad490-24e0-4859-bb84-4307c52d4768}" id="{d20c0197-4459-431c-a6f6-697f6963108c}" done="0">
    <x18tc:text xml:space="preserve">REF - 624 Hacienda Place
Ready for Payment: 100% to Richard (SOI) @dana@coryhometeam.com</x18tc:text>
    <x18tc:mentions>
      <x18tc:mention mentionpersonId="{97a5b354-94ec-4750-87c3-99cebe208b41}" mentionId="{be1fd619-acca-4729-bbb1-339fc9901f32}" startIndex="66" length="22"/>
    </x18tc:mentions>
  </x18tc:threadedComment>
  <x18tc:threadedComment ref="C38" dT="2026-06-10T20:29:31.00" personId="{c7fad490-24e0-4859-bb84-4307c52d4768}" id="{50cbe010-e9fa-4a3c-8402-c49c262dc6ac}" done="0">
    <x18tc:text xml:space="preserve">REF-Trailzend splits now ready @dana@coryhometeam.com</x18tc:text>
    <x18tc:mentions>
      <x18tc:mention mentionpersonId="{97a5b354-94ec-4750-87c3-99cebe208b41}" mentionId="{92164a2f-a329-4309-b535-f13aca88ede6}" startIndex="31" length="22"/>
    </x18tc:mentions>
  </x18tc:threadedComment>
  <x18tc:threadedComment ref="C27" dT="2026-03-25T20:38:29.00" personId="{c7fad490-24e0-4859-bb84-4307c52d4768}" id="{c5bd9dd2-9868-4cf5-8abd-3cbc227d809d}" done="0">
    <x18tc:text xml:space="preserve">Partridge Way#903: $1,000 hold back collected, no Zillow, 60/40 splits now ready for approval. Thank you! @dana@coryhometeam.com</x18tc:text>
    <x18tc:mentions>
      <x18tc:mention mentionpersonId="{97a5b354-94ec-4750-87c3-99cebe208b41}" mentionId="{78487151-62d6-425f-97da-a86c5bfe5487}" startIndex="106" length="22"/>
    </x18tc:mentions>
  </x18tc:threadedComment>
  <x18tc:threadedComment ref="C22" dT="2026-03-25T20:36:18.00" personId="{c7fad490-24e0-4859-bb84-4307c52d4768}" id="{55c46857-a9bd-4a2b-a2e0-c8754f40c6b3}" done="0">
    <x18tc:text xml:space="preserve">W Wind Song Ave @dana@coryhometeam.com 100% to Blake, ready for approval. Thank you!</x18tc:text>
    <x18tc:mentions>
      <x18tc:mention mentionpersonId="{97a5b354-94ec-4750-87c3-99cebe208b41}" mentionId="{b7dee377-8e85-43dd-9ee5-0499d1a09810}" startIndex="16" length="22"/>
    </x18tc:mentions>
  </x18tc:threadedComment>
  <x18tc:threadedComment ref="C35" dT="2026-05-04T19:50:21.00" personId="{c7fad490-24e0-4859-bb84-4307c52d4768}" id="{e7a5d951-f36b-40ef-b12c-b5ef37163ba8}" done="0">
    <x18tc:text xml:space="preserve">REF - 3820 N HAIGHT AVE
splits ready, thank you! @dana@coryhometeam.com</x18tc:text>
    <x18tc:mentions>
      <x18tc:mention mentionpersonId="{97a5b354-94ec-4750-87c3-99cebe208b41}" mentionId="{7adc8e7e-e4b4-40c8-8f91-789298254b19}" startIndex="49" length="22"/>
    </x18tc:mentions>
  </x18tc:threadedComment>
  <x18tc:threadedComment ref="W20" dT="2026-02-10T16:51:19.00" personId="{686b49bf-83f4-411b-b0f1-f0e341680f5a}" id="{9f52a5e9-2911-40dd-9ce6-cb8a70d5fc11}" done="0">
    <x18tc:text xml:space="preserve">This was a cancellation fee collected for the cancellation of their listing after services were provided.</x18tc:text>
  </x18tc:threadedComment>
  <x18tc:threadedComment ref="C20" dT="2026-02-12T19:43:08.00" personId="{c7fad490-24e0-4859-bb84-4307c52d4768}" id="{a1a5b8ef-5d73-472d-94d5-771806d7099c}" done="0">
    <x18tc:text xml:space="preserve">@dana@coryhometeam.com this is the cancellation fee on a canceled listing. I put 100% to Team.</x18tc:text>
    <x18tc:mentions>
      <x18tc:mention mentionpersonId="{97a5b354-94ec-4750-87c3-99cebe208b41}" mentionId="{c2866f68-1ca8-4dcd-87cd-378435a43706}" startIndex="0" length="22"/>
    </x18tc:mentions>
  </x18tc:threadedComment>
  <x18tc:threadedComment ref="C20" dT="2026-02-18T18:25:08.00" personId="{e9fc873c-1c43-4e02-b893-c88033c9c8f6}" id="{bae9c3be-176a-461e-8653-976c0a469ad7}" parentId="{a1a5b8ef-5d73-472d-94d5-771806d7099c}">
    <x18tc:text xml:space="preserve">Listing cancellation fees collected will go 100% to the agent.</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9" dT="2026-03-20T16:37:41.00" personId="{e9fc873c-1c43-4e02-b893-c88033c9c8f6}" id="{0b40ad6e-a43b-449d-820c-a2e56db99ee9}" done="0">
    <x18tc:text xml:space="preserve">received exit agreement from exp 3/20</x18tc:text>
  </x18tc:threadedComment>
  <x18tc:threadedComment ref="A106" dT="2026-06-08T17:16:43.00" personId="{e9fc873c-1c43-4e02-b893-c88033c9c8f6}" id="{96a54190-7864-402e-8f2b-c51ac14541a0}" done="0">
    <x18tc:text xml:space="preserve">text Blake 6/5 to quit</x18tc:text>
  </x18tc:threadedComment>
  <x18tc:threadedComment ref="J1" dT="2025-10-09T22:16:11.00" personId="{e9fc873c-1c43-4e02-b893-c88033c9c8f6}" id="{af037bc2-6ebe-4f46-af50-a398de50df44}" done="0">
    <x18tc:text xml:space="preserve">Update upon closings</x18tc:text>
  </x18tc:threadedComment>
  <x18tc:threadedComment ref="J1" dT="2025-11-12T19:41:07.00" personId="{e9fc873c-1c43-4e02-b893-c88033c9c8f6}" id="{68cad99f-5ea9-4d24-a6ac-c985797b617a}" parentId="{af037bc2-6ebe-4f46-af50-a398de50df44}">
    <x18tc:text xml:space="preserve">@isabel@coryhometeam.com can you update this column with the team total amount of SOI closings from their cht contract effective date. Once they hit $20k they receive 100% of their soi transaction.</x18tc:text>
    <x18tc:mentions>
      <x18tc:mention mentionpersonId="{7d00647f-be2a-4639-a5f7-08a67118a5cf}" mentionId="{509e9eb1-523e-4315-8487-2d031dd02c04}" startIndex="0" length="24"/>
    </x18tc:mentions>
  </x18tc:threadedComment>
  <x18tc:threadedComment ref="O28" dT="2025-10-09T22:18:05.00" personId="{e9fc873c-1c43-4e02-b893-c88033c9c8f6}" id="{08ba9e89-7b77-4b54-81bf-d3ccad4af980}" done="0">
    <x18tc:text xml:space="preserve">kathy- allowing her to stay on old EA pay- 10% off 4368 Nautilus Way #3 goes to the company, she was assisted by Kay, 10% of 2nd deal goes to Bridget (or if 1st deal falls out, then 2 will go to Bridget) Bridget began assisting Kathy this week that shes back from vacation</x18tc:text>
  </x18tc:threadedComment>
  <x18tc:threadedComment ref="O95" dT="2025-10-09T22:18:40.00" personId="{e9fc873c-1c43-4e02-b893-c88033c9c8f6}" id="{e2e35ffd-ee35-4b1e-87de-1b6af36bdf04}" done="0">
    <x18tc:text xml:space="preserve">we are collecting 10% off her next 2, waived off her first closing- paid to company not Bridget</x18tc:text>
  </x18tc:threadedComment>
  <x18tc:threadedComment ref="D78" dT="2025-10-09T22:16:42.00" personId="{e9fc873c-1c43-4e02-b893-c88033c9c8f6}" id="{faf7d1a7-c480-4ced-8521-d7ec03599b10}" done="0">
    <x18tc:text xml:space="preserve">keep this date, note that Carmen will have an updated contract signed 9/25 that is a correction of her SOI split</x18tc:text>
  </x18tc:threadedComment>
  <x18tc:threadedComment ref="O1" dT="2025-10-09T22:17:40.00" personId="{e9fc873c-1c43-4e02-b893-c88033c9c8f6}" id="{7c8950b3-4f7b-4ee7-8ed3-9a6acdf75bc1}" done="0">
    <x18tc:text xml:space="preserve">Add a Comment to list the addresses for the EA collection, upon closing of the 5th transaction, add PM name and current date.</x18tc:text>
  </x18tc:threadedComment>
  <x18tc:threadedComment ref="L22" dT="2026-03-02T21:08:18.00" personId="{e9fc873c-1c43-4e02-b893-c88033c9c8f6}" id="{a9754baf-a982-48d7-813d-5d60996bf7f9}" done="0">
    <x18tc:text xml:space="preserve">Joe was with Mario from 6/5/25-3/2/26. Reassigned to Blake/Kiona 3/2/26</x18tc:text>
  </x18tc:threadedComment>
  <x18tc:threadedComment ref="A69" dT="2026-02-02T21:11:42.00" personId="{e9fc873c-1c43-4e02-b893-c88033c9c8f6}" id="{1cac94a3-7748-4fa7-8004-cdee8f19d962}" done="1">
    <x18tc:text xml:space="preserve">had to leave early, coming in tuesday to meet with Kiona</x18tc:text>
  </x18tc:threadedComment>
  <x18tc:threadedComment ref="A69" dT="2026-02-03T18:26:42.00" personId="{e9fc873c-1c43-4e02-b893-c88033c9c8f6}" id="{1da81a93-e972-4011-830b-2c65d5ccbd0b}" parentId="{1cac94a3-7748-4fa7-8004-cdee8f19d962}">
    <x18tc:text xml:space="preserve">wants to wait until she moves to get started, shes going to reach out to Nichole when shes ready</x18tc:text>
  </x18tc:threadedComment>
  <x18tc:threadedComment ref="N91" dT="2026-04-27T19:07:06.00" personId="{e9fc873c-1c43-4e02-b893-c88033c9c8f6}" id="{d8d1aa69-fe22-4edd-acbf-c93fa61cab17}" done="0">
    <x18tc:text xml:space="preserve">david wants to join as of 4/27/26</x18tc:text>
  </x18tc:threadedComment>
  <x18tc:threadedComment ref="A50" dT="2026-04-20T16:39:42.00" personId="{e9fc873c-1c43-4e02-b893-c88033c9c8f6}" id="{3bba9253-8fab-417b-a58e-97a561c33321}" done="0">
    <x18tc:text xml:space="preserve">see payment notes for 1st closing</x18tc:text>
  </x18tc:threadedComment>
  <x18tc:threadedComment ref="A90" dT="2026-04-20T16:40:51.00" personId="{e9fc873c-1c43-4e02-b893-c88033c9c8f6}" id="{41cf4d99-a6e3-44ea-aef8-6bd378e7803d}" done="0">
    <x18tc:text xml:space="preserve">Kiona released from team 4/17/26</x18tc:text>
  </x18tc:threadedComment>
  <x18tc:threadedComment ref="A83" dT="2026-04-20T16:41:12.00" personId="{e9fc873c-1c43-4e02-b893-c88033c9c8f6}" id="{120ec1d5-cefc-4493-90b4-294e113c9eb9}" done="0">
    <x18tc:text xml:space="preserve">Kiona released from team 4/17/26</x18tc:text>
  </x18tc:threadedComment>
  <x18tc:threadedComment ref="A84" dT="2026-04-20T16:41:15.00" personId="{e9fc873c-1c43-4e02-b893-c88033c9c8f6}" id="{8d2d5fa4-3b81-4441-8130-1631cf0b0797}" done="0">
    <x18tc:text xml:space="preserve">Kiona released from team 4/17/26</x18tc:text>
  </x18tc:threadedComment>
  <x18tc:threadedComment ref="A93" dT="2025-11-19T18:30:10.00" personId="{e9fc873c-1c43-4e02-b893-c88033c9c8f6}" id="{7796c436-a943-4f80-b32a-ecc1636c70d7}" done="0">
    <x18tc:text xml:space="preserve">didnt complete onboarding</x18tc:text>
  </x18tc:threadedComment>
  <x18tc:threadedComment ref="A95" dT="2025-11-19T18:30:54.00" personId="{e9fc873c-1c43-4e02-b893-c88033c9c8f6}" id="{4d89416e-a588-4bd6-9a8d-fff07b6f43b5}" done="0">
    <x18tc:text xml:space="preserve">per Kiona we are exiting 11/19, has a listing &amp; pending transaction. Not yet removing email or zipforms.</x18tc:text>
  </x18tc:threadedComment>
  <x18tc:threadedComment ref="M27" dT="2026-02-03T18:37:41.00" personId="{e9fc873c-1c43-4e02-b893-c88033c9c8f6}" id="{dfc23b5d-e2c6-4c29-8260-840cb6557692}" done="0">
    <x18tc:text xml:space="preserve">Previous PM Kay- as of 2/2 Ronda is in the EA program w Bridget</x18tc:text>
  </x18tc:threadedComment>
  <x18tc:threadedComment ref="P6" dT="2026-03-17T17:41:35.00" personId="{e9fc873c-1c43-4e02-b893-c88033c9c8f6}" id="{7ed51e4f-355f-4dc5-923a-9eb94f21c6e6}" done="0">
    <x18tc:text xml:space="preserve">set at the discounted $499 subscription</x18tc:text>
  </x18tc:threadedComment>
  <x18tc:threadedComment ref="P42" dT="2026-03-17T17:43:21.00" personId="{e9fc873c-1c43-4e02-b893-c88033c9c8f6}" id="{267331ac-f19c-4a58-9b1e-1480fdbd3393}" done="0">
    <x18tc:text xml:space="preserve">set at the discounted $499 subscription</x18tc:text>
  </x18tc:threadedComment>
  <x18tc:threadedComment ref="P39" dT="2026-03-17T17:44:07.00" personId="{e9fc873c-1c43-4e02-b893-c88033c9c8f6}" id="{6603d026-6c0b-4efd-8d16-77a5e4f3809f}" done="0">
    <x18tc:text xml:space="preserve">set at the discounted $499 subscription</x18tc:text>
  </x18tc:threadedComment>
  <x18tc:threadedComment ref="I47" dT="2026-03-24T16:54:33.00" personId="{e9fc873c-1c43-4e02-b893-c88033c9c8f6}" id="{c7e866cd-5ecc-415e-9c30-81ce294ae1bd}" done="0">
    <x18tc:text xml:space="preserve">Onboarding will be complete prior to exp contract being signed as Tyler is renewing his license</x18tc:text>
  </x18tc:threadedComment>
  <x18tc:threadedComment ref="A103" dT="2026-03-31T18:31:32.00" personId="{e9fc873c-1c43-4e02-b893-c88033c9c8f6}" id="{76010fa7-ce5a-4118-bdb9-a037a475a646}" done="0">
    <x18tc:text xml:space="preserve">Kiona released from the team</x18tc:text>
  </x18tc:threadedComment>
  <x18tc:threadedComment ref="P13" dT="2026-03-17T17:44:55.00" personId="{e9fc873c-1c43-4e02-b893-c88033c9c8f6}" id="{bd5b2815-90cd-4f19-a25b-58154b25d0d7}" done="0">
    <x18tc:text xml:space="preserve">set at the discounted $499 subscription</x18tc:text>
  </x18tc:threadedComment>
  <x18tc:threadedComment ref="P14" dT="2026-03-17T17:45:59.00" personId="{e9fc873c-1c43-4e02-b893-c88033c9c8f6}" id="{689f9714-b133-4415-ad08-547b3443c553}" done="0">
    <x18tc:text xml:space="preserve">set at the discounted $499 subscription</x18tc:text>
  </x18tc:threadedComment>
  <x18tc:threadedComment ref="P26" dT="2026-03-17T17:51:19.00" personId="{e9fc873c-1c43-4e02-b893-c88033c9c8f6}" id="{bf6ec1c1-cb2f-4c30-9d9a-8327b6ad856c}" done="0">
    <x18tc:text xml:space="preserve">set at the discounted $499 subscription</x18tc:text>
  </x18tc:threadedComment>
  <x18tc:threadedComment ref="P21" dT="2026-03-17T17:52:53.00" personId="{e9fc873c-1c43-4e02-b893-c88033c9c8f6}" id="{c6784928-6f7a-4993-821b-57c9434f2f82}" done="0">
    <x18tc:text xml:space="preserve">set at the discounted $499 subscription</x18tc:text>
  </x18tc:threadedComment>
  <x18tc:threadedComment ref="P22" dT="2026-03-17T17:54:18.00" personId="{e9fc873c-1c43-4e02-b893-c88033c9c8f6}" id="{b0b2ecde-efdb-422d-8ee3-f625ce045426}" done="0">
    <x18tc:text xml:space="preserve">set at the discounted $499 subscription</x18tc:text>
  </x18tc:threadedComment>
  <x18tc:threadedComment ref="A85" dT="2026-03-17T17:56:50.00" personId="{e9fc873c-1c43-4e02-b893-c88033c9c8f6}" id="{2cc62d11-c2ec-4fe3-a13d-74a3e0ae2537}" done="0">
    <x18tc:text xml:space="preserve">Kiona decided not a fit</x18tc:text>
  </x18tc:threadedComment>
  <x18tc:threadedComment ref="A104" dT="2026-04-22T17:25:12.00" personId="{e9fc873c-1c43-4e02-b893-c88033c9c8f6}" id="{18fd06c7-ef63-4610-970f-aa6fc48845f1}" done="1">
    <x18tc:text xml:space="preserve">never moved on after signing contract; Blake is researching.</x18tc:text>
  </x18tc:threadedComment>
  <x18tc:threadedComment ref="A88" dT="2026-04-22T17:27:30.00" personId="{e9fc873c-1c43-4e02-b893-c88033c9c8f6}" id="{68b4b410-3b7d-41c7-980b-2896b273dbb8}" done="0">
    <x18tc:text xml:space="preserve">is on hold</x18tc:text>
  </x18tc:threadedComment>
  <x18tc:threadedComment ref="A80" dT="2026-03-27T18:19:41.00" personId="{e9fc873c-1c43-4e02-b893-c88033c9c8f6}" id="{aba1dd34-8a7e-4ac4-816e-44109582d544}" done="0">
    <x18tc:text xml:space="preserve">removed from exp for not paying board dues, he wants to focus on her W2. emailed mark to exit 3/27, he doesnt wish to keep any leads</x18tc:text>
  </x18tc:threadedComment>
  <x18tc:threadedComment ref="P2" dT="2026-03-17T17:40:51.00" personId="{e9fc873c-1c43-4e02-b893-c88033c9c8f6}" id="{e982a75d-57f6-4680-ba22-bef85b88f42a}" done="0">
    <x18tc:text xml:space="preserve">Bridget is set at the discounted $499 subscription</x18tc:text>
  </x18tc:threadedComment>
  <x18tc:threadedComment ref="H43" dT="2026-01-21T22:30:16.00" personId="{5a7b7df7-22eb-4b3a-a492-7d9d82a49202}" id="{547c9abb-81ed-421f-9e9b-5e3111e88922}" done="1">
    <x18tc:text xml:space="preserve">@mark@coryhometeam.com and @dana@coryhometeam.com can you update Jamie's exp contract signed date. Also, when we have Diane's, please add date.
Assigned to mark@coryhometeam.com</x18tc:text>
    <x18tc:mentions>
      <x18tc:mention mentionpersonId="{c3ab2f0a-6b13-4be6-bd93-ff88ef370cd6}" mentionId="{d5f9e571-07ab-4b4d-b802-2a82808e56de}" startIndex="0" length="22"/>
      <x18tc:mention mentionpersonId="{97a5b354-94ec-4750-87c3-99cebe208b41}" mentionId="{aad347dd-d76e-45b5-9c51-391bd8fe79a0}" startIndex="27" length="22"/>
    </x18tc:mentions>
  </x18tc:threadedComment>
  <x18tc:threadedComment ref="A105" dT="2026-05-21T20:04:05.00" personId="{e9fc873c-1c43-4e02-b893-c88033c9c8f6}" id="{17d21eda-67d0-43dc-8067-1e087cc6d336}" done="0">
    <x18tc:text xml:space="preserve">per nichole Mariana changed her mind about joining the team; pending follow up</x18tc:text>
  </x18tc:threadedComment>
  <x18tc:threadedComment ref="A97" dT="2026-02-25T21:16:52.00" personId="{e9fc873c-1c43-4e02-b893-c88033c9c8f6}" id="{661a9067-e5db-410e-934e-ff22f16e3d29}" done="0">
    <x18tc:text xml:space="preserve">Blake and Kiona decided he is not a fit for the team</x18tc:text>
  </x18tc:threadedComment>
  <x18tc:threadedComment ref="A60" dT="2026-06-15T20:23:42.00" personId="{e9fc873c-1c43-4e02-b893-c88033c9c8f6}" id="{e614a2b6-38d0-45ae-9e6c-d3cd8f100cbf}" done="0">
    <x18tc:text xml:space="preserve">once confirmed she will join exp she needs intro to bridget</x18tc:text>
  </x18tc:threadedComment>
  <x18tc:threadedComment ref="A101" dT="2026-03-02T18:17:41.00" personId="{e9fc873c-1c43-4e02-b893-c88033c9c8f6}" id="{864028ab-8e84-4117-ae83-e79e1246b5ad}" done="0">
    <x18tc:text xml:space="preserve">decided not to join</x18tc:text>
  </x18tc:threadedComment>
  <x18tc:threadedComment ref="G44" dT="2026-05-20T19:33:07.00" personId="{e9fc873c-1c43-4e02-b893-c88033c9c8f6}" id="{c60a9179-7834-4cdd-b61c-1a7f7acac48d}" done="0">
    <x18tc:text xml:space="preserve">update SOI addendum sent, SOI review to be completed and due by next: 5/6/27</x18tc:text>
  </x18tc:threadedComment>
  <x18tc:threadedComment ref="A78" dT="2026-05-27T17:44:39.00" personId="{e9fc873c-1c43-4e02-b893-c88033c9c8f6}" id="{ed6d5dff-ceeb-4635-a882-62d582ce5367}" done="0">
    <x18tc:text xml:space="preserve">signed release contract 5/22</x18tc:text>
  </x18tc:threadedComment>
  <x18tc:threadedComment ref="A91" dT="2026-03-30T20:40:52.00" personId="{e9fc873c-1c43-4e02-b893-c88033c9c8f6}" id="{4270cd0c-1246-4db9-bef0-abb2619fc1f7}" done="0">
    <x18tc:text xml:space="preserve">apart of exp of so cal, transferred license today, pending exp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earchcaliforniahomes.net/" TargetMode="External"/><Relationship Id="rId9" Type="http://schemas.openxmlformats.org/officeDocument/2006/relationships/vmlDrawing" Target="../drawings/vmlDrawing2.vml"/><Relationship Id="rId5" Type="http://schemas.openxmlformats.org/officeDocument/2006/relationships/hyperlink" Target="mailto:neko730513@icloud.com" TargetMode="External"/><Relationship Id="rId6" Type="http://schemas.openxmlformats.org/officeDocument/2006/relationships/hyperlink" Target="mailto:lisashuy@firstteam.com" TargetMode="External"/><Relationship Id="rId7" Type="http://schemas.openxmlformats.org/officeDocument/2006/relationships/hyperlink" Target="http://homes.com/"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homes.com/" TargetMode="External"/><Relationship Id="rId5" Type="http://schemas.openxmlformats.org/officeDocument/2006/relationships/drawing" Target="../drawings/drawing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Tmadison232@credithuman.com" TargetMode="External"/><Relationship Id="rId5" Type="http://schemas.openxmlformats.org/officeDocument/2006/relationships/hyperlink" Target="http://92591.my/" TargetMode="External"/><Relationship Id="rId6" Type="http://schemas.openxmlformats.org/officeDocument/2006/relationships/drawing" Target="../drawings/drawing6.xml"/><Relationship Id="rId7"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docs.google.com/spreadsheets/d/1wEpVjzicNsgahhmw57EZDW0bYPo14XnV/edit?usp=sharing&amp;ouid=117466242702235210538&amp;rtpof=true&amp;sd=true" TargetMode="External"/><Relationship Id="rId5" Type="http://schemas.openxmlformats.org/officeDocument/2006/relationships/drawing" Target="../drawings/drawing9.xml"/><Relationship Id="rId6" Type="http://schemas.openxmlformats.org/officeDocument/2006/relationships/vmlDrawing" Target="../drawings/vmlDrawing9.vml"/><Relationship Id="rId8"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4.25"/>
    <col customWidth="1" min="2" max="2" width="15.75"/>
    <col customWidth="1" min="3" max="3" width="26.88"/>
    <col customWidth="1" min="4" max="4" width="18.88"/>
    <col customWidth="1" min="5" max="5" width="15.63"/>
    <col customWidth="1" min="6" max="6" width="18.38"/>
    <col customWidth="1" min="7" max="7" width="23.0"/>
    <col customWidth="1" min="8" max="8" width="20.13"/>
    <col customWidth="1" min="9" max="9" width="12.38"/>
    <col customWidth="1" min="10" max="10" width="12.63"/>
    <col customWidth="1" min="11" max="11" width="37.13"/>
    <col customWidth="1" min="12" max="12" width="31.38"/>
    <col customWidth="1" min="13" max="13" width="43.75"/>
    <col customWidth="1" min="14" max="14" width="26.75"/>
    <col customWidth="1" min="15" max="15" width="27.25"/>
    <col customWidth="1" min="16" max="16" width="21.75"/>
    <col customWidth="1" min="17" max="17" width="22.5"/>
    <col customWidth="1" min="18" max="18" width="24.5"/>
    <col customWidth="1" min="19" max="19" width="19.88"/>
    <col customWidth="1" min="20" max="20" width="31.38"/>
    <col customWidth="1" min="21" max="22" width="11.38"/>
    <col customWidth="1" min="23" max="25" width="10.75"/>
    <col customWidth="1" min="26" max="26" width="1.38"/>
    <col customWidth="1" min="28" max="28" width="24.63"/>
    <col customWidth="1" min="29" max="29" width="12.75"/>
    <col customWidth="1" min="30" max="30" width="11.38"/>
    <col customWidth="1" min="31" max="31" width="9.5"/>
    <col customWidth="1" min="32" max="32" width="11.25"/>
    <col customWidth="1" min="33" max="35" width="11.88"/>
    <col customWidth="1" min="36" max="36" width="12.0"/>
    <col customWidth="1" min="37" max="38" width="9.5"/>
    <col customWidth="1" min="39" max="39" width="14.0"/>
    <col customWidth="1" min="40" max="42" width="9.5"/>
    <col customWidth="1" min="43" max="43" width="1.38"/>
    <col customWidth="1" min="44" max="44" width="27.75"/>
    <col customWidth="1" min="45" max="45" width="0.75"/>
    <col customWidth="1" min="46" max="46" width="18.88"/>
    <col customWidth="1" min="47" max="47" width="1.38"/>
    <col customWidth="1" min="48" max="48" width="16.38"/>
    <col customWidth="1" min="49" max="49" width="17.63"/>
    <col customWidth="1" min="50" max="52" width="1.38"/>
  </cols>
  <sheetData>
    <row r="1" ht="21.75" customHeight="1">
      <c r="A1" s="1"/>
      <c r="B1" s="1"/>
      <c r="C1" s="2"/>
      <c r="D1" s="2"/>
      <c r="E1" s="2"/>
      <c r="F1" s="2"/>
      <c r="G1" s="3"/>
      <c r="H1" s="1"/>
      <c r="I1" s="3"/>
      <c r="J1" s="1"/>
      <c r="K1" s="4"/>
      <c r="L1" s="2"/>
      <c r="M1" s="2"/>
      <c r="N1" s="5"/>
      <c r="O1" s="5"/>
      <c r="P1" s="5"/>
      <c r="Q1" s="1" t="s">
        <v>0</v>
      </c>
      <c r="R1" s="5"/>
      <c r="S1" s="5"/>
      <c r="T1" s="5"/>
      <c r="U1" s="1"/>
      <c r="V1" s="6"/>
      <c r="W1" s="6"/>
      <c r="X1" s="6"/>
      <c r="Y1" s="1"/>
      <c r="Z1" s="7"/>
      <c r="AA1" s="8"/>
      <c r="AB1" s="9"/>
      <c r="AC1" s="10"/>
      <c r="AD1" s="11"/>
      <c r="AE1" s="10"/>
      <c r="AF1" s="12"/>
      <c r="AG1" s="12"/>
      <c r="AH1" s="12"/>
      <c r="AI1" s="10"/>
      <c r="AJ1" s="10"/>
      <c r="AK1" s="10"/>
      <c r="AL1" s="10"/>
      <c r="AM1" s="9"/>
      <c r="AN1" s="9"/>
      <c r="AO1" s="9"/>
      <c r="AP1" s="13"/>
      <c r="AQ1" s="14"/>
      <c r="AR1" s="15"/>
      <c r="AS1" s="14"/>
      <c r="AT1" s="16"/>
      <c r="AU1" s="17"/>
      <c r="AV1" s="18"/>
      <c r="AW1" s="19"/>
      <c r="AX1" s="17"/>
      <c r="AY1" s="17"/>
      <c r="AZ1" s="17"/>
    </row>
    <row r="2" ht="22.5" customHeight="1">
      <c r="A2" s="1" t="s">
        <v>1</v>
      </c>
      <c r="B2" s="1" t="s">
        <v>2</v>
      </c>
      <c r="C2" s="2" t="s">
        <v>3</v>
      </c>
      <c r="D2" s="2" t="s">
        <v>4</v>
      </c>
      <c r="E2" s="2" t="s">
        <v>5</v>
      </c>
      <c r="F2" s="2" t="s">
        <v>6</v>
      </c>
      <c r="G2" s="3" t="s">
        <v>7</v>
      </c>
      <c r="H2" s="1" t="s">
        <v>8</v>
      </c>
      <c r="I2" s="3" t="s">
        <v>9</v>
      </c>
      <c r="J2" s="1" t="s">
        <v>10</v>
      </c>
      <c r="K2" s="4" t="s">
        <v>11</v>
      </c>
      <c r="L2" s="2" t="s">
        <v>12</v>
      </c>
      <c r="M2" s="2" t="s">
        <v>13</v>
      </c>
      <c r="N2" s="5" t="s">
        <v>14</v>
      </c>
      <c r="O2" s="5" t="s">
        <v>15</v>
      </c>
      <c r="P2" s="5" t="s">
        <v>16</v>
      </c>
      <c r="Q2" s="5" t="s">
        <v>17</v>
      </c>
      <c r="R2" s="5" t="s">
        <v>18</v>
      </c>
      <c r="S2" s="5" t="s">
        <v>19</v>
      </c>
      <c r="T2" s="5" t="s">
        <v>20</v>
      </c>
      <c r="U2" s="1" t="s">
        <v>21</v>
      </c>
      <c r="V2" s="6" t="s">
        <v>22</v>
      </c>
      <c r="W2" s="6" t="s">
        <v>23</v>
      </c>
      <c r="X2" s="6" t="s">
        <v>24</v>
      </c>
      <c r="Y2" s="1" t="s">
        <v>25</v>
      </c>
      <c r="Z2" s="7"/>
      <c r="AA2" s="8" t="s">
        <v>26</v>
      </c>
      <c r="AB2" s="9" t="s">
        <v>27</v>
      </c>
      <c r="AC2" s="10" t="s">
        <v>28</v>
      </c>
      <c r="AD2" s="20" t="s">
        <v>29</v>
      </c>
      <c r="AE2" s="10" t="s">
        <v>30</v>
      </c>
      <c r="AF2" s="21" t="s">
        <v>31</v>
      </c>
      <c r="AG2" s="12" t="s">
        <v>32</v>
      </c>
      <c r="AH2" s="12" t="s">
        <v>33</v>
      </c>
      <c r="AI2" s="12" t="s">
        <v>34</v>
      </c>
      <c r="AJ2" s="10" t="s">
        <v>35</v>
      </c>
      <c r="AK2" s="10" t="s">
        <v>36</v>
      </c>
      <c r="AL2" s="10" t="s">
        <v>37</v>
      </c>
      <c r="AM2" s="9" t="s">
        <v>38</v>
      </c>
      <c r="AN2" s="9" t="s">
        <v>39</v>
      </c>
      <c r="AO2" s="9" t="s">
        <v>40</v>
      </c>
      <c r="AP2" s="9" t="s">
        <v>41</v>
      </c>
      <c r="AQ2" s="14"/>
      <c r="AR2" s="22" t="s">
        <v>42</v>
      </c>
      <c r="AS2" s="14"/>
      <c r="AT2" s="16" t="s">
        <v>43</v>
      </c>
      <c r="AU2" s="17"/>
      <c r="AV2" s="18" t="s">
        <v>44</v>
      </c>
      <c r="AW2" s="19" t="s">
        <v>45</v>
      </c>
      <c r="AX2" s="17"/>
      <c r="AY2" s="17"/>
      <c r="AZ2" s="17"/>
    </row>
    <row r="3">
      <c r="A3" s="23" t="s">
        <v>46</v>
      </c>
      <c r="B3" s="23" t="s">
        <v>47</v>
      </c>
      <c r="C3" s="24" t="s">
        <v>48</v>
      </c>
      <c r="D3" s="23" t="s">
        <v>49</v>
      </c>
      <c r="E3" s="23">
        <v>92584.0</v>
      </c>
      <c r="F3" s="23" t="s">
        <v>50</v>
      </c>
      <c r="G3" s="23" t="s">
        <v>51</v>
      </c>
      <c r="H3" s="23" t="s">
        <v>52</v>
      </c>
      <c r="I3" s="23" t="s">
        <v>53</v>
      </c>
      <c r="J3" s="23" t="s">
        <v>54</v>
      </c>
      <c r="K3" s="25" t="s">
        <v>55</v>
      </c>
      <c r="L3" s="26" t="s">
        <v>56</v>
      </c>
      <c r="M3" s="26" t="s">
        <v>57</v>
      </c>
      <c r="N3" s="27" t="s">
        <v>58</v>
      </c>
      <c r="O3" s="23" t="s">
        <v>59</v>
      </c>
      <c r="P3" s="23" t="s">
        <v>60</v>
      </c>
      <c r="Q3" s="23" t="s">
        <v>61</v>
      </c>
      <c r="R3" s="23"/>
      <c r="S3" s="23" t="s">
        <v>62</v>
      </c>
      <c r="T3" s="23" t="s">
        <v>63</v>
      </c>
      <c r="U3" s="23" t="s">
        <v>64</v>
      </c>
      <c r="V3" s="28">
        <v>46111.0</v>
      </c>
      <c r="W3" s="28">
        <v>46171.0</v>
      </c>
      <c r="X3" s="28">
        <v>46171.0</v>
      </c>
      <c r="Y3" s="28"/>
      <c r="Z3" s="29"/>
      <c r="AA3" s="24" t="s">
        <v>65</v>
      </c>
      <c r="AB3" s="23" t="s">
        <v>66</v>
      </c>
      <c r="AC3" s="30">
        <v>600000.0</v>
      </c>
      <c r="AD3" s="31">
        <v>0.02</v>
      </c>
      <c r="AE3" s="32">
        <f t="shared" ref="AE3:AE34" si="1">SUM(AC3*AD3)</f>
        <v>12000</v>
      </c>
      <c r="AF3" s="33">
        <v>595.0</v>
      </c>
      <c r="AG3" s="34">
        <v>500.0</v>
      </c>
      <c r="AH3" s="34">
        <v>0.0</v>
      </c>
      <c r="AI3" s="34">
        <v>1095.0</v>
      </c>
      <c r="AJ3" s="34">
        <v>0.0</v>
      </c>
      <c r="AK3" s="35">
        <f t="shared" ref="AK3:AK5" si="2">sum(AE3,-AJ3)*0.4</f>
        <v>4800</v>
      </c>
      <c r="AL3" s="36">
        <v>0.0</v>
      </c>
      <c r="AM3" s="37" t="s">
        <v>47</v>
      </c>
      <c r="AN3" s="38">
        <f t="shared" ref="AN3:AN73" si="3">if(AF3=595, SUM(AE3+AI3-AK3-AJ3),sum(AE3-AJ3-AK3,595))</f>
        <v>8295</v>
      </c>
      <c r="AO3" s="39">
        <f t="shared" ref="AO3:AO21" si="4">if(AM3="Buyer",-sum((-AE3+AK3+AJ3)*50%),if(AM3="Seller",-sum((-AE3+AK3+AJ3)*50%),-sum(((-AE3+AK3+AJ3)*((100-right(AM3,2))/100)))))+if(AF3&lt;&gt;595,595, sum(AF3))</f>
        <v>4195</v>
      </c>
      <c r="AP3" s="40">
        <f t="shared" ref="AP3:AP73" si="5">sum(AN3-AO3)+-sum(AG3:AH3)</f>
        <v>3600</v>
      </c>
      <c r="AQ3" s="14"/>
      <c r="AR3" s="41"/>
      <c r="AS3" s="14"/>
      <c r="AT3" s="23" t="s">
        <v>67</v>
      </c>
      <c r="AU3" s="42"/>
      <c r="AV3" s="23" t="s">
        <v>68</v>
      </c>
      <c r="AW3" s="23" t="s">
        <v>69</v>
      </c>
      <c r="AX3" s="42"/>
      <c r="AY3" s="42"/>
      <c r="AZ3" s="42"/>
    </row>
    <row r="4">
      <c r="A4" s="23" t="s">
        <v>46</v>
      </c>
      <c r="B4" s="23" t="s">
        <v>47</v>
      </c>
      <c r="C4" s="24" t="s">
        <v>70</v>
      </c>
      <c r="D4" s="23" t="s">
        <v>71</v>
      </c>
      <c r="E4" s="23">
        <v>92545.0</v>
      </c>
      <c r="F4" s="23" t="s">
        <v>50</v>
      </c>
      <c r="G4" s="23" t="s">
        <v>72</v>
      </c>
      <c r="H4" s="23" t="s">
        <v>73</v>
      </c>
      <c r="I4" s="23" t="s">
        <v>74</v>
      </c>
      <c r="J4" s="23" t="s">
        <v>54</v>
      </c>
      <c r="K4" s="25" t="s">
        <v>75</v>
      </c>
      <c r="L4" s="26" t="s">
        <v>76</v>
      </c>
      <c r="M4" s="26" t="s">
        <v>77</v>
      </c>
      <c r="N4" s="27" t="s">
        <v>78</v>
      </c>
      <c r="O4" s="23" t="s">
        <v>59</v>
      </c>
      <c r="P4" s="23" t="s">
        <v>60</v>
      </c>
      <c r="Q4" s="23" t="s">
        <v>61</v>
      </c>
      <c r="R4" s="23" t="s">
        <v>79</v>
      </c>
      <c r="S4" s="23" t="s">
        <v>80</v>
      </c>
      <c r="T4" s="23" t="s">
        <v>81</v>
      </c>
      <c r="U4" s="23" t="s">
        <v>64</v>
      </c>
      <c r="V4" s="28">
        <v>46108.0</v>
      </c>
      <c r="W4" s="28">
        <v>46139.0</v>
      </c>
      <c r="X4" s="28">
        <v>46171.0</v>
      </c>
      <c r="Y4" s="28"/>
      <c r="Z4" s="29"/>
      <c r="AA4" s="24" t="s">
        <v>65</v>
      </c>
      <c r="AB4" s="23" t="s">
        <v>66</v>
      </c>
      <c r="AC4" s="30">
        <v>505000.0</v>
      </c>
      <c r="AD4" s="31">
        <v>0.03</v>
      </c>
      <c r="AE4" s="32">
        <f t="shared" si="1"/>
        <v>15150</v>
      </c>
      <c r="AF4" s="33">
        <v>595.0</v>
      </c>
      <c r="AG4" s="34">
        <v>500.0</v>
      </c>
      <c r="AH4" s="34" t="s">
        <v>82</v>
      </c>
      <c r="AI4" s="34">
        <v>1095.0</v>
      </c>
      <c r="AJ4" s="34">
        <v>0.0</v>
      </c>
      <c r="AK4" s="35">
        <f t="shared" si="2"/>
        <v>6060</v>
      </c>
      <c r="AL4" s="36">
        <v>0.0</v>
      </c>
      <c r="AM4" s="37" t="s">
        <v>47</v>
      </c>
      <c r="AN4" s="38">
        <f t="shared" si="3"/>
        <v>10185</v>
      </c>
      <c r="AO4" s="39">
        <f t="shared" si="4"/>
        <v>5140</v>
      </c>
      <c r="AP4" s="40">
        <f t="shared" si="5"/>
        <v>4545</v>
      </c>
      <c r="AQ4" s="14"/>
      <c r="AR4" s="41"/>
      <c r="AS4" s="14"/>
      <c r="AT4" s="23"/>
      <c r="AU4" s="42"/>
      <c r="AV4" s="37" t="s">
        <v>83</v>
      </c>
      <c r="AW4" s="37" t="s">
        <v>69</v>
      </c>
      <c r="AX4" s="42"/>
      <c r="AY4" s="42"/>
      <c r="AZ4" s="42"/>
    </row>
    <row r="5" ht="15.75" customHeight="1">
      <c r="A5" s="23" t="s">
        <v>46</v>
      </c>
      <c r="B5" s="23" t="s">
        <v>84</v>
      </c>
      <c r="C5" s="24" t="s">
        <v>85</v>
      </c>
      <c r="D5" s="23" t="s">
        <v>86</v>
      </c>
      <c r="E5" s="23">
        <v>92057.0</v>
      </c>
      <c r="F5" s="23" t="s">
        <v>87</v>
      </c>
      <c r="G5" s="37" t="s">
        <v>88</v>
      </c>
      <c r="H5" s="23" t="s">
        <v>52</v>
      </c>
      <c r="I5" s="23" t="s">
        <v>89</v>
      </c>
      <c r="J5" s="23" t="s">
        <v>54</v>
      </c>
      <c r="K5" s="25" t="s">
        <v>90</v>
      </c>
      <c r="L5" s="26" t="s">
        <v>91</v>
      </c>
      <c r="M5" s="43"/>
      <c r="N5" s="27" t="s">
        <v>92</v>
      </c>
      <c r="O5" s="23"/>
      <c r="P5" s="23" t="s">
        <v>93</v>
      </c>
      <c r="Q5" s="23" t="s">
        <v>61</v>
      </c>
      <c r="R5" s="23" t="s">
        <v>94</v>
      </c>
      <c r="S5" s="23" t="s">
        <v>95</v>
      </c>
      <c r="T5" s="23" t="s">
        <v>96</v>
      </c>
      <c r="U5" s="23" t="s">
        <v>64</v>
      </c>
      <c r="V5" s="28">
        <v>46081.0</v>
      </c>
      <c r="W5" s="28">
        <v>46126.0</v>
      </c>
      <c r="X5" s="44">
        <v>46172.0</v>
      </c>
      <c r="Y5" s="28"/>
      <c r="Z5" s="29"/>
      <c r="AA5" s="24" t="s">
        <v>65</v>
      </c>
      <c r="AB5" s="23" t="s">
        <v>66</v>
      </c>
      <c r="AC5" s="30">
        <v>700000.0</v>
      </c>
      <c r="AD5" s="31">
        <v>0.03</v>
      </c>
      <c r="AE5" s="32">
        <f t="shared" si="1"/>
        <v>21000</v>
      </c>
      <c r="AF5" s="33">
        <v>595.0</v>
      </c>
      <c r="AG5" s="34">
        <v>500.0</v>
      </c>
      <c r="AH5" s="34" t="s">
        <v>82</v>
      </c>
      <c r="AI5" s="34">
        <v>1345.0</v>
      </c>
      <c r="AJ5" s="34">
        <v>0.0</v>
      </c>
      <c r="AK5" s="35">
        <f t="shared" si="2"/>
        <v>8400</v>
      </c>
      <c r="AL5" s="36">
        <v>0.0</v>
      </c>
      <c r="AM5" s="37" t="s">
        <v>84</v>
      </c>
      <c r="AN5" s="38">
        <f t="shared" si="3"/>
        <v>13945</v>
      </c>
      <c r="AO5" s="39">
        <f t="shared" si="4"/>
        <v>6895</v>
      </c>
      <c r="AP5" s="40">
        <f t="shared" si="5"/>
        <v>6550</v>
      </c>
      <c r="AQ5" s="14"/>
      <c r="AR5" s="41"/>
      <c r="AS5" s="14"/>
      <c r="AT5" s="23"/>
      <c r="AU5" s="42"/>
      <c r="AV5" s="37" t="s">
        <v>97</v>
      </c>
      <c r="AW5" s="37" t="s">
        <v>69</v>
      </c>
      <c r="AX5" s="42"/>
      <c r="AY5" s="42"/>
      <c r="AZ5" s="42"/>
    </row>
    <row r="6">
      <c r="A6" s="23" t="s">
        <v>98</v>
      </c>
      <c r="B6" s="23" t="s">
        <v>84</v>
      </c>
      <c r="C6" s="24" t="s">
        <v>99</v>
      </c>
      <c r="D6" s="23" t="s">
        <v>100</v>
      </c>
      <c r="E6" s="23">
        <v>92395.0</v>
      </c>
      <c r="F6" s="23" t="s">
        <v>101</v>
      </c>
      <c r="G6" s="23" t="s">
        <v>102</v>
      </c>
      <c r="H6" s="23" t="s">
        <v>73</v>
      </c>
      <c r="I6" s="23" t="s">
        <v>74</v>
      </c>
      <c r="J6" s="23" t="s">
        <v>103</v>
      </c>
      <c r="K6" s="25" t="s">
        <v>104</v>
      </c>
      <c r="L6" s="43"/>
      <c r="M6" s="43"/>
      <c r="N6" s="27" t="s">
        <v>105</v>
      </c>
      <c r="O6" s="23" t="s">
        <v>106</v>
      </c>
      <c r="P6" s="23" t="s">
        <v>93</v>
      </c>
      <c r="Q6" s="23" t="s">
        <v>107</v>
      </c>
      <c r="R6" s="23" t="s">
        <v>108</v>
      </c>
      <c r="S6" s="23"/>
      <c r="T6" s="23"/>
      <c r="U6" s="23" t="s">
        <v>109</v>
      </c>
      <c r="V6" s="28">
        <v>46146.0</v>
      </c>
      <c r="W6" s="28">
        <v>46174.0</v>
      </c>
      <c r="X6" s="28">
        <v>46174.0</v>
      </c>
      <c r="Y6" s="28"/>
      <c r="Z6" s="29"/>
      <c r="AA6" s="24" t="s">
        <v>106</v>
      </c>
      <c r="AB6" s="23" t="s">
        <v>110</v>
      </c>
      <c r="AC6" s="30">
        <v>379600.0</v>
      </c>
      <c r="AD6" s="31">
        <v>0.01</v>
      </c>
      <c r="AE6" s="32">
        <f t="shared" si="1"/>
        <v>3796</v>
      </c>
      <c r="AF6" s="33">
        <v>595.0</v>
      </c>
      <c r="AG6" s="34" t="s">
        <v>111</v>
      </c>
      <c r="AH6" s="34" t="s">
        <v>82</v>
      </c>
      <c r="AI6" s="34">
        <v>0.0</v>
      </c>
      <c r="AJ6" s="34">
        <v>0.0</v>
      </c>
      <c r="AK6" s="34">
        <f>AC6*0.01</f>
        <v>3796</v>
      </c>
      <c r="AL6" s="36">
        <v>0.0</v>
      </c>
      <c r="AM6" s="37" t="s">
        <v>84</v>
      </c>
      <c r="AN6" s="38">
        <f t="shared" si="3"/>
        <v>0</v>
      </c>
      <c r="AO6" s="39">
        <f t="shared" si="4"/>
        <v>595</v>
      </c>
      <c r="AP6" s="40">
        <f t="shared" si="5"/>
        <v>-595</v>
      </c>
      <c r="AQ6" s="14"/>
      <c r="AR6" s="41" t="s">
        <v>112</v>
      </c>
      <c r="AS6" s="14"/>
      <c r="AT6" s="23"/>
      <c r="AU6" s="42"/>
      <c r="AV6" s="37" t="s">
        <v>113</v>
      </c>
      <c r="AW6" s="37" t="s">
        <v>114</v>
      </c>
      <c r="AX6" s="42"/>
      <c r="AY6" s="42"/>
      <c r="AZ6" s="42"/>
    </row>
    <row r="7">
      <c r="A7" s="23" t="s">
        <v>98</v>
      </c>
      <c r="B7" s="23" t="s">
        <v>47</v>
      </c>
      <c r="C7" s="24" t="s">
        <v>115</v>
      </c>
      <c r="D7" s="23" t="s">
        <v>116</v>
      </c>
      <c r="E7" s="37">
        <v>92539.0</v>
      </c>
      <c r="F7" s="23" t="s">
        <v>50</v>
      </c>
      <c r="G7" s="23" t="s">
        <v>117</v>
      </c>
      <c r="H7" s="23" t="s">
        <v>52</v>
      </c>
      <c r="I7" s="23" t="s">
        <v>53</v>
      </c>
      <c r="J7" s="23" t="s">
        <v>103</v>
      </c>
      <c r="K7" s="25" t="s">
        <v>118</v>
      </c>
      <c r="L7" s="26" t="s">
        <v>119</v>
      </c>
      <c r="M7" s="26" t="s">
        <v>120</v>
      </c>
      <c r="N7" s="27" t="s">
        <v>79</v>
      </c>
      <c r="O7" s="23" t="s">
        <v>121</v>
      </c>
      <c r="P7" s="23" t="s">
        <v>60</v>
      </c>
      <c r="Q7" s="23" t="s">
        <v>61</v>
      </c>
      <c r="R7" s="23"/>
      <c r="S7" s="23" t="s">
        <v>122</v>
      </c>
      <c r="T7" s="23" t="s">
        <v>123</v>
      </c>
      <c r="U7" s="23" t="s">
        <v>64</v>
      </c>
      <c r="V7" s="28">
        <v>46104.0</v>
      </c>
      <c r="W7" s="28">
        <v>46174.0</v>
      </c>
      <c r="X7" s="28">
        <v>46192.0</v>
      </c>
      <c r="Y7" s="28"/>
      <c r="Z7" s="29"/>
      <c r="AA7" s="24" t="s">
        <v>124</v>
      </c>
      <c r="AB7" s="23" t="s">
        <v>66</v>
      </c>
      <c r="AC7" s="30">
        <v>285000.0</v>
      </c>
      <c r="AD7" s="31">
        <v>0.02</v>
      </c>
      <c r="AE7" s="32">
        <f t="shared" si="1"/>
        <v>5700</v>
      </c>
      <c r="AF7" s="33">
        <v>595.0</v>
      </c>
      <c r="AG7" s="34">
        <v>0.0</v>
      </c>
      <c r="AH7" s="34">
        <v>0.0</v>
      </c>
      <c r="AI7" s="34">
        <v>0.0</v>
      </c>
      <c r="AJ7" s="34">
        <v>0.0</v>
      </c>
      <c r="AK7" s="35">
        <f>sum(AE7,-AJ7)*0.4</f>
        <v>2280</v>
      </c>
      <c r="AL7" s="36">
        <v>0.0</v>
      </c>
      <c r="AM7" s="37" t="s">
        <v>47</v>
      </c>
      <c r="AN7" s="38">
        <f t="shared" si="3"/>
        <v>3420</v>
      </c>
      <c r="AO7" s="39">
        <f t="shared" si="4"/>
        <v>2305</v>
      </c>
      <c r="AP7" s="40">
        <f t="shared" si="5"/>
        <v>1115</v>
      </c>
      <c r="AQ7" s="14"/>
      <c r="AR7" s="41"/>
      <c r="AS7" s="14"/>
      <c r="AU7" s="42"/>
      <c r="AV7" s="37" t="s">
        <v>125</v>
      </c>
      <c r="AW7" s="37" t="s">
        <v>69</v>
      </c>
      <c r="AX7" s="42"/>
      <c r="AY7" s="42"/>
      <c r="AZ7" s="42"/>
    </row>
    <row r="8">
      <c r="A8" s="23" t="s">
        <v>98</v>
      </c>
      <c r="B8" s="23" t="s">
        <v>84</v>
      </c>
      <c r="C8" s="24" t="s">
        <v>126</v>
      </c>
      <c r="D8" s="23" t="s">
        <v>49</v>
      </c>
      <c r="E8" s="23">
        <v>92584.0</v>
      </c>
      <c r="F8" s="23" t="s">
        <v>50</v>
      </c>
      <c r="G8" s="23" t="s">
        <v>51</v>
      </c>
      <c r="H8" s="23" t="s">
        <v>52</v>
      </c>
      <c r="I8" s="23" t="s">
        <v>53</v>
      </c>
      <c r="J8" s="23" t="s">
        <v>54</v>
      </c>
      <c r="K8" s="25" t="s">
        <v>127</v>
      </c>
      <c r="L8" s="26" t="s">
        <v>128</v>
      </c>
      <c r="M8" s="26" t="s">
        <v>129</v>
      </c>
      <c r="N8" s="27" t="s">
        <v>130</v>
      </c>
      <c r="O8" s="23" t="s">
        <v>131</v>
      </c>
      <c r="P8" s="23" t="s">
        <v>60</v>
      </c>
      <c r="Q8" s="23" t="s">
        <v>132</v>
      </c>
      <c r="R8" s="23" t="s">
        <v>94</v>
      </c>
      <c r="S8" s="23" t="s">
        <v>133</v>
      </c>
      <c r="T8" s="23" t="s">
        <v>134</v>
      </c>
      <c r="U8" s="23" t="s">
        <v>109</v>
      </c>
      <c r="V8" s="28">
        <v>46155.0</v>
      </c>
      <c r="W8" s="28">
        <v>46176.0</v>
      </c>
      <c r="X8" s="28">
        <v>46176.0</v>
      </c>
      <c r="Y8" s="28"/>
      <c r="Z8" s="29"/>
      <c r="AA8" s="24" t="s">
        <v>65</v>
      </c>
      <c r="AB8" s="23" t="s">
        <v>66</v>
      </c>
      <c r="AC8" s="30">
        <v>650000.0</v>
      </c>
      <c r="AD8" s="45">
        <v>0.045</v>
      </c>
      <c r="AE8" s="32">
        <f t="shared" si="1"/>
        <v>29250</v>
      </c>
      <c r="AF8" s="33">
        <v>595.0</v>
      </c>
      <c r="AG8" s="34">
        <v>500.0</v>
      </c>
      <c r="AH8" s="34">
        <v>250.0</v>
      </c>
      <c r="AI8" s="34">
        <v>1395.0</v>
      </c>
      <c r="AJ8" s="34">
        <v>3250.0</v>
      </c>
      <c r="AK8" s="34">
        <f t="shared" ref="AK8:AK10" si="6">AE8*0.4</f>
        <v>11700</v>
      </c>
      <c r="AL8" s="36">
        <v>0.0</v>
      </c>
      <c r="AM8" s="37" t="s">
        <v>84</v>
      </c>
      <c r="AN8" s="38">
        <f t="shared" si="3"/>
        <v>15695</v>
      </c>
      <c r="AO8" s="39">
        <f t="shared" si="4"/>
        <v>7745</v>
      </c>
      <c r="AP8" s="40">
        <f t="shared" si="5"/>
        <v>7200</v>
      </c>
      <c r="AQ8" s="14"/>
      <c r="AR8" s="41" t="s">
        <v>135</v>
      </c>
      <c r="AS8" s="14"/>
      <c r="AT8" s="23" t="s">
        <v>67</v>
      </c>
      <c r="AU8" s="42"/>
      <c r="AV8" s="37" t="s">
        <v>136</v>
      </c>
      <c r="AW8" s="37" t="s">
        <v>69</v>
      </c>
      <c r="AX8" s="42"/>
      <c r="AY8" s="42"/>
      <c r="AZ8" s="42"/>
    </row>
    <row r="9">
      <c r="A9" s="23" t="s">
        <v>98</v>
      </c>
      <c r="B9" s="23" t="s">
        <v>47</v>
      </c>
      <c r="C9" s="24" t="s">
        <v>137</v>
      </c>
      <c r="D9" s="23" t="s">
        <v>138</v>
      </c>
      <c r="E9" s="23">
        <v>92583.0</v>
      </c>
      <c r="F9" s="23" t="s">
        <v>50</v>
      </c>
      <c r="G9" s="23" t="s">
        <v>139</v>
      </c>
      <c r="H9" s="23" t="s">
        <v>73</v>
      </c>
      <c r="I9" s="23" t="s">
        <v>53</v>
      </c>
      <c r="J9" s="23" t="s">
        <v>103</v>
      </c>
      <c r="K9" s="25" t="s">
        <v>140</v>
      </c>
      <c r="L9" s="46" t="s">
        <v>141</v>
      </c>
      <c r="M9" s="26" t="s">
        <v>142</v>
      </c>
      <c r="N9" s="27" t="s">
        <v>92</v>
      </c>
      <c r="O9" s="47" t="s">
        <v>143</v>
      </c>
      <c r="P9" s="23" t="s">
        <v>93</v>
      </c>
      <c r="Q9" s="23" t="s">
        <v>132</v>
      </c>
      <c r="R9" s="23" t="s">
        <v>94</v>
      </c>
      <c r="S9" s="47" t="s">
        <v>144</v>
      </c>
      <c r="T9" s="47" t="s">
        <v>144</v>
      </c>
      <c r="U9" s="23" t="s">
        <v>109</v>
      </c>
      <c r="V9" s="28">
        <v>46162.0</v>
      </c>
      <c r="W9" s="28">
        <v>46177.0</v>
      </c>
      <c r="X9" s="28">
        <v>46191.0</v>
      </c>
      <c r="Y9" s="28"/>
      <c r="Z9" s="29"/>
      <c r="AA9" s="24" t="s">
        <v>65</v>
      </c>
      <c r="AB9" s="48" t="s">
        <v>145</v>
      </c>
      <c r="AC9" s="30">
        <v>341000.0</v>
      </c>
      <c r="AD9" s="31">
        <v>0.03</v>
      </c>
      <c r="AE9" s="32">
        <f t="shared" si="1"/>
        <v>10230</v>
      </c>
      <c r="AF9" s="33">
        <v>595.0</v>
      </c>
      <c r="AG9" s="34" t="s">
        <v>111</v>
      </c>
      <c r="AH9" s="34" t="s">
        <v>82</v>
      </c>
      <c r="AI9" s="34">
        <v>1095.0</v>
      </c>
      <c r="AJ9" s="34">
        <v>0.0</v>
      </c>
      <c r="AK9" s="34">
        <f t="shared" si="6"/>
        <v>4092</v>
      </c>
      <c r="AL9" s="36">
        <v>0.0</v>
      </c>
      <c r="AM9" s="37" t="s">
        <v>47</v>
      </c>
      <c r="AN9" s="38">
        <f t="shared" si="3"/>
        <v>7233</v>
      </c>
      <c r="AO9" s="39">
        <f t="shared" si="4"/>
        <v>3664</v>
      </c>
      <c r="AP9" s="40">
        <f t="shared" si="5"/>
        <v>3569</v>
      </c>
      <c r="AQ9" s="14"/>
      <c r="AR9" s="41"/>
      <c r="AS9" s="14"/>
      <c r="AT9" s="23"/>
      <c r="AU9" s="42"/>
      <c r="AV9" s="37" t="s">
        <v>146</v>
      </c>
      <c r="AW9" s="37" t="s">
        <v>114</v>
      </c>
      <c r="AX9" s="42"/>
      <c r="AY9" s="42"/>
      <c r="AZ9" s="42"/>
    </row>
    <row r="10">
      <c r="A10" s="23" t="s">
        <v>98</v>
      </c>
      <c r="B10" s="23" t="s">
        <v>84</v>
      </c>
      <c r="C10" s="24" t="s">
        <v>147</v>
      </c>
      <c r="D10" s="23" t="s">
        <v>148</v>
      </c>
      <c r="E10" s="23">
        <v>92882.0</v>
      </c>
      <c r="F10" s="23" t="s">
        <v>50</v>
      </c>
      <c r="G10" s="23" t="s">
        <v>149</v>
      </c>
      <c r="H10" s="23" t="s">
        <v>52</v>
      </c>
      <c r="I10" s="23" t="s">
        <v>53</v>
      </c>
      <c r="J10" s="23" t="s">
        <v>54</v>
      </c>
      <c r="K10" s="25" t="s">
        <v>150</v>
      </c>
      <c r="L10" s="26" t="s">
        <v>151</v>
      </c>
      <c r="M10" s="26" t="s">
        <v>152</v>
      </c>
      <c r="N10" s="27" t="s">
        <v>92</v>
      </c>
      <c r="O10" s="23" t="s">
        <v>153</v>
      </c>
      <c r="P10" s="23" t="s">
        <v>60</v>
      </c>
      <c r="Q10" s="23" t="s">
        <v>132</v>
      </c>
      <c r="R10" s="23" t="s">
        <v>94</v>
      </c>
      <c r="S10" s="23" t="s">
        <v>154</v>
      </c>
      <c r="T10" s="23" t="s">
        <v>155</v>
      </c>
      <c r="U10" s="23" t="s">
        <v>109</v>
      </c>
      <c r="V10" s="28">
        <v>46150.0</v>
      </c>
      <c r="W10" s="28">
        <v>46181.0</v>
      </c>
      <c r="X10" s="28">
        <v>46202.0</v>
      </c>
      <c r="Y10" s="28"/>
      <c r="Z10" s="29"/>
      <c r="AA10" s="24" t="s">
        <v>65</v>
      </c>
      <c r="AB10" s="23" t="s">
        <v>156</v>
      </c>
      <c r="AC10" s="30">
        <v>721000.0</v>
      </c>
      <c r="AD10" s="31">
        <v>0.02</v>
      </c>
      <c r="AE10" s="32">
        <f t="shared" si="1"/>
        <v>14420</v>
      </c>
      <c r="AF10" s="33">
        <v>595.0</v>
      </c>
      <c r="AG10" s="34">
        <v>0.0</v>
      </c>
      <c r="AH10" s="34" t="s">
        <v>82</v>
      </c>
      <c r="AI10" s="34">
        <v>695.0</v>
      </c>
      <c r="AJ10" s="34">
        <v>0.0</v>
      </c>
      <c r="AK10" s="34">
        <f t="shared" si="6"/>
        <v>5768</v>
      </c>
      <c r="AL10" s="36">
        <v>0.0</v>
      </c>
      <c r="AM10" s="37" t="s">
        <v>84</v>
      </c>
      <c r="AN10" s="38">
        <f t="shared" si="3"/>
        <v>9347</v>
      </c>
      <c r="AO10" s="39">
        <f t="shared" si="4"/>
        <v>4921</v>
      </c>
      <c r="AP10" s="40">
        <f t="shared" si="5"/>
        <v>4426</v>
      </c>
      <c r="AQ10" s="14"/>
      <c r="AR10" s="41"/>
      <c r="AS10" s="14"/>
      <c r="AT10" s="23" t="s">
        <v>67</v>
      </c>
      <c r="AU10" s="42"/>
      <c r="AV10" s="37" t="s">
        <v>125</v>
      </c>
      <c r="AW10" s="37" t="s">
        <v>69</v>
      </c>
      <c r="AX10" s="42"/>
      <c r="AY10" s="42"/>
      <c r="AZ10" s="42"/>
    </row>
    <row r="11">
      <c r="A11" s="23" t="s">
        <v>98</v>
      </c>
      <c r="B11" s="23" t="s">
        <v>47</v>
      </c>
      <c r="C11" s="24" t="s">
        <v>157</v>
      </c>
      <c r="D11" s="23" t="s">
        <v>158</v>
      </c>
      <c r="E11" s="23">
        <v>92530.0</v>
      </c>
      <c r="F11" s="23" t="s">
        <v>50</v>
      </c>
      <c r="G11" s="23" t="s">
        <v>159</v>
      </c>
      <c r="H11" s="23" t="s">
        <v>73</v>
      </c>
      <c r="I11" s="23" t="s">
        <v>53</v>
      </c>
      <c r="J11" s="23" t="s">
        <v>54</v>
      </c>
      <c r="K11" s="25" t="s">
        <v>160</v>
      </c>
      <c r="L11" s="26" t="s">
        <v>161</v>
      </c>
      <c r="M11" s="26" t="s">
        <v>162</v>
      </c>
      <c r="N11" s="27" t="s">
        <v>163</v>
      </c>
      <c r="O11" s="47" t="s">
        <v>143</v>
      </c>
      <c r="P11" s="23" t="s">
        <v>93</v>
      </c>
      <c r="Q11" s="23" t="s">
        <v>61</v>
      </c>
      <c r="R11" s="23" t="s">
        <v>164</v>
      </c>
      <c r="S11" s="23" t="s">
        <v>165</v>
      </c>
      <c r="T11" s="23" t="s">
        <v>166</v>
      </c>
      <c r="U11" s="23" t="s">
        <v>109</v>
      </c>
      <c r="V11" s="28">
        <v>46161.0</v>
      </c>
      <c r="W11" s="28">
        <v>46181.0</v>
      </c>
      <c r="X11" s="28">
        <v>46181.0</v>
      </c>
      <c r="Y11" s="28"/>
      <c r="Z11" s="29"/>
      <c r="AA11" s="24" t="s">
        <v>65</v>
      </c>
      <c r="AB11" s="23" t="s">
        <v>167</v>
      </c>
      <c r="AC11" s="30">
        <v>492000.0</v>
      </c>
      <c r="AD11" s="31">
        <v>0.015</v>
      </c>
      <c r="AE11" s="32">
        <f t="shared" si="1"/>
        <v>7380</v>
      </c>
      <c r="AF11" s="33">
        <v>595.0</v>
      </c>
      <c r="AG11" s="34">
        <v>0.0</v>
      </c>
      <c r="AH11" s="34" t="s">
        <v>82</v>
      </c>
      <c r="AI11" s="34">
        <v>0.0</v>
      </c>
      <c r="AJ11" s="34">
        <v>0.0</v>
      </c>
      <c r="AK11" s="34">
        <v>0.0</v>
      </c>
      <c r="AL11" s="36">
        <v>0.0</v>
      </c>
      <c r="AM11" s="37" t="s">
        <v>168</v>
      </c>
      <c r="AN11" s="38">
        <f t="shared" si="3"/>
        <v>7380</v>
      </c>
      <c r="AO11" s="39">
        <f t="shared" si="4"/>
        <v>1333</v>
      </c>
      <c r="AP11" s="40">
        <f t="shared" si="5"/>
        <v>6047</v>
      </c>
      <c r="AQ11" s="14"/>
      <c r="AR11" s="41"/>
      <c r="AS11" s="14"/>
      <c r="AT11" s="23" t="s">
        <v>67</v>
      </c>
      <c r="AU11" s="42"/>
      <c r="AV11" s="37" t="s">
        <v>125</v>
      </c>
      <c r="AW11" s="37" t="s">
        <v>69</v>
      </c>
      <c r="AX11" s="42"/>
      <c r="AY11" s="42"/>
      <c r="AZ11" s="42"/>
    </row>
    <row r="12">
      <c r="A12" s="23" t="s">
        <v>98</v>
      </c>
      <c r="B12" s="23" t="s">
        <v>47</v>
      </c>
      <c r="C12" s="24" t="s">
        <v>169</v>
      </c>
      <c r="D12" s="23" t="s">
        <v>170</v>
      </c>
      <c r="E12" s="23">
        <v>92596.0</v>
      </c>
      <c r="F12" s="23" t="s">
        <v>50</v>
      </c>
      <c r="G12" s="23" t="s">
        <v>171</v>
      </c>
      <c r="H12" s="23" t="s">
        <v>172</v>
      </c>
      <c r="I12" s="23" t="s">
        <v>53</v>
      </c>
      <c r="J12" s="23" t="s">
        <v>103</v>
      </c>
      <c r="K12" s="25" t="s">
        <v>173</v>
      </c>
      <c r="L12" s="26" t="s">
        <v>174</v>
      </c>
      <c r="M12" s="26" t="s">
        <v>175</v>
      </c>
      <c r="N12" s="27" t="s">
        <v>176</v>
      </c>
      <c r="O12" s="23" t="s">
        <v>177</v>
      </c>
      <c r="P12" s="23" t="s">
        <v>60</v>
      </c>
      <c r="Q12" s="23" t="s">
        <v>61</v>
      </c>
      <c r="R12" s="23" t="s">
        <v>178</v>
      </c>
      <c r="S12" s="23" t="s">
        <v>179</v>
      </c>
      <c r="T12" s="23" t="s">
        <v>180</v>
      </c>
      <c r="U12" s="23" t="s">
        <v>109</v>
      </c>
      <c r="V12" s="28">
        <v>46154.0</v>
      </c>
      <c r="W12" s="28">
        <v>46184.0</v>
      </c>
      <c r="X12" s="28">
        <v>46184.0</v>
      </c>
      <c r="Y12" s="28"/>
      <c r="Z12" s="29"/>
      <c r="AA12" s="24" t="s">
        <v>65</v>
      </c>
      <c r="AB12" s="23" t="s">
        <v>66</v>
      </c>
      <c r="AC12" s="30">
        <v>870000.0</v>
      </c>
      <c r="AD12" s="31">
        <v>0.025</v>
      </c>
      <c r="AE12" s="32">
        <f t="shared" si="1"/>
        <v>21750</v>
      </c>
      <c r="AF12" s="33">
        <v>595.0</v>
      </c>
      <c r="AG12" s="34">
        <v>500.0</v>
      </c>
      <c r="AH12" s="34" t="s">
        <v>82</v>
      </c>
      <c r="AI12" s="34">
        <v>1095.0</v>
      </c>
      <c r="AJ12" s="34">
        <v>0.0</v>
      </c>
      <c r="AK12" s="34">
        <f t="shared" ref="AK12:AK13" si="7">AE12*0.4</f>
        <v>8700</v>
      </c>
      <c r="AL12" s="36">
        <v>0.0</v>
      </c>
      <c r="AM12" s="37" t="s">
        <v>47</v>
      </c>
      <c r="AN12" s="38">
        <f t="shared" si="3"/>
        <v>14145</v>
      </c>
      <c r="AO12" s="39">
        <f t="shared" si="4"/>
        <v>7120</v>
      </c>
      <c r="AP12" s="40">
        <f t="shared" si="5"/>
        <v>6525</v>
      </c>
      <c r="AQ12" s="14"/>
      <c r="AR12" s="41"/>
      <c r="AS12" s="14"/>
      <c r="AT12" s="23"/>
      <c r="AU12" s="42"/>
      <c r="AV12" s="37" t="s">
        <v>181</v>
      </c>
      <c r="AW12" s="37" t="s">
        <v>69</v>
      </c>
      <c r="AX12" s="42"/>
      <c r="AY12" s="42"/>
      <c r="AZ12" s="42"/>
    </row>
    <row r="13">
      <c r="A13" s="23" t="s">
        <v>98</v>
      </c>
      <c r="B13" s="23" t="s">
        <v>84</v>
      </c>
      <c r="C13" s="24" t="s">
        <v>182</v>
      </c>
      <c r="D13" s="23" t="s">
        <v>183</v>
      </c>
      <c r="E13" s="23">
        <v>92553.0</v>
      </c>
      <c r="F13" s="23" t="s">
        <v>50</v>
      </c>
      <c r="G13" s="23" t="s">
        <v>184</v>
      </c>
      <c r="H13" s="23" t="s">
        <v>73</v>
      </c>
      <c r="I13" s="23" t="s">
        <v>53</v>
      </c>
      <c r="J13" s="23" t="s">
        <v>185</v>
      </c>
      <c r="K13" s="25" t="s">
        <v>186</v>
      </c>
      <c r="L13" s="26" t="s">
        <v>187</v>
      </c>
      <c r="M13" s="26" t="s">
        <v>188</v>
      </c>
      <c r="N13" s="27" t="s">
        <v>92</v>
      </c>
      <c r="O13" s="23" t="s">
        <v>189</v>
      </c>
      <c r="P13" s="23" t="s">
        <v>60</v>
      </c>
      <c r="Q13" s="23" t="s">
        <v>132</v>
      </c>
      <c r="R13" s="23" t="s">
        <v>94</v>
      </c>
      <c r="S13" s="23" t="s">
        <v>190</v>
      </c>
      <c r="T13" s="23" t="s">
        <v>191</v>
      </c>
      <c r="U13" s="23" t="s">
        <v>109</v>
      </c>
      <c r="V13" s="28">
        <v>46157.0</v>
      </c>
      <c r="W13" s="28">
        <v>46188.0</v>
      </c>
      <c r="X13" s="28">
        <v>46188.0</v>
      </c>
      <c r="Y13" s="28"/>
      <c r="Z13" s="29"/>
      <c r="AA13" s="24" t="s">
        <v>65</v>
      </c>
      <c r="AB13" s="23" t="s">
        <v>110</v>
      </c>
      <c r="AC13" s="30">
        <v>695000.0</v>
      </c>
      <c r="AD13" s="31">
        <v>0.025</v>
      </c>
      <c r="AE13" s="32">
        <f t="shared" si="1"/>
        <v>17375</v>
      </c>
      <c r="AF13" s="33">
        <v>595.0</v>
      </c>
      <c r="AG13" s="34">
        <v>0.0</v>
      </c>
      <c r="AH13" s="34">
        <v>0.0</v>
      </c>
      <c r="AI13" s="34">
        <v>0.0</v>
      </c>
      <c r="AJ13" s="34">
        <v>0.0</v>
      </c>
      <c r="AK13" s="34">
        <f t="shared" si="7"/>
        <v>6950</v>
      </c>
      <c r="AL13" s="36">
        <v>0.0</v>
      </c>
      <c r="AM13" s="37" t="s">
        <v>84</v>
      </c>
      <c r="AN13" s="38">
        <f t="shared" si="3"/>
        <v>10425</v>
      </c>
      <c r="AO13" s="39">
        <f t="shared" si="4"/>
        <v>5807.5</v>
      </c>
      <c r="AP13" s="40">
        <f t="shared" si="5"/>
        <v>4617.5</v>
      </c>
      <c r="AQ13" s="14"/>
      <c r="AR13" s="41"/>
      <c r="AS13" s="14"/>
      <c r="AT13" s="23"/>
      <c r="AU13" s="42"/>
      <c r="AV13" s="37" t="s">
        <v>181</v>
      </c>
      <c r="AW13" s="37" t="s">
        <v>69</v>
      </c>
      <c r="AX13" s="42"/>
      <c r="AY13" s="42"/>
      <c r="AZ13" s="42"/>
    </row>
    <row r="14">
      <c r="A14" s="23" t="s">
        <v>98</v>
      </c>
      <c r="B14" s="23" t="s">
        <v>84</v>
      </c>
      <c r="C14" s="24" t="s">
        <v>192</v>
      </c>
      <c r="D14" s="23" t="s">
        <v>100</v>
      </c>
      <c r="E14" s="23">
        <v>92395.0</v>
      </c>
      <c r="F14" s="23" t="s">
        <v>101</v>
      </c>
      <c r="G14" s="23" t="s">
        <v>171</v>
      </c>
      <c r="H14" s="23" t="s">
        <v>172</v>
      </c>
      <c r="I14" s="23" t="s">
        <v>53</v>
      </c>
      <c r="J14" s="23" t="s">
        <v>185</v>
      </c>
      <c r="K14" s="25" t="s">
        <v>193</v>
      </c>
      <c r="L14" s="26" t="s">
        <v>194</v>
      </c>
      <c r="M14" s="26" t="s">
        <v>195</v>
      </c>
      <c r="N14" s="27" t="s">
        <v>92</v>
      </c>
      <c r="O14" s="23" t="s">
        <v>196</v>
      </c>
      <c r="P14" s="23" t="s">
        <v>197</v>
      </c>
      <c r="Q14" s="23" t="s">
        <v>198</v>
      </c>
      <c r="R14" s="23" t="s">
        <v>94</v>
      </c>
      <c r="S14" s="23" t="s">
        <v>199</v>
      </c>
      <c r="T14" s="23" t="s">
        <v>200</v>
      </c>
      <c r="U14" s="23" t="s">
        <v>109</v>
      </c>
      <c r="V14" s="28">
        <v>46157.0</v>
      </c>
      <c r="W14" s="28">
        <v>46188.0</v>
      </c>
      <c r="X14" s="28">
        <v>46188.0</v>
      </c>
      <c r="Y14" s="28"/>
      <c r="Z14" s="29"/>
      <c r="AA14" s="24" t="s">
        <v>65</v>
      </c>
      <c r="AB14" s="48" t="s">
        <v>201</v>
      </c>
      <c r="AC14" s="30">
        <v>370000.0</v>
      </c>
      <c r="AD14" s="31">
        <v>0.04</v>
      </c>
      <c r="AE14" s="32">
        <f t="shared" si="1"/>
        <v>14800</v>
      </c>
      <c r="AF14" s="33">
        <v>595.0</v>
      </c>
      <c r="AG14" s="34">
        <v>0.0</v>
      </c>
      <c r="AH14" s="34" t="s">
        <v>82</v>
      </c>
      <c r="AI14" s="34">
        <v>0.0</v>
      </c>
      <c r="AJ14" s="34">
        <v>0.0</v>
      </c>
      <c r="AK14" s="34">
        <v>0.0</v>
      </c>
      <c r="AL14" s="36">
        <v>0.0</v>
      </c>
      <c r="AM14" s="37" t="s">
        <v>202</v>
      </c>
      <c r="AN14" s="38">
        <f t="shared" si="3"/>
        <v>14800</v>
      </c>
      <c r="AO14" s="39">
        <f t="shared" si="4"/>
        <v>5035</v>
      </c>
      <c r="AP14" s="40">
        <f t="shared" si="5"/>
        <v>9765</v>
      </c>
      <c r="AQ14" s="14"/>
      <c r="AR14" s="41" t="s">
        <v>203</v>
      </c>
      <c r="AS14" s="14"/>
      <c r="AT14" s="23"/>
      <c r="AU14" s="42"/>
      <c r="AV14" s="37" t="s">
        <v>181</v>
      </c>
      <c r="AW14" s="37" t="s">
        <v>69</v>
      </c>
      <c r="AX14" s="42"/>
      <c r="AY14" s="42"/>
      <c r="AZ14" s="42"/>
    </row>
    <row r="15">
      <c r="A15" s="23" t="s">
        <v>98</v>
      </c>
      <c r="B15" s="23" t="s">
        <v>47</v>
      </c>
      <c r="C15" s="24" t="s">
        <v>204</v>
      </c>
      <c r="D15" s="23" t="s">
        <v>49</v>
      </c>
      <c r="E15" s="23">
        <v>92584.0</v>
      </c>
      <c r="F15" s="23" t="s">
        <v>50</v>
      </c>
      <c r="G15" s="23" t="s">
        <v>117</v>
      </c>
      <c r="H15" s="23" t="s">
        <v>52</v>
      </c>
      <c r="I15" s="23" t="s">
        <v>53</v>
      </c>
      <c r="J15" s="23" t="s">
        <v>103</v>
      </c>
      <c r="K15" s="25" t="s">
        <v>205</v>
      </c>
      <c r="L15" s="26" t="s">
        <v>206</v>
      </c>
      <c r="M15" s="26" t="s">
        <v>207</v>
      </c>
      <c r="N15" s="27" t="s">
        <v>208</v>
      </c>
      <c r="O15" s="23" t="s">
        <v>209</v>
      </c>
      <c r="P15" s="23" t="s">
        <v>60</v>
      </c>
      <c r="Q15" s="23" t="s">
        <v>61</v>
      </c>
      <c r="R15" s="23"/>
      <c r="S15" s="23" t="s">
        <v>210</v>
      </c>
      <c r="T15" s="23" t="s">
        <v>211</v>
      </c>
      <c r="U15" s="23" t="s">
        <v>109</v>
      </c>
      <c r="V15" s="28">
        <v>46163.0</v>
      </c>
      <c r="W15" s="28">
        <v>46188.0</v>
      </c>
      <c r="X15" s="28">
        <v>46188.0</v>
      </c>
      <c r="Y15" s="28"/>
      <c r="Z15" s="29"/>
      <c r="AA15" s="24" t="s">
        <v>65</v>
      </c>
      <c r="AB15" s="23" t="s">
        <v>167</v>
      </c>
      <c r="AC15" s="30">
        <v>510000.0</v>
      </c>
      <c r="AD15" s="31">
        <v>0.025</v>
      </c>
      <c r="AE15" s="32">
        <f t="shared" si="1"/>
        <v>12750</v>
      </c>
      <c r="AF15" s="33">
        <v>595.0</v>
      </c>
      <c r="AG15" s="34">
        <v>500.0</v>
      </c>
      <c r="AH15" s="34" t="s">
        <v>82</v>
      </c>
      <c r="AI15" s="34">
        <v>0.0</v>
      </c>
      <c r="AJ15" s="34">
        <v>0.0</v>
      </c>
      <c r="AK15" s="34">
        <v>0.0</v>
      </c>
      <c r="AL15" s="36">
        <v>0.0</v>
      </c>
      <c r="AM15" s="37" t="s">
        <v>212</v>
      </c>
      <c r="AN15" s="38">
        <f t="shared" si="3"/>
        <v>12750</v>
      </c>
      <c r="AO15" s="39">
        <f t="shared" si="4"/>
        <v>3145</v>
      </c>
      <c r="AP15" s="40">
        <f t="shared" si="5"/>
        <v>9105</v>
      </c>
      <c r="AQ15" s="14"/>
      <c r="AR15" s="41"/>
      <c r="AS15" s="14"/>
      <c r="AT15" s="23"/>
      <c r="AU15" s="42"/>
      <c r="AV15" s="37" t="s">
        <v>181</v>
      </c>
      <c r="AW15" s="37" t="s">
        <v>69</v>
      </c>
      <c r="AX15" s="42"/>
      <c r="AY15" s="42"/>
      <c r="AZ15" s="42"/>
    </row>
    <row r="16">
      <c r="A16" s="23" t="s">
        <v>98</v>
      </c>
      <c r="B16" s="23" t="s">
        <v>47</v>
      </c>
      <c r="C16" s="24" t="s">
        <v>213</v>
      </c>
      <c r="D16" s="23" t="s">
        <v>86</v>
      </c>
      <c r="E16" s="23">
        <v>92057.0</v>
      </c>
      <c r="F16" s="23" t="s">
        <v>87</v>
      </c>
      <c r="G16" s="23" t="s">
        <v>214</v>
      </c>
      <c r="H16" s="23" t="s">
        <v>172</v>
      </c>
      <c r="I16" s="23" t="s">
        <v>215</v>
      </c>
      <c r="J16" s="23" t="s">
        <v>54</v>
      </c>
      <c r="K16" s="25" t="s">
        <v>216</v>
      </c>
      <c r="L16" s="26" t="s">
        <v>217</v>
      </c>
      <c r="M16" s="26" t="s">
        <v>218</v>
      </c>
      <c r="N16" s="27" t="s">
        <v>219</v>
      </c>
      <c r="O16" s="23" t="s">
        <v>59</v>
      </c>
      <c r="P16" s="23" t="s">
        <v>60</v>
      </c>
      <c r="Q16" s="23" t="s">
        <v>61</v>
      </c>
      <c r="R16" s="23" t="s">
        <v>220</v>
      </c>
      <c r="S16" s="23" t="s">
        <v>221</v>
      </c>
      <c r="T16" s="23" t="s">
        <v>222</v>
      </c>
      <c r="U16" s="23" t="s">
        <v>109</v>
      </c>
      <c r="V16" s="28">
        <v>46142.0</v>
      </c>
      <c r="W16" s="28">
        <v>46174.0</v>
      </c>
      <c r="X16" s="28">
        <v>46190.0</v>
      </c>
      <c r="Y16" s="28"/>
      <c r="Z16" s="29"/>
      <c r="AA16" s="24" t="s">
        <v>65</v>
      </c>
      <c r="AB16" s="23" t="s">
        <v>66</v>
      </c>
      <c r="AC16" s="30">
        <v>463000.0</v>
      </c>
      <c r="AD16" s="31">
        <v>0.025</v>
      </c>
      <c r="AE16" s="32">
        <f t="shared" si="1"/>
        <v>11575</v>
      </c>
      <c r="AF16" s="33">
        <v>595.0</v>
      </c>
      <c r="AG16" s="34">
        <v>500.0</v>
      </c>
      <c r="AH16" s="34" t="s">
        <v>82</v>
      </c>
      <c r="AI16" s="34">
        <v>1095.0</v>
      </c>
      <c r="AJ16" s="34">
        <v>0.0</v>
      </c>
      <c r="AK16" s="34">
        <f>AE16*0.4</f>
        <v>4630</v>
      </c>
      <c r="AL16" s="36">
        <v>0.0</v>
      </c>
      <c r="AM16" s="37" t="s">
        <v>47</v>
      </c>
      <c r="AN16" s="38">
        <f t="shared" si="3"/>
        <v>8040</v>
      </c>
      <c r="AO16" s="39">
        <f t="shared" si="4"/>
        <v>4067.5</v>
      </c>
      <c r="AP16" s="40">
        <f t="shared" si="5"/>
        <v>3472.5</v>
      </c>
      <c r="AQ16" s="14"/>
      <c r="AR16" s="41"/>
      <c r="AS16" s="14"/>
      <c r="AT16" s="23"/>
      <c r="AU16" s="42"/>
      <c r="AV16" s="23" t="s">
        <v>223</v>
      </c>
      <c r="AW16" s="23" t="s">
        <v>69</v>
      </c>
      <c r="AX16" s="42"/>
      <c r="AY16" s="42"/>
      <c r="AZ16" s="42"/>
    </row>
    <row r="17">
      <c r="A17" s="23" t="s">
        <v>98</v>
      </c>
      <c r="B17" s="23" t="s">
        <v>47</v>
      </c>
      <c r="C17" s="24" t="s">
        <v>224</v>
      </c>
      <c r="D17" s="23" t="s">
        <v>225</v>
      </c>
      <c r="E17" s="23">
        <v>92078.0</v>
      </c>
      <c r="F17" s="23" t="s">
        <v>87</v>
      </c>
      <c r="G17" s="23" t="s">
        <v>226</v>
      </c>
      <c r="H17" s="23" t="s">
        <v>172</v>
      </c>
      <c r="I17" s="23" t="s">
        <v>53</v>
      </c>
      <c r="J17" s="23" t="s">
        <v>54</v>
      </c>
      <c r="K17" s="25" t="s">
        <v>227</v>
      </c>
      <c r="L17" s="26" t="s">
        <v>228</v>
      </c>
      <c r="M17" s="26" t="s">
        <v>229</v>
      </c>
      <c r="N17" s="27" t="s">
        <v>230</v>
      </c>
      <c r="O17" s="47" t="s">
        <v>143</v>
      </c>
      <c r="P17" s="23" t="s">
        <v>60</v>
      </c>
      <c r="Q17" s="23" t="s">
        <v>61</v>
      </c>
      <c r="R17" s="23" t="s">
        <v>79</v>
      </c>
      <c r="S17" s="23" t="s">
        <v>231</v>
      </c>
      <c r="T17" s="23" t="s">
        <v>232</v>
      </c>
      <c r="U17" s="23" t="s">
        <v>109</v>
      </c>
      <c r="V17" s="28">
        <v>46125.0</v>
      </c>
      <c r="W17" s="28">
        <v>46203.0</v>
      </c>
      <c r="X17" s="28">
        <v>46191.0</v>
      </c>
      <c r="Y17" s="28"/>
      <c r="Z17" s="29"/>
      <c r="AA17" s="24" t="s">
        <v>65</v>
      </c>
      <c r="AB17" s="23" t="s">
        <v>66</v>
      </c>
      <c r="AC17" s="30">
        <v>1840000.0</v>
      </c>
      <c r="AD17" s="31">
        <v>0.025</v>
      </c>
      <c r="AE17" s="32">
        <f t="shared" si="1"/>
        <v>46000</v>
      </c>
      <c r="AF17" s="33">
        <v>595.0</v>
      </c>
      <c r="AG17" s="34">
        <v>500.0</v>
      </c>
      <c r="AH17" s="34" t="s">
        <v>82</v>
      </c>
      <c r="AI17" s="34">
        <v>1095.0</v>
      </c>
      <c r="AJ17" s="34">
        <v>0.0</v>
      </c>
      <c r="AK17" s="35">
        <f>sum(AE17,-AJ17)*0.4</f>
        <v>18400</v>
      </c>
      <c r="AL17" s="36">
        <v>0.0</v>
      </c>
      <c r="AM17" s="37" t="s">
        <v>47</v>
      </c>
      <c r="AN17" s="38">
        <f t="shared" si="3"/>
        <v>28695</v>
      </c>
      <c r="AO17" s="39">
        <f t="shared" si="4"/>
        <v>14395</v>
      </c>
      <c r="AP17" s="40">
        <f t="shared" si="5"/>
        <v>13800</v>
      </c>
      <c r="AQ17" s="14"/>
      <c r="AR17" s="41"/>
      <c r="AS17" s="14"/>
      <c r="AT17" s="23" t="s">
        <v>67</v>
      </c>
      <c r="AU17" s="42"/>
      <c r="AV17" s="23" t="s">
        <v>233</v>
      </c>
      <c r="AW17" s="23" t="s">
        <v>69</v>
      </c>
      <c r="AX17" s="42"/>
      <c r="AY17" s="42"/>
      <c r="AZ17" s="42"/>
    </row>
    <row r="18">
      <c r="A18" s="23" t="s">
        <v>98</v>
      </c>
      <c r="B18" s="23" t="s">
        <v>47</v>
      </c>
      <c r="C18" s="24" t="s">
        <v>234</v>
      </c>
      <c r="D18" s="23" t="s">
        <v>235</v>
      </c>
      <c r="E18" s="23">
        <v>92025.0</v>
      </c>
      <c r="F18" s="23" t="s">
        <v>87</v>
      </c>
      <c r="G18" s="23" t="s">
        <v>226</v>
      </c>
      <c r="H18" s="23" t="s">
        <v>172</v>
      </c>
      <c r="I18" s="23" t="s">
        <v>53</v>
      </c>
      <c r="J18" s="23" t="s">
        <v>54</v>
      </c>
      <c r="K18" s="25" t="s">
        <v>236</v>
      </c>
      <c r="L18" s="26" t="s">
        <v>237</v>
      </c>
      <c r="M18" s="26" t="s">
        <v>238</v>
      </c>
      <c r="N18" s="27" t="s">
        <v>239</v>
      </c>
      <c r="O18" s="23" t="s">
        <v>240</v>
      </c>
      <c r="P18" s="23" t="s">
        <v>60</v>
      </c>
      <c r="Q18" s="23" t="s">
        <v>61</v>
      </c>
      <c r="R18" s="23" t="s">
        <v>178</v>
      </c>
      <c r="S18" s="23" t="s">
        <v>241</v>
      </c>
      <c r="T18" s="23" t="s">
        <v>242</v>
      </c>
      <c r="U18" s="23" t="s">
        <v>109</v>
      </c>
      <c r="V18" s="28">
        <v>46159.0</v>
      </c>
      <c r="W18" s="28">
        <v>46191.0</v>
      </c>
      <c r="X18" s="28">
        <v>46191.0</v>
      </c>
      <c r="Y18" s="28"/>
      <c r="Z18" s="29"/>
      <c r="AA18" s="24" t="s">
        <v>65</v>
      </c>
      <c r="AB18" s="23" t="s">
        <v>66</v>
      </c>
      <c r="AC18" s="30">
        <v>880000.0</v>
      </c>
      <c r="AD18" s="31">
        <v>0.03</v>
      </c>
      <c r="AE18" s="32">
        <f t="shared" si="1"/>
        <v>26400</v>
      </c>
      <c r="AF18" s="33">
        <v>595.0</v>
      </c>
      <c r="AG18" s="34">
        <v>500.0</v>
      </c>
      <c r="AH18" s="34" t="s">
        <v>82</v>
      </c>
      <c r="AI18" s="34">
        <v>1095.0</v>
      </c>
      <c r="AJ18" s="34">
        <v>0.0</v>
      </c>
      <c r="AK18" s="34">
        <f t="shared" ref="AK18:AK19" si="8">AE18*0.4</f>
        <v>10560</v>
      </c>
      <c r="AL18" s="36">
        <v>0.0</v>
      </c>
      <c r="AM18" s="37" t="s">
        <v>47</v>
      </c>
      <c r="AN18" s="38">
        <f t="shared" si="3"/>
        <v>16935</v>
      </c>
      <c r="AO18" s="39">
        <f t="shared" si="4"/>
        <v>8515</v>
      </c>
      <c r="AP18" s="40">
        <f t="shared" si="5"/>
        <v>7920</v>
      </c>
      <c r="AQ18" s="14"/>
      <c r="AR18" s="41"/>
      <c r="AS18" s="14"/>
      <c r="AT18" s="23" t="s">
        <v>67</v>
      </c>
      <c r="AU18" s="42"/>
      <c r="AV18" s="23" t="s">
        <v>233</v>
      </c>
      <c r="AW18" s="23" t="s">
        <v>69</v>
      </c>
      <c r="AX18" s="42"/>
      <c r="AY18" s="42"/>
      <c r="AZ18" s="42"/>
    </row>
    <row r="19">
      <c r="A19" s="23" t="s">
        <v>98</v>
      </c>
      <c r="B19" s="23" t="s">
        <v>47</v>
      </c>
      <c r="C19" s="24" t="s">
        <v>243</v>
      </c>
      <c r="D19" s="23" t="s">
        <v>158</v>
      </c>
      <c r="E19" s="23">
        <v>92530.0</v>
      </c>
      <c r="F19" s="23" t="s">
        <v>50</v>
      </c>
      <c r="G19" s="23" t="s">
        <v>226</v>
      </c>
      <c r="H19" s="23" t="s">
        <v>172</v>
      </c>
      <c r="I19" s="23" t="s">
        <v>53</v>
      </c>
      <c r="J19" s="23" t="s">
        <v>54</v>
      </c>
      <c r="K19" s="25" t="s">
        <v>244</v>
      </c>
      <c r="L19" s="26" t="s">
        <v>245</v>
      </c>
      <c r="M19" s="26" t="s">
        <v>246</v>
      </c>
      <c r="N19" s="27" t="s">
        <v>247</v>
      </c>
      <c r="O19" s="23" t="s">
        <v>248</v>
      </c>
      <c r="P19" s="23" t="s">
        <v>249</v>
      </c>
      <c r="Q19" s="23" t="s">
        <v>61</v>
      </c>
      <c r="R19" s="23" t="s">
        <v>164</v>
      </c>
      <c r="S19" s="23" t="s">
        <v>250</v>
      </c>
      <c r="T19" s="23" t="s">
        <v>251</v>
      </c>
      <c r="U19" s="23" t="s">
        <v>109</v>
      </c>
      <c r="V19" s="28">
        <v>46163.0</v>
      </c>
      <c r="W19" s="28">
        <v>46195.0</v>
      </c>
      <c r="X19" s="28">
        <v>46195.0</v>
      </c>
      <c r="Y19" s="28"/>
      <c r="Z19" s="29"/>
      <c r="AA19" s="24" t="s">
        <v>65</v>
      </c>
      <c r="AB19" s="23" t="s">
        <v>66</v>
      </c>
      <c r="AC19" s="30">
        <v>566000.0</v>
      </c>
      <c r="AD19" s="31">
        <v>0.03</v>
      </c>
      <c r="AE19" s="32">
        <f t="shared" si="1"/>
        <v>16980</v>
      </c>
      <c r="AF19" s="33">
        <v>595.0</v>
      </c>
      <c r="AG19" s="34">
        <v>500.0</v>
      </c>
      <c r="AH19" s="34" t="s">
        <v>82</v>
      </c>
      <c r="AI19" s="34">
        <v>1095.0</v>
      </c>
      <c r="AJ19" s="34">
        <v>0.0</v>
      </c>
      <c r="AK19" s="34">
        <f t="shared" si="8"/>
        <v>6792</v>
      </c>
      <c r="AL19" s="36">
        <v>0.0</v>
      </c>
      <c r="AM19" s="37" t="s">
        <v>47</v>
      </c>
      <c r="AN19" s="38">
        <f t="shared" si="3"/>
        <v>11283</v>
      </c>
      <c r="AO19" s="39">
        <f t="shared" si="4"/>
        <v>5689</v>
      </c>
      <c r="AP19" s="40">
        <f t="shared" si="5"/>
        <v>5094</v>
      </c>
      <c r="AQ19" s="14"/>
      <c r="AR19" s="41"/>
      <c r="AS19" s="14"/>
      <c r="AT19" s="23" t="s">
        <v>67</v>
      </c>
      <c r="AU19" s="42"/>
      <c r="AV19" s="37" t="s">
        <v>252</v>
      </c>
      <c r="AW19" s="23" t="s">
        <v>69</v>
      </c>
      <c r="AX19" s="42"/>
      <c r="AY19" s="42"/>
      <c r="AZ19" s="42"/>
    </row>
    <row r="20">
      <c r="A20" s="23" t="s">
        <v>98</v>
      </c>
      <c r="B20" s="23" t="s">
        <v>84</v>
      </c>
      <c r="C20" s="24" t="s">
        <v>253</v>
      </c>
      <c r="D20" s="23" t="s">
        <v>254</v>
      </c>
      <c r="E20" s="23">
        <v>92056.0</v>
      </c>
      <c r="F20" s="23" t="s">
        <v>87</v>
      </c>
      <c r="G20" s="23" t="s">
        <v>255</v>
      </c>
      <c r="H20" s="23" t="s">
        <v>256</v>
      </c>
      <c r="I20" s="23" t="s">
        <v>53</v>
      </c>
      <c r="J20" s="23" t="s">
        <v>103</v>
      </c>
      <c r="K20" s="25" t="s">
        <v>257</v>
      </c>
      <c r="L20" s="49" t="s">
        <v>258</v>
      </c>
      <c r="M20" s="49" t="s">
        <v>259</v>
      </c>
      <c r="N20" s="27" t="s">
        <v>92</v>
      </c>
      <c r="O20" s="47" t="s">
        <v>143</v>
      </c>
      <c r="P20" s="23" t="s">
        <v>60</v>
      </c>
      <c r="Q20" s="23" t="s">
        <v>61</v>
      </c>
      <c r="R20" s="23" t="s">
        <v>94</v>
      </c>
      <c r="S20" s="23" t="s">
        <v>260</v>
      </c>
      <c r="T20" s="23" t="s">
        <v>261</v>
      </c>
      <c r="U20" s="23" t="s">
        <v>109</v>
      </c>
      <c r="V20" s="28">
        <v>46173.0</v>
      </c>
      <c r="W20" s="28">
        <v>46195.0</v>
      </c>
      <c r="X20" s="28">
        <v>46195.0</v>
      </c>
      <c r="Y20" s="28"/>
      <c r="Z20" s="29"/>
      <c r="AA20" s="24" t="s">
        <v>65</v>
      </c>
      <c r="AB20" s="23" t="s">
        <v>262</v>
      </c>
      <c r="AC20" s="30">
        <v>600000.0</v>
      </c>
      <c r="AD20" s="31">
        <v>0.04</v>
      </c>
      <c r="AE20" s="32">
        <f t="shared" si="1"/>
        <v>24000</v>
      </c>
      <c r="AF20" s="33">
        <v>595.0</v>
      </c>
      <c r="AG20" s="34">
        <v>0.0</v>
      </c>
      <c r="AH20" s="34" t="s">
        <v>82</v>
      </c>
      <c r="AI20" s="34">
        <v>695.0</v>
      </c>
      <c r="AJ20" s="34">
        <v>0.0</v>
      </c>
      <c r="AK20" s="34">
        <v>0.0</v>
      </c>
      <c r="AL20" s="36">
        <v>0.0</v>
      </c>
      <c r="AM20" s="37" t="s">
        <v>168</v>
      </c>
      <c r="AN20" s="38">
        <f t="shared" si="3"/>
        <v>24695</v>
      </c>
      <c r="AO20" s="39">
        <f t="shared" si="4"/>
        <v>2995</v>
      </c>
      <c r="AP20" s="40">
        <f t="shared" si="5"/>
        <v>21700</v>
      </c>
      <c r="AQ20" s="14"/>
      <c r="AR20" s="41"/>
      <c r="AS20" s="14"/>
      <c r="AT20" s="23"/>
      <c r="AU20" s="42"/>
      <c r="AV20" s="37" t="s">
        <v>252</v>
      </c>
      <c r="AW20" s="23" t="s">
        <v>69</v>
      </c>
      <c r="AX20" s="42"/>
      <c r="AY20" s="42"/>
      <c r="AZ20" s="42"/>
    </row>
    <row r="21">
      <c r="A21" s="23" t="s">
        <v>98</v>
      </c>
      <c r="B21" s="23" t="s">
        <v>84</v>
      </c>
      <c r="C21" s="24" t="s">
        <v>263</v>
      </c>
      <c r="D21" s="23" t="s">
        <v>49</v>
      </c>
      <c r="E21" s="23">
        <v>92586.0</v>
      </c>
      <c r="F21" s="23" t="s">
        <v>50</v>
      </c>
      <c r="G21" s="23" t="s">
        <v>102</v>
      </c>
      <c r="H21" s="23" t="s">
        <v>73</v>
      </c>
      <c r="I21" s="23" t="s">
        <v>89</v>
      </c>
      <c r="J21" s="23" t="s">
        <v>103</v>
      </c>
      <c r="K21" s="49" t="s">
        <v>264</v>
      </c>
      <c r="L21" s="49" t="s">
        <v>265</v>
      </c>
      <c r="M21" s="49" t="s">
        <v>266</v>
      </c>
      <c r="N21" s="27" t="s">
        <v>92</v>
      </c>
      <c r="O21" s="47" t="s">
        <v>143</v>
      </c>
      <c r="P21" s="23" t="s">
        <v>93</v>
      </c>
      <c r="Q21" s="23" t="s">
        <v>132</v>
      </c>
      <c r="R21" s="23" t="s">
        <v>94</v>
      </c>
      <c r="S21" s="23" t="s">
        <v>267</v>
      </c>
      <c r="T21" s="23" t="s">
        <v>268</v>
      </c>
      <c r="U21" s="23" t="s">
        <v>109</v>
      </c>
      <c r="V21" s="28">
        <v>46167.0</v>
      </c>
      <c r="W21" s="28">
        <v>46196.0</v>
      </c>
      <c r="X21" s="28">
        <v>46196.0</v>
      </c>
      <c r="Y21" s="28"/>
      <c r="Z21" s="29"/>
      <c r="AA21" s="24" t="s">
        <v>124</v>
      </c>
      <c r="AB21" s="23" t="s">
        <v>145</v>
      </c>
      <c r="AC21" s="30">
        <v>130000.0</v>
      </c>
      <c r="AD21" s="31">
        <v>0.04</v>
      </c>
      <c r="AE21" s="32">
        <f t="shared" si="1"/>
        <v>5200</v>
      </c>
      <c r="AF21" s="33">
        <v>595.0</v>
      </c>
      <c r="AG21" s="34">
        <v>0.0</v>
      </c>
      <c r="AH21" s="34" t="s">
        <v>82</v>
      </c>
      <c r="AI21" s="34">
        <v>1250.0</v>
      </c>
      <c r="AJ21" s="34">
        <v>0.0</v>
      </c>
      <c r="AK21" s="34">
        <f>AE21*0.4</f>
        <v>2080</v>
      </c>
      <c r="AL21" s="36">
        <v>0.0</v>
      </c>
      <c r="AM21" s="37" t="s">
        <v>84</v>
      </c>
      <c r="AN21" s="38">
        <f t="shared" si="3"/>
        <v>4370</v>
      </c>
      <c r="AO21" s="39">
        <f t="shared" si="4"/>
        <v>2155</v>
      </c>
      <c r="AP21" s="40">
        <f t="shared" si="5"/>
        <v>2215</v>
      </c>
      <c r="AQ21" s="14"/>
      <c r="AR21" s="41"/>
      <c r="AS21" s="14"/>
      <c r="AT21" s="23"/>
      <c r="AU21" s="42"/>
      <c r="AV21" s="37" t="s">
        <v>252</v>
      </c>
      <c r="AW21" s="23" t="s">
        <v>69</v>
      </c>
      <c r="AX21" s="42"/>
      <c r="AY21" s="42"/>
      <c r="AZ21" s="42"/>
    </row>
    <row r="22">
      <c r="A22" s="23" t="s">
        <v>98</v>
      </c>
      <c r="B22" s="23" t="s">
        <v>84</v>
      </c>
      <c r="C22" s="24" t="s">
        <v>269</v>
      </c>
      <c r="D22" s="23" t="s">
        <v>270</v>
      </c>
      <c r="E22" s="23">
        <v>91941.0</v>
      </c>
      <c r="F22" s="23" t="s">
        <v>87</v>
      </c>
      <c r="G22" s="23" t="s">
        <v>184</v>
      </c>
      <c r="H22" s="23" t="s">
        <v>73</v>
      </c>
      <c r="I22" s="23" t="s">
        <v>53</v>
      </c>
      <c r="J22" s="37" t="s">
        <v>185</v>
      </c>
      <c r="K22" s="25" t="s">
        <v>271</v>
      </c>
      <c r="L22" s="26" t="s">
        <v>272</v>
      </c>
      <c r="M22" s="26" t="s">
        <v>273</v>
      </c>
      <c r="N22" s="27" t="s">
        <v>92</v>
      </c>
      <c r="O22" s="23" t="s">
        <v>274</v>
      </c>
      <c r="P22" s="23" t="s">
        <v>60</v>
      </c>
      <c r="Q22" s="23" t="s">
        <v>132</v>
      </c>
      <c r="R22" s="23" t="s">
        <v>94</v>
      </c>
      <c r="S22" s="23" t="s">
        <v>275</v>
      </c>
      <c r="T22" s="23" t="s">
        <v>276</v>
      </c>
      <c r="U22" s="23" t="s">
        <v>109</v>
      </c>
      <c r="V22" s="28">
        <v>46176.0</v>
      </c>
      <c r="W22" s="28">
        <v>46197.0</v>
      </c>
      <c r="X22" s="28">
        <v>46197.0</v>
      </c>
      <c r="Y22" s="28"/>
      <c r="Z22" s="29"/>
      <c r="AA22" s="24" t="s">
        <v>65</v>
      </c>
      <c r="AB22" s="23" t="s">
        <v>167</v>
      </c>
      <c r="AC22" s="30">
        <v>1075000.0</v>
      </c>
      <c r="AD22" s="31">
        <v>0.025</v>
      </c>
      <c r="AE22" s="32">
        <f t="shared" si="1"/>
        <v>26875</v>
      </c>
      <c r="AF22" s="33">
        <v>595.0</v>
      </c>
      <c r="AG22" s="34">
        <v>0.0</v>
      </c>
      <c r="AH22" s="34">
        <v>0.0</v>
      </c>
      <c r="AI22" s="34">
        <v>0.0</v>
      </c>
      <c r="AJ22" s="34">
        <v>0.0</v>
      </c>
      <c r="AK22" s="34">
        <v>0.0</v>
      </c>
      <c r="AL22" s="36">
        <v>0.0</v>
      </c>
      <c r="AM22" s="37" t="s">
        <v>277</v>
      </c>
      <c r="AN22" s="38">
        <f t="shared" si="3"/>
        <v>26875</v>
      </c>
      <c r="AO22" s="39">
        <f>if(AM22="Buyer",-sum((-AE22+AK22+AJ22)*50%),if(AM22="Seller",-sum(('Cancelled 2026'!AR59-AE22+AK22+AJ22)*50%),-sum(((-AE22+AK22+AJ22)*((100-right(AM22,3))/100)))))+if(AF22&lt;&gt;595,595, sum(AF22))</f>
        <v>595</v>
      </c>
      <c r="AP22" s="40">
        <f t="shared" si="5"/>
        <v>26280</v>
      </c>
      <c r="AQ22" s="14"/>
      <c r="AR22" s="41"/>
      <c r="AS22" s="14"/>
      <c r="AT22" s="23"/>
      <c r="AU22" s="42"/>
      <c r="AV22" s="37" t="s">
        <v>252</v>
      </c>
      <c r="AW22" s="23" t="s">
        <v>69</v>
      </c>
      <c r="AX22" s="42"/>
      <c r="AY22" s="42"/>
      <c r="AZ22" s="42"/>
    </row>
    <row r="23">
      <c r="A23" s="23" t="s">
        <v>98</v>
      </c>
      <c r="B23" s="23" t="s">
        <v>84</v>
      </c>
      <c r="C23" s="24" t="s">
        <v>278</v>
      </c>
      <c r="D23" s="23" t="s">
        <v>148</v>
      </c>
      <c r="E23" s="23">
        <v>92880.0</v>
      </c>
      <c r="F23" s="23" t="s">
        <v>50</v>
      </c>
      <c r="G23" s="23" t="s">
        <v>184</v>
      </c>
      <c r="H23" s="23" t="s">
        <v>73</v>
      </c>
      <c r="I23" s="23" t="s">
        <v>53</v>
      </c>
      <c r="J23" s="37" t="s">
        <v>185</v>
      </c>
      <c r="K23" s="25" t="s">
        <v>279</v>
      </c>
      <c r="L23" s="26" t="s">
        <v>280</v>
      </c>
      <c r="M23" s="26" t="s">
        <v>281</v>
      </c>
      <c r="N23" s="27" t="s">
        <v>92</v>
      </c>
      <c r="O23" s="23" t="s">
        <v>282</v>
      </c>
      <c r="P23" s="23" t="s">
        <v>60</v>
      </c>
      <c r="Q23" s="23" t="s">
        <v>132</v>
      </c>
      <c r="R23" s="23" t="s">
        <v>94</v>
      </c>
      <c r="S23" s="23" t="s">
        <v>283</v>
      </c>
      <c r="T23" s="23" t="s">
        <v>284</v>
      </c>
      <c r="U23" s="23" t="s">
        <v>109</v>
      </c>
      <c r="V23" s="28">
        <v>46175.0</v>
      </c>
      <c r="W23" s="28">
        <v>46197.0</v>
      </c>
      <c r="X23" s="28">
        <v>46197.0</v>
      </c>
      <c r="Y23" s="28"/>
      <c r="Z23" s="29"/>
      <c r="AA23" s="24" t="s">
        <v>65</v>
      </c>
      <c r="AB23" s="23" t="s">
        <v>285</v>
      </c>
      <c r="AC23" s="30">
        <v>915000.0</v>
      </c>
      <c r="AD23" s="31">
        <v>0.025</v>
      </c>
      <c r="AE23" s="32">
        <f t="shared" si="1"/>
        <v>22875</v>
      </c>
      <c r="AF23" s="33">
        <v>595.0</v>
      </c>
      <c r="AG23" s="34">
        <v>0.0</v>
      </c>
      <c r="AH23" s="34">
        <v>0.0</v>
      </c>
      <c r="AI23" s="34">
        <v>0.0</v>
      </c>
      <c r="AJ23" s="34">
        <v>0.0</v>
      </c>
      <c r="AK23" s="34">
        <f>AE23*0.3</f>
        <v>6862.5</v>
      </c>
      <c r="AL23" s="36">
        <v>0.0</v>
      </c>
      <c r="AM23" s="37" t="s">
        <v>84</v>
      </c>
      <c r="AN23" s="38">
        <f t="shared" si="3"/>
        <v>16012.5</v>
      </c>
      <c r="AO23" s="39">
        <f t="shared" ref="AO23:AO47" si="9">if(AM23="Buyer",-sum((-AE23+AK23+AJ23)*50%),if(AM23="Seller",-sum((-AE23+AK23+AJ23)*50%),-sum(((-AE23+AK23+AJ23)*((100-right(AM23,2))/100)))))+if(AF23&lt;&gt;595,595, sum(AF23))</f>
        <v>8601.25</v>
      </c>
      <c r="AP23" s="40">
        <f t="shared" si="5"/>
        <v>7411.25</v>
      </c>
      <c r="AQ23" s="14"/>
      <c r="AR23" s="41"/>
      <c r="AS23" s="14"/>
      <c r="AT23" s="23"/>
      <c r="AU23" s="42"/>
      <c r="AV23" s="37" t="s">
        <v>286</v>
      </c>
      <c r="AW23" s="23" t="s">
        <v>69</v>
      </c>
      <c r="AX23" s="42"/>
      <c r="AY23" s="42"/>
      <c r="AZ23" s="42"/>
    </row>
    <row r="24">
      <c r="A24" s="23" t="s">
        <v>98</v>
      </c>
      <c r="B24" s="23" t="s">
        <v>84</v>
      </c>
      <c r="C24" s="24" t="s">
        <v>287</v>
      </c>
      <c r="D24" s="23" t="s">
        <v>183</v>
      </c>
      <c r="E24" s="23">
        <v>92557.0</v>
      </c>
      <c r="F24" s="23" t="s">
        <v>50</v>
      </c>
      <c r="G24" s="23" t="s">
        <v>288</v>
      </c>
      <c r="H24" s="23" t="s">
        <v>73</v>
      </c>
      <c r="I24" s="50"/>
      <c r="J24" s="23" t="s">
        <v>103</v>
      </c>
      <c r="K24" s="49" t="s">
        <v>289</v>
      </c>
      <c r="L24" s="49" t="s">
        <v>290</v>
      </c>
      <c r="M24" s="49" t="s">
        <v>291</v>
      </c>
      <c r="N24" s="27" t="s">
        <v>92</v>
      </c>
      <c r="O24" s="47" t="s">
        <v>143</v>
      </c>
      <c r="P24" s="23" t="s">
        <v>60</v>
      </c>
      <c r="Q24" s="23" t="s">
        <v>132</v>
      </c>
      <c r="R24" s="23" t="s">
        <v>94</v>
      </c>
      <c r="S24" s="23" t="s">
        <v>292</v>
      </c>
      <c r="T24" s="23" t="s">
        <v>293</v>
      </c>
      <c r="U24" s="23" t="s">
        <v>109</v>
      </c>
      <c r="V24" s="28">
        <v>46178.0</v>
      </c>
      <c r="W24" s="28">
        <v>46199.0</v>
      </c>
      <c r="X24" s="28">
        <v>46199.0</v>
      </c>
      <c r="Y24" s="28"/>
      <c r="Z24" s="29"/>
      <c r="AA24" s="24" t="s">
        <v>124</v>
      </c>
      <c r="AB24" s="23" t="s">
        <v>145</v>
      </c>
      <c r="AC24" s="30">
        <v>73000.0</v>
      </c>
      <c r="AD24" s="51">
        <v>0.0</v>
      </c>
      <c r="AE24" s="32">
        <f t="shared" si="1"/>
        <v>0</v>
      </c>
      <c r="AF24" s="33">
        <v>595.0</v>
      </c>
      <c r="AG24" s="34">
        <v>500.0</v>
      </c>
      <c r="AH24" s="34">
        <v>250.0</v>
      </c>
      <c r="AI24" s="34">
        <v>0.0</v>
      </c>
      <c r="AJ24" s="34">
        <v>0.0</v>
      </c>
      <c r="AK24" s="34">
        <f t="shared" ref="AK24:AK25" si="10">AE24*0.4</f>
        <v>0</v>
      </c>
      <c r="AL24" s="36">
        <v>0.0</v>
      </c>
      <c r="AM24" s="37" t="s">
        <v>84</v>
      </c>
      <c r="AN24" s="38">
        <f t="shared" si="3"/>
        <v>0</v>
      </c>
      <c r="AO24" s="39">
        <f t="shared" si="9"/>
        <v>595</v>
      </c>
      <c r="AP24" s="40">
        <f t="shared" si="5"/>
        <v>-1345</v>
      </c>
      <c r="AQ24" s="14"/>
      <c r="AR24" s="41"/>
      <c r="AS24" s="14"/>
      <c r="AT24" s="23"/>
      <c r="AU24" s="42"/>
      <c r="AV24" s="52"/>
      <c r="AW24" s="53"/>
      <c r="AX24" s="42"/>
      <c r="AY24" s="42"/>
      <c r="AZ24" s="42"/>
    </row>
    <row r="25">
      <c r="A25" s="23" t="s">
        <v>98</v>
      </c>
      <c r="B25" s="23" t="s">
        <v>84</v>
      </c>
      <c r="C25" s="54" t="s">
        <v>182</v>
      </c>
      <c r="D25" s="37" t="s">
        <v>183</v>
      </c>
      <c r="E25" s="37">
        <v>92553.0</v>
      </c>
      <c r="F25" s="37" t="s">
        <v>50</v>
      </c>
      <c r="G25" s="37" t="s">
        <v>184</v>
      </c>
      <c r="H25" s="37" t="s">
        <v>73</v>
      </c>
      <c r="I25" s="55"/>
      <c r="J25" s="37" t="s">
        <v>185</v>
      </c>
      <c r="K25" s="56" t="s">
        <v>294</v>
      </c>
      <c r="L25" s="49" t="s">
        <v>295</v>
      </c>
      <c r="M25" s="49" t="s">
        <v>188</v>
      </c>
      <c r="N25" s="27" t="s">
        <v>92</v>
      </c>
      <c r="O25" s="37" t="s">
        <v>296</v>
      </c>
      <c r="P25" s="23" t="s">
        <v>60</v>
      </c>
      <c r="Q25" s="23" t="s">
        <v>132</v>
      </c>
      <c r="R25" s="23" t="s">
        <v>94</v>
      </c>
      <c r="S25" s="37" t="s">
        <v>297</v>
      </c>
      <c r="T25" s="37" t="s">
        <v>298</v>
      </c>
      <c r="U25" s="23" t="s">
        <v>109</v>
      </c>
      <c r="V25" s="28">
        <v>46175.0</v>
      </c>
      <c r="W25" s="28">
        <v>46201.0</v>
      </c>
      <c r="X25" s="28">
        <v>46201.0</v>
      </c>
      <c r="Y25" s="28"/>
      <c r="Z25" s="29"/>
      <c r="AA25" s="24" t="s">
        <v>65</v>
      </c>
      <c r="AB25" s="23" t="s">
        <v>110</v>
      </c>
      <c r="AC25" s="30">
        <v>705000.0</v>
      </c>
      <c r="AD25" s="31">
        <v>0.025</v>
      </c>
      <c r="AE25" s="32">
        <f t="shared" si="1"/>
        <v>17625</v>
      </c>
      <c r="AF25" s="33">
        <v>595.0</v>
      </c>
      <c r="AG25" s="34">
        <v>0.0</v>
      </c>
      <c r="AH25" s="34">
        <v>0.0</v>
      </c>
      <c r="AI25" s="34">
        <v>0.0</v>
      </c>
      <c r="AJ25" s="34">
        <v>0.0</v>
      </c>
      <c r="AK25" s="34">
        <f t="shared" si="10"/>
        <v>7050</v>
      </c>
      <c r="AL25" s="36">
        <v>0.0</v>
      </c>
      <c r="AM25" s="37" t="s">
        <v>84</v>
      </c>
      <c r="AN25" s="38">
        <f t="shared" si="3"/>
        <v>10575</v>
      </c>
      <c r="AO25" s="39">
        <f t="shared" si="9"/>
        <v>5882.5</v>
      </c>
      <c r="AP25" s="40">
        <f t="shared" si="5"/>
        <v>4692.5</v>
      </c>
      <c r="AQ25" s="14"/>
      <c r="AR25" s="41"/>
      <c r="AS25" s="14"/>
      <c r="AT25" s="23"/>
      <c r="AU25" s="42"/>
      <c r="AV25" s="52"/>
      <c r="AW25" s="53"/>
      <c r="AX25" s="42"/>
      <c r="AY25" s="42"/>
      <c r="AZ25" s="42"/>
    </row>
    <row r="26">
      <c r="A26" s="23" t="s">
        <v>98</v>
      </c>
      <c r="B26" s="23" t="s">
        <v>47</v>
      </c>
      <c r="C26" s="24" t="s">
        <v>299</v>
      </c>
      <c r="D26" s="23" t="s">
        <v>86</v>
      </c>
      <c r="E26" s="23">
        <v>92057.0</v>
      </c>
      <c r="F26" s="23" t="s">
        <v>87</v>
      </c>
      <c r="G26" s="23" t="s">
        <v>300</v>
      </c>
      <c r="H26" s="23" t="s">
        <v>172</v>
      </c>
      <c r="I26" s="50"/>
      <c r="J26" s="23" t="s">
        <v>103</v>
      </c>
      <c r="K26" s="25" t="s">
        <v>301</v>
      </c>
      <c r="L26" s="26" t="s">
        <v>302</v>
      </c>
      <c r="M26" s="26" t="s">
        <v>303</v>
      </c>
      <c r="N26" s="27" t="s">
        <v>304</v>
      </c>
      <c r="O26" s="23" t="s">
        <v>305</v>
      </c>
      <c r="P26" s="23" t="s">
        <v>60</v>
      </c>
      <c r="Q26" s="23"/>
      <c r="R26" s="23"/>
      <c r="S26" s="23" t="s">
        <v>306</v>
      </c>
      <c r="T26" s="23" t="s">
        <v>307</v>
      </c>
      <c r="U26" s="23" t="s">
        <v>109</v>
      </c>
      <c r="V26" s="28">
        <v>46163.0</v>
      </c>
      <c r="W26" s="28">
        <v>46184.0</v>
      </c>
      <c r="X26" s="28">
        <v>46202.0</v>
      </c>
      <c r="Y26" s="28"/>
      <c r="Z26" s="29"/>
      <c r="AA26" s="24" t="s">
        <v>65</v>
      </c>
      <c r="AB26" s="23"/>
      <c r="AC26" s="30">
        <v>685000.0</v>
      </c>
      <c r="AD26" s="31">
        <v>0.02</v>
      </c>
      <c r="AE26" s="32">
        <f t="shared" si="1"/>
        <v>13700</v>
      </c>
      <c r="AF26" s="33">
        <v>595.0</v>
      </c>
      <c r="AG26" s="34">
        <v>500.0</v>
      </c>
      <c r="AH26" s="34">
        <v>0.0</v>
      </c>
      <c r="AI26" s="34">
        <v>1095.0</v>
      </c>
      <c r="AJ26" s="34">
        <v>0.0</v>
      </c>
      <c r="AK26" s="34">
        <v>0.0</v>
      </c>
      <c r="AL26" s="36">
        <v>0.0</v>
      </c>
      <c r="AM26" s="37" t="s">
        <v>47</v>
      </c>
      <c r="AN26" s="38">
        <f t="shared" si="3"/>
        <v>14795</v>
      </c>
      <c r="AO26" s="39">
        <f t="shared" si="9"/>
        <v>7445</v>
      </c>
      <c r="AP26" s="40">
        <f t="shared" si="5"/>
        <v>6850</v>
      </c>
      <c r="AQ26" s="14"/>
      <c r="AR26" s="41"/>
      <c r="AS26" s="14"/>
      <c r="AT26" s="23"/>
      <c r="AU26" s="42"/>
      <c r="AV26" s="57"/>
      <c r="AW26" s="53"/>
      <c r="AX26" s="42"/>
      <c r="AY26" s="42"/>
      <c r="AZ26" s="42"/>
    </row>
    <row r="27">
      <c r="A27" s="23" t="s">
        <v>98</v>
      </c>
      <c r="B27" s="23" t="s">
        <v>47</v>
      </c>
      <c r="C27" s="24" t="s">
        <v>308</v>
      </c>
      <c r="D27" s="23" t="s">
        <v>49</v>
      </c>
      <c r="E27" s="23">
        <v>92584.0</v>
      </c>
      <c r="F27" s="23" t="s">
        <v>50</v>
      </c>
      <c r="G27" s="23" t="s">
        <v>88</v>
      </c>
      <c r="H27" s="23" t="s">
        <v>73</v>
      </c>
      <c r="I27" s="50"/>
      <c r="J27" s="23" t="s">
        <v>54</v>
      </c>
      <c r="K27" s="25" t="s">
        <v>309</v>
      </c>
      <c r="L27" s="26" t="s">
        <v>310</v>
      </c>
      <c r="M27" s="26" t="s">
        <v>311</v>
      </c>
      <c r="N27" s="27" t="s">
        <v>312</v>
      </c>
      <c r="O27" s="47" t="s">
        <v>143</v>
      </c>
      <c r="P27" s="23" t="s">
        <v>60</v>
      </c>
      <c r="Q27" s="23" t="s">
        <v>61</v>
      </c>
      <c r="R27" s="23"/>
      <c r="S27" s="23" t="s">
        <v>313</v>
      </c>
      <c r="T27" s="23" t="s">
        <v>314</v>
      </c>
      <c r="U27" s="23" t="s">
        <v>109</v>
      </c>
      <c r="V27" s="28">
        <v>46171.0</v>
      </c>
      <c r="W27" s="28">
        <v>46202.0</v>
      </c>
      <c r="X27" s="28">
        <v>46202.0</v>
      </c>
      <c r="Y27" s="28"/>
      <c r="Z27" s="29"/>
      <c r="AA27" s="24" t="s">
        <v>65</v>
      </c>
      <c r="AB27" s="23" t="s">
        <v>66</v>
      </c>
      <c r="AC27" s="30">
        <v>511000.0</v>
      </c>
      <c r="AD27" s="31">
        <v>0.03</v>
      </c>
      <c r="AE27" s="32">
        <f t="shared" si="1"/>
        <v>15330</v>
      </c>
      <c r="AF27" s="33">
        <v>595.0</v>
      </c>
      <c r="AG27" s="34">
        <v>500.0</v>
      </c>
      <c r="AH27" s="34" t="s">
        <v>82</v>
      </c>
      <c r="AI27" s="34">
        <v>1395.0</v>
      </c>
      <c r="AJ27" s="34">
        <v>0.0</v>
      </c>
      <c r="AK27" s="34">
        <f t="shared" ref="AK27:AK34" si="11">AE27*0.4</f>
        <v>6132</v>
      </c>
      <c r="AL27" s="36">
        <v>0.0</v>
      </c>
      <c r="AM27" s="37" t="s">
        <v>47</v>
      </c>
      <c r="AN27" s="38">
        <f t="shared" si="3"/>
        <v>10593</v>
      </c>
      <c r="AO27" s="39">
        <f t="shared" si="9"/>
        <v>5194</v>
      </c>
      <c r="AP27" s="40">
        <f t="shared" si="5"/>
        <v>4899</v>
      </c>
      <c r="AQ27" s="14"/>
      <c r="AR27" s="41"/>
      <c r="AS27" s="14"/>
      <c r="AT27" s="23"/>
      <c r="AU27" s="42"/>
      <c r="AV27" s="57"/>
      <c r="AW27" s="53"/>
      <c r="AX27" s="42"/>
      <c r="AY27" s="42"/>
      <c r="AZ27" s="42"/>
    </row>
    <row r="28">
      <c r="A28" s="23" t="s">
        <v>98</v>
      </c>
      <c r="B28" s="23" t="s">
        <v>47</v>
      </c>
      <c r="C28" s="24" t="s">
        <v>315</v>
      </c>
      <c r="D28" s="23" t="s">
        <v>316</v>
      </c>
      <c r="E28" s="23">
        <v>92563.0</v>
      </c>
      <c r="F28" s="23" t="s">
        <v>50</v>
      </c>
      <c r="G28" s="23" t="s">
        <v>88</v>
      </c>
      <c r="H28" s="23" t="s">
        <v>73</v>
      </c>
      <c r="I28" s="23" t="s">
        <v>53</v>
      </c>
      <c r="J28" s="23" t="s">
        <v>54</v>
      </c>
      <c r="K28" s="25" t="s">
        <v>317</v>
      </c>
      <c r="L28" s="26" t="s">
        <v>318</v>
      </c>
      <c r="M28" s="26" t="s">
        <v>319</v>
      </c>
      <c r="N28" s="27" t="s">
        <v>320</v>
      </c>
      <c r="O28" s="23" t="s">
        <v>59</v>
      </c>
      <c r="P28" s="23" t="s">
        <v>60</v>
      </c>
      <c r="Q28" s="23" t="s">
        <v>61</v>
      </c>
      <c r="R28" s="23"/>
      <c r="S28" s="23" t="s">
        <v>321</v>
      </c>
      <c r="T28" s="23" t="s">
        <v>322</v>
      </c>
      <c r="U28" s="23" t="s">
        <v>109</v>
      </c>
      <c r="V28" s="28">
        <v>46171.0</v>
      </c>
      <c r="W28" s="28">
        <v>46202.0</v>
      </c>
      <c r="X28" s="28">
        <v>46202.0</v>
      </c>
      <c r="Y28" s="28"/>
      <c r="Z28" s="29"/>
      <c r="AA28" s="24" t="s">
        <v>65</v>
      </c>
      <c r="AB28" s="23" t="s">
        <v>66</v>
      </c>
      <c r="AC28" s="30">
        <v>830000.0</v>
      </c>
      <c r="AD28" s="31">
        <v>0.03</v>
      </c>
      <c r="AE28" s="32">
        <f t="shared" si="1"/>
        <v>24900</v>
      </c>
      <c r="AF28" s="33">
        <v>595.0</v>
      </c>
      <c r="AG28" s="34">
        <v>500.0</v>
      </c>
      <c r="AH28" s="34" t="s">
        <v>82</v>
      </c>
      <c r="AI28" s="34">
        <v>1195.0</v>
      </c>
      <c r="AJ28" s="34">
        <v>0.0</v>
      </c>
      <c r="AK28" s="34">
        <f t="shared" si="11"/>
        <v>9960</v>
      </c>
      <c r="AL28" s="36">
        <v>0.0</v>
      </c>
      <c r="AM28" s="37" t="s">
        <v>47</v>
      </c>
      <c r="AN28" s="38">
        <f t="shared" si="3"/>
        <v>16135</v>
      </c>
      <c r="AO28" s="39">
        <f t="shared" si="9"/>
        <v>8065</v>
      </c>
      <c r="AP28" s="40">
        <f t="shared" si="5"/>
        <v>7570</v>
      </c>
      <c r="AQ28" s="14"/>
      <c r="AR28" s="41"/>
      <c r="AS28" s="14"/>
      <c r="AT28" s="23"/>
      <c r="AU28" s="42"/>
      <c r="AV28" s="23" t="s">
        <v>323</v>
      </c>
      <c r="AW28" s="23" t="s">
        <v>69</v>
      </c>
      <c r="AX28" s="42"/>
      <c r="AY28" s="42"/>
      <c r="AZ28" s="42"/>
    </row>
    <row r="29">
      <c r="A29" s="23" t="s">
        <v>98</v>
      </c>
      <c r="B29" s="23" t="s">
        <v>47</v>
      </c>
      <c r="C29" s="24" t="s">
        <v>324</v>
      </c>
      <c r="D29" s="23" t="s">
        <v>316</v>
      </c>
      <c r="E29" s="23">
        <v>92562.0</v>
      </c>
      <c r="F29" s="23" t="s">
        <v>50</v>
      </c>
      <c r="G29" s="23" t="s">
        <v>88</v>
      </c>
      <c r="H29" s="23" t="s">
        <v>73</v>
      </c>
      <c r="I29" s="50"/>
      <c r="J29" s="23" t="s">
        <v>54</v>
      </c>
      <c r="K29" s="25" t="s">
        <v>325</v>
      </c>
      <c r="L29" s="26" t="s">
        <v>326</v>
      </c>
      <c r="M29" s="26" t="s">
        <v>327</v>
      </c>
      <c r="N29" s="27" t="s">
        <v>328</v>
      </c>
      <c r="O29" s="23" t="s">
        <v>59</v>
      </c>
      <c r="P29" s="23" t="s">
        <v>60</v>
      </c>
      <c r="Q29" s="23" t="s">
        <v>61</v>
      </c>
      <c r="R29" s="23" t="s">
        <v>178</v>
      </c>
      <c r="S29" s="23" t="s">
        <v>329</v>
      </c>
      <c r="T29" s="23" t="s">
        <v>330</v>
      </c>
      <c r="U29" s="23" t="s">
        <v>109</v>
      </c>
      <c r="V29" s="28">
        <v>46172.0</v>
      </c>
      <c r="W29" s="28">
        <v>46202.0</v>
      </c>
      <c r="X29" s="28">
        <v>46202.0</v>
      </c>
      <c r="Y29" s="28"/>
      <c r="Z29" s="29"/>
      <c r="AA29" s="24" t="s">
        <v>65</v>
      </c>
      <c r="AB29" s="23" t="s">
        <v>66</v>
      </c>
      <c r="AC29" s="30">
        <v>865000.0</v>
      </c>
      <c r="AD29" s="31">
        <v>0.02</v>
      </c>
      <c r="AE29" s="32">
        <f t="shared" si="1"/>
        <v>17300</v>
      </c>
      <c r="AF29" s="33">
        <v>595.0</v>
      </c>
      <c r="AG29" s="34">
        <v>500.0</v>
      </c>
      <c r="AH29" s="34" t="s">
        <v>82</v>
      </c>
      <c r="AI29" s="34">
        <v>1395.0</v>
      </c>
      <c r="AJ29" s="34">
        <v>0.0</v>
      </c>
      <c r="AK29" s="34">
        <f t="shared" si="11"/>
        <v>6920</v>
      </c>
      <c r="AL29" s="36">
        <v>0.0</v>
      </c>
      <c r="AM29" s="37" t="s">
        <v>47</v>
      </c>
      <c r="AN29" s="38">
        <f t="shared" si="3"/>
        <v>11775</v>
      </c>
      <c r="AO29" s="39">
        <f t="shared" si="9"/>
        <v>5785</v>
      </c>
      <c r="AP29" s="40">
        <f t="shared" si="5"/>
        <v>5490</v>
      </c>
      <c r="AQ29" s="14"/>
      <c r="AR29" s="41"/>
      <c r="AS29" s="14"/>
      <c r="AT29" s="23"/>
      <c r="AU29" s="42"/>
      <c r="AV29" s="57"/>
      <c r="AW29" s="53"/>
      <c r="AX29" s="42"/>
      <c r="AY29" s="42"/>
      <c r="AZ29" s="42"/>
    </row>
    <row r="30">
      <c r="A30" s="23" t="s">
        <v>98</v>
      </c>
      <c r="B30" s="23" t="s">
        <v>84</v>
      </c>
      <c r="C30" s="24" t="s">
        <v>331</v>
      </c>
      <c r="D30" s="23" t="s">
        <v>86</v>
      </c>
      <c r="E30" s="23">
        <v>92056.0</v>
      </c>
      <c r="F30" s="23" t="s">
        <v>87</v>
      </c>
      <c r="G30" s="23" t="s">
        <v>332</v>
      </c>
      <c r="H30" s="23" t="s">
        <v>73</v>
      </c>
      <c r="I30" s="50"/>
      <c r="J30" s="23" t="s">
        <v>103</v>
      </c>
      <c r="K30" s="25" t="s">
        <v>333</v>
      </c>
      <c r="L30" s="26" t="s">
        <v>334</v>
      </c>
      <c r="M30" s="26" t="s">
        <v>335</v>
      </c>
      <c r="N30" s="27" t="s">
        <v>92</v>
      </c>
      <c r="O30" s="23" t="s">
        <v>336</v>
      </c>
      <c r="P30" s="23" t="s">
        <v>60</v>
      </c>
      <c r="Q30" s="23" t="s">
        <v>132</v>
      </c>
      <c r="R30" s="23" t="s">
        <v>94</v>
      </c>
      <c r="S30" s="23" t="s">
        <v>337</v>
      </c>
      <c r="T30" s="23" t="s">
        <v>338</v>
      </c>
      <c r="U30" s="23" t="s">
        <v>109</v>
      </c>
      <c r="V30" s="28">
        <v>46180.0</v>
      </c>
      <c r="W30" s="28">
        <v>46202.0</v>
      </c>
      <c r="X30" s="28">
        <v>46202.0</v>
      </c>
      <c r="Y30" s="28"/>
      <c r="Z30" s="29"/>
      <c r="AA30" s="24" t="s">
        <v>65</v>
      </c>
      <c r="AB30" s="23" t="s">
        <v>66</v>
      </c>
      <c r="AC30" s="30">
        <v>995000.0</v>
      </c>
      <c r="AD30" s="31">
        <v>0.03</v>
      </c>
      <c r="AE30" s="32">
        <f t="shared" si="1"/>
        <v>29850</v>
      </c>
      <c r="AF30" s="33">
        <v>595.0</v>
      </c>
      <c r="AG30" s="34" t="s">
        <v>111</v>
      </c>
      <c r="AH30" s="34" t="s">
        <v>111</v>
      </c>
      <c r="AI30" s="34">
        <v>1350.0</v>
      </c>
      <c r="AJ30" s="34">
        <v>0.0</v>
      </c>
      <c r="AK30" s="34">
        <f t="shared" si="11"/>
        <v>11940</v>
      </c>
      <c r="AL30" s="36">
        <v>0.0</v>
      </c>
      <c r="AM30" s="37" t="s">
        <v>84</v>
      </c>
      <c r="AN30" s="38">
        <f t="shared" si="3"/>
        <v>19260</v>
      </c>
      <c r="AO30" s="39">
        <f t="shared" si="9"/>
        <v>9550</v>
      </c>
      <c r="AP30" s="40">
        <f t="shared" si="5"/>
        <v>9710</v>
      </c>
      <c r="AQ30" s="14"/>
      <c r="AR30" s="41"/>
      <c r="AS30" s="14"/>
      <c r="AT30" s="23"/>
      <c r="AU30" s="42"/>
      <c r="AV30" s="52"/>
      <c r="AW30" s="53"/>
      <c r="AX30" s="42"/>
      <c r="AY30" s="42"/>
      <c r="AZ30" s="42"/>
    </row>
    <row r="31" ht="15.0" customHeight="1">
      <c r="A31" s="23" t="s">
        <v>98</v>
      </c>
      <c r="B31" s="23" t="s">
        <v>47</v>
      </c>
      <c r="C31" s="24" t="s">
        <v>339</v>
      </c>
      <c r="D31" s="23" t="s">
        <v>340</v>
      </c>
      <c r="E31" s="23">
        <v>92596.0</v>
      </c>
      <c r="F31" s="23" t="s">
        <v>50</v>
      </c>
      <c r="G31" s="23" t="s">
        <v>341</v>
      </c>
      <c r="H31" s="23" t="s">
        <v>172</v>
      </c>
      <c r="I31" s="23" t="s">
        <v>53</v>
      </c>
      <c r="J31" s="23" t="s">
        <v>54</v>
      </c>
      <c r="K31" s="58" t="s">
        <v>342</v>
      </c>
      <c r="L31" s="43"/>
      <c r="M31" s="43"/>
      <c r="N31" s="59"/>
      <c r="O31" s="23"/>
      <c r="P31" s="23"/>
      <c r="Q31" s="23"/>
      <c r="R31" s="23"/>
      <c r="S31" s="23"/>
      <c r="T31" s="23"/>
      <c r="U31" s="23"/>
      <c r="V31" s="60">
        <v>45792.0</v>
      </c>
      <c r="W31" s="61"/>
      <c r="X31" s="61"/>
      <c r="Y31" s="28"/>
      <c r="Z31" s="29"/>
      <c r="AA31" s="24" t="s">
        <v>343</v>
      </c>
      <c r="AB31" s="23" t="s">
        <v>344</v>
      </c>
      <c r="AC31" s="30">
        <v>580000.0</v>
      </c>
      <c r="AD31" s="31">
        <v>0.02</v>
      </c>
      <c r="AE31" s="32">
        <f t="shared" si="1"/>
        <v>11600</v>
      </c>
      <c r="AF31" s="33">
        <v>595.0</v>
      </c>
      <c r="AG31" s="34">
        <v>200.0</v>
      </c>
      <c r="AH31" s="34" t="s">
        <v>82</v>
      </c>
      <c r="AI31" s="34">
        <v>0.0</v>
      </c>
      <c r="AJ31" s="34">
        <v>0.0</v>
      </c>
      <c r="AK31" s="34">
        <f t="shared" si="11"/>
        <v>4640</v>
      </c>
      <c r="AL31" s="36">
        <v>0.0</v>
      </c>
      <c r="AM31" s="37" t="s">
        <v>47</v>
      </c>
      <c r="AN31" s="38">
        <f t="shared" si="3"/>
        <v>6960</v>
      </c>
      <c r="AO31" s="39">
        <f t="shared" si="9"/>
        <v>4075</v>
      </c>
      <c r="AP31" s="40">
        <f t="shared" si="5"/>
        <v>2685</v>
      </c>
      <c r="AQ31" s="14"/>
      <c r="AR31" s="41"/>
      <c r="AS31" s="14"/>
      <c r="AT31" s="23"/>
      <c r="AU31" s="42"/>
      <c r="AV31" s="23" t="s">
        <v>233</v>
      </c>
      <c r="AW31" s="23" t="s">
        <v>69</v>
      </c>
      <c r="AX31" s="42"/>
      <c r="AY31" s="42"/>
      <c r="AZ31" s="42"/>
    </row>
    <row r="32">
      <c r="A32" s="23" t="s">
        <v>98</v>
      </c>
      <c r="B32" s="23" t="s">
        <v>84</v>
      </c>
      <c r="C32" s="24" t="s">
        <v>345</v>
      </c>
      <c r="D32" s="23" t="s">
        <v>100</v>
      </c>
      <c r="E32" s="23">
        <v>92394.0</v>
      </c>
      <c r="F32" s="23" t="s">
        <v>101</v>
      </c>
      <c r="G32" s="23" t="s">
        <v>102</v>
      </c>
      <c r="H32" s="23" t="s">
        <v>73</v>
      </c>
      <c r="I32" s="23" t="s">
        <v>346</v>
      </c>
      <c r="J32" s="23" t="s">
        <v>103</v>
      </c>
      <c r="K32" s="49" t="s">
        <v>347</v>
      </c>
      <c r="L32" s="54" t="s">
        <v>348</v>
      </c>
      <c r="M32" s="49" t="s">
        <v>349</v>
      </c>
      <c r="N32" s="27" t="s">
        <v>92</v>
      </c>
      <c r="O32" s="23" t="s">
        <v>350</v>
      </c>
      <c r="P32" s="23" t="s">
        <v>351</v>
      </c>
      <c r="Q32" s="23" t="s">
        <v>132</v>
      </c>
      <c r="R32" s="23" t="s">
        <v>94</v>
      </c>
      <c r="S32" s="23" t="s">
        <v>352</v>
      </c>
      <c r="T32" s="23" t="s">
        <v>353</v>
      </c>
      <c r="U32" s="23" t="s">
        <v>109</v>
      </c>
      <c r="V32" s="28">
        <v>46164.0</v>
      </c>
      <c r="W32" s="61"/>
      <c r="X32" s="61"/>
      <c r="Y32" s="28"/>
      <c r="Z32" s="29"/>
      <c r="AA32" s="24" t="s">
        <v>65</v>
      </c>
      <c r="AB32" s="23" t="s">
        <v>145</v>
      </c>
      <c r="AC32" s="30">
        <v>435000.0</v>
      </c>
      <c r="AD32" s="31">
        <v>0.025</v>
      </c>
      <c r="AE32" s="32">
        <f t="shared" si="1"/>
        <v>10875</v>
      </c>
      <c r="AF32" s="33">
        <v>595.0</v>
      </c>
      <c r="AG32" s="34" t="s">
        <v>111</v>
      </c>
      <c r="AH32" s="34" t="s">
        <v>82</v>
      </c>
      <c r="AI32" s="34">
        <v>1250.0</v>
      </c>
      <c r="AJ32" s="34">
        <v>0.0</v>
      </c>
      <c r="AK32" s="34">
        <f t="shared" si="11"/>
        <v>4350</v>
      </c>
      <c r="AL32" s="36">
        <v>0.0</v>
      </c>
      <c r="AM32" s="37" t="s">
        <v>84</v>
      </c>
      <c r="AN32" s="38">
        <f t="shared" si="3"/>
        <v>7775</v>
      </c>
      <c r="AO32" s="39">
        <f t="shared" si="9"/>
        <v>3857.5</v>
      </c>
      <c r="AP32" s="40">
        <f t="shared" si="5"/>
        <v>3917.5</v>
      </c>
      <c r="AQ32" s="14"/>
      <c r="AR32" s="41"/>
      <c r="AS32" s="14"/>
      <c r="AT32" s="23"/>
      <c r="AU32" s="42"/>
      <c r="AV32" s="23" t="s">
        <v>354</v>
      </c>
      <c r="AW32" s="23" t="s">
        <v>69</v>
      </c>
      <c r="AX32" s="42"/>
      <c r="AY32" s="42"/>
      <c r="AZ32" s="42"/>
    </row>
    <row r="33">
      <c r="A33" s="23" t="s">
        <v>98</v>
      </c>
      <c r="B33" s="23" t="s">
        <v>47</v>
      </c>
      <c r="C33" s="24" t="s">
        <v>355</v>
      </c>
      <c r="D33" s="23" t="s">
        <v>183</v>
      </c>
      <c r="E33" s="23">
        <v>92555.0</v>
      </c>
      <c r="F33" s="23" t="s">
        <v>50</v>
      </c>
      <c r="G33" s="23" t="s">
        <v>102</v>
      </c>
      <c r="H33" s="23" t="s">
        <v>73</v>
      </c>
      <c r="I33" s="50"/>
      <c r="J33" s="23" t="s">
        <v>103</v>
      </c>
      <c r="K33" s="25" t="s">
        <v>356</v>
      </c>
      <c r="L33" s="26" t="s">
        <v>357</v>
      </c>
      <c r="M33" s="26" t="s">
        <v>358</v>
      </c>
      <c r="N33" s="27"/>
      <c r="O33" s="23"/>
      <c r="P33" s="23" t="s">
        <v>343</v>
      </c>
      <c r="Q33" s="23" t="s">
        <v>343</v>
      </c>
      <c r="R33" s="23"/>
      <c r="S33" s="47" t="s">
        <v>359</v>
      </c>
      <c r="T33" s="47" t="s">
        <v>359</v>
      </c>
      <c r="U33" s="23" t="s">
        <v>109</v>
      </c>
      <c r="V33" s="28">
        <v>46168.0</v>
      </c>
      <c r="W33" s="61"/>
      <c r="X33" s="61"/>
      <c r="Y33" s="28"/>
      <c r="Z33" s="29"/>
      <c r="AA33" s="24" t="s">
        <v>343</v>
      </c>
      <c r="AB33" s="23" t="s">
        <v>145</v>
      </c>
      <c r="AC33" s="30">
        <v>523990.0</v>
      </c>
      <c r="AD33" s="31">
        <v>0.02</v>
      </c>
      <c r="AE33" s="32">
        <f t="shared" si="1"/>
        <v>10479.8</v>
      </c>
      <c r="AF33" s="33">
        <v>595.0</v>
      </c>
      <c r="AG33" s="34" t="s">
        <v>111</v>
      </c>
      <c r="AH33" s="34">
        <v>0.0</v>
      </c>
      <c r="AI33" s="34">
        <v>1250.0</v>
      </c>
      <c r="AJ33" s="34">
        <v>0.0</v>
      </c>
      <c r="AK33" s="34">
        <f t="shared" si="11"/>
        <v>4191.92</v>
      </c>
      <c r="AL33" s="36">
        <v>0.0</v>
      </c>
      <c r="AM33" s="37" t="s">
        <v>47</v>
      </c>
      <c r="AN33" s="38">
        <f t="shared" si="3"/>
        <v>7537.88</v>
      </c>
      <c r="AO33" s="39">
        <f t="shared" si="9"/>
        <v>3738.94</v>
      </c>
      <c r="AP33" s="40">
        <f t="shared" si="5"/>
        <v>3798.94</v>
      </c>
      <c r="AQ33" s="14"/>
      <c r="AR33" s="41"/>
      <c r="AS33" s="14"/>
      <c r="AT33" s="23"/>
      <c r="AU33" s="42"/>
      <c r="AV33" s="52"/>
      <c r="AW33" s="23"/>
      <c r="AX33" s="42"/>
      <c r="AY33" s="42"/>
      <c r="AZ33" s="42"/>
    </row>
    <row r="34">
      <c r="A34" s="23" t="s">
        <v>360</v>
      </c>
      <c r="B34" s="23" t="s">
        <v>47</v>
      </c>
      <c r="C34" s="24" t="s">
        <v>361</v>
      </c>
      <c r="D34" s="23" t="s">
        <v>316</v>
      </c>
      <c r="E34" s="23">
        <v>92563.0</v>
      </c>
      <c r="F34" s="23" t="s">
        <v>50</v>
      </c>
      <c r="G34" s="23" t="s">
        <v>362</v>
      </c>
      <c r="H34" s="23" t="s">
        <v>52</v>
      </c>
      <c r="I34" s="50"/>
      <c r="J34" s="23" t="s">
        <v>103</v>
      </c>
      <c r="K34" s="25" t="s">
        <v>363</v>
      </c>
      <c r="L34" s="26" t="s">
        <v>364</v>
      </c>
      <c r="M34" s="26" t="s">
        <v>365</v>
      </c>
      <c r="N34" s="27" t="s">
        <v>366</v>
      </c>
      <c r="O34" s="23" t="s">
        <v>367</v>
      </c>
      <c r="P34" s="23" t="s">
        <v>60</v>
      </c>
      <c r="Q34" s="23" t="s">
        <v>61</v>
      </c>
      <c r="R34" s="23" t="s">
        <v>247</v>
      </c>
      <c r="S34" s="23" t="s">
        <v>368</v>
      </c>
      <c r="T34" s="23" t="s">
        <v>369</v>
      </c>
      <c r="U34" s="23" t="s">
        <v>109</v>
      </c>
      <c r="V34" s="28">
        <v>46174.0</v>
      </c>
      <c r="W34" s="28">
        <v>46204.0</v>
      </c>
      <c r="X34" s="28">
        <v>46204.0</v>
      </c>
      <c r="Y34" s="28"/>
      <c r="Z34" s="29"/>
      <c r="AA34" s="24" t="s">
        <v>65</v>
      </c>
      <c r="AB34" s="23" t="s">
        <v>66</v>
      </c>
      <c r="AC34" s="30">
        <v>750000.0</v>
      </c>
      <c r="AD34" s="31">
        <v>0.02</v>
      </c>
      <c r="AE34" s="32">
        <f t="shared" si="1"/>
        <v>15000</v>
      </c>
      <c r="AF34" s="33" t="s">
        <v>82</v>
      </c>
      <c r="AG34" s="34">
        <v>0.0</v>
      </c>
      <c r="AH34" s="34" t="s">
        <v>82</v>
      </c>
      <c r="AI34" s="34">
        <v>0.0</v>
      </c>
      <c r="AJ34" s="34">
        <v>0.0</v>
      </c>
      <c r="AK34" s="34">
        <f t="shared" si="11"/>
        <v>6000</v>
      </c>
      <c r="AL34" s="36">
        <v>0.0</v>
      </c>
      <c r="AM34" s="37" t="s">
        <v>47</v>
      </c>
      <c r="AN34" s="38">
        <f t="shared" si="3"/>
        <v>9595</v>
      </c>
      <c r="AO34" s="39">
        <f t="shared" si="9"/>
        <v>5095</v>
      </c>
      <c r="AP34" s="40">
        <f t="shared" si="5"/>
        <v>4500</v>
      </c>
      <c r="AQ34" s="14"/>
      <c r="AR34" s="41"/>
      <c r="AS34" s="14"/>
      <c r="AT34" s="23"/>
      <c r="AU34" s="42"/>
      <c r="AV34" s="57"/>
      <c r="AW34" s="37"/>
      <c r="AX34" s="42"/>
      <c r="AY34" s="42"/>
      <c r="AZ34" s="42"/>
    </row>
    <row r="35">
      <c r="A35" s="23" t="s">
        <v>360</v>
      </c>
      <c r="B35" s="23" t="s">
        <v>84</v>
      </c>
      <c r="C35" s="24" t="s">
        <v>370</v>
      </c>
      <c r="D35" s="23" t="s">
        <v>316</v>
      </c>
      <c r="E35" s="23">
        <v>92562.0</v>
      </c>
      <c r="F35" s="23" t="s">
        <v>50</v>
      </c>
      <c r="G35" s="23" t="s">
        <v>255</v>
      </c>
      <c r="H35" s="23" t="s">
        <v>256</v>
      </c>
      <c r="I35" s="23" t="s">
        <v>371</v>
      </c>
      <c r="J35" s="23" t="s">
        <v>103</v>
      </c>
      <c r="K35" s="25" t="s">
        <v>372</v>
      </c>
      <c r="L35" s="26" t="s">
        <v>373</v>
      </c>
      <c r="M35" s="26" t="s">
        <v>374</v>
      </c>
      <c r="N35" s="27" t="s">
        <v>92</v>
      </c>
      <c r="O35" s="47" t="s">
        <v>143</v>
      </c>
      <c r="P35" s="23" t="s">
        <v>60</v>
      </c>
      <c r="Q35" s="23" t="s">
        <v>132</v>
      </c>
      <c r="R35" s="23" t="s">
        <v>94</v>
      </c>
      <c r="S35" s="47" t="s">
        <v>53</v>
      </c>
      <c r="T35" s="47" t="s">
        <v>53</v>
      </c>
      <c r="U35" s="23" t="s">
        <v>109</v>
      </c>
      <c r="V35" s="28">
        <v>46179.0</v>
      </c>
      <c r="W35" s="28">
        <v>46205.0</v>
      </c>
      <c r="X35" s="28">
        <v>46205.0</v>
      </c>
      <c r="Y35" s="28"/>
      <c r="Z35" s="29"/>
      <c r="AA35" s="24" t="s">
        <v>65</v>
      </c>
      <c r="AB35" s="23" t="s">
        <v>375</v>
      </c>
      <c r="AC35" s="30">
        <v>985000.0</v>
      </c>
      <c r="AD35" s="31">
        <v>0.0</v>
      </c>
      <c r="AE35" s="62">
        <v>20000.0</v>
      </c>
      <c r="AF35" s="33" t="s">
        <v>93</v>
      </c>
      <c r="AG35" s="34">
        <v>0.0</v>
      </c>
      <c r="AH35" s="34">
        <v>0.0</v>
      </c>
      <c r="AI35" s="34">
        <v>695.0</v>
      </c>
      <c r="AJ35" s="34">
        <v>0.0</v>
      </c>
      <c r="AK35" s="34">
        <v>0.0</v>
      </c>
      <c r="AL35" s="36">
        <v>0.0</v>
      </c>
      <c r="AM35" s="37" t="s">
        <v>168</v>
      </c>
      <c r="AN35" s="38">
        <f t="shared" si="3"/>
        <v>20595</v>
      </c>
      <c r="AO35" s="39">
        <f t="shared" si="9"/>
        <v>2595</v>
      </c>
      <c r="AP35" s="40">
        <f t="shared" si="5"/>
        <v>18000</v>
      </c>
      <c r="AQ35" s="14"/>
      <c r="AR35" s="41"/>
      <c r="AS35" s="14"/>
      <c r="AT35" s="23"/>
      <c r="AU35" s="42"/>
      <c r="AV35" s="57"/>
      <c r="AW35" s="37"/>
      <c r="AX35" s="42"/>
      <c r="AY35" s="42"/>
      <c r="AZ35" s="42"/>
    </row>
    <row r="36">
      <c r="A36" s="23" t="s">
        <v>360</v>
      </c>
      <c r="B36" s="23" t="s">
        <v>47</v>
      </c>
      <c r="C36" s="24" t="s">
        <v>370</v>
      </c>
      <c r="D36" s="23" t="s">
        <v>316</v>
      </c>
      <c r="E36" s="23">
        <v>92562.0</v>
      </c>
      <c r="F36" s="23" t="s">
        <v>50</v>
      </c>
      <c r="G36" s="23" t="s">
        <v>376</v>
      </c>
      <c r="H36" s="23" t="s">
        <v>52</v>
      </c>
      <c r="I36" s="50"/>
      <c r="J36" s="23" t="s">
        <v>103</v>
      </c>
      <c r="K36" s="25" t="s">
        <v>377</v>
      </c>
      <c r="L36" s="25" t="s">
        <v>378</v>
      </c>
      <c r="M36" s="25" t="s">
        <v>379</v>
      </c>
      <c r="N36" s="27" t="s">
        <v>92</v>
      </c>
      <c r="O36" s="47" t="s">
        <v>143</v>
      </c>
      <c r="P36" s="23" t="s">
        <v>60</v>
      </c>
      <c r="Q36" s="23" t="s">
        <v>132</v>
      </c>
      <c r="R36" s="23" t="s">
        <v>94</v>
      </c>
      <c r="S36" s="47" t="s">
        <v>53</v>
      </c>
      <c r="T36" s="47" t="s">
        <v>53</v>
      </c>
      <c r="U36" s="23" t="s">
        <v>109</v>
      </c>
      <c r="V36" s="28">
        <v>46179.0</v>
      </c>
      <c r="W36" s="28">
        <v>46205.0</v>
      </c>
      <c r="X36" s="28">
        <v>46205.0</v>
      </c>
      <c r="Y36" s="28"/>
      <c r="Z36" s="29"/>
      <c r="AA36" s="24" t="s">
        <v>65</v>
      </c>
      <c r="AB36" s="23"/>
      <c r="AC36" s="30">
        <v>985000.0</v>
      </c>
      <c r="AD36" s="51">
        <v>0.0</v>
      </c>
      <c r="AE36" s="32">
        <f>SUM(AC36*AD36)</f>
        <v>0</v>
      </c>
      <c r="AF36" s="33">
        <v>595.0</v>
      </c>
      <c r="AG36" s="34">
        <v>0.0</v>
      </c>
      <c r="AH36" s="34">
        <v>0.0</v>
      </c>
      <c r="AI36" s="34">
        <v>0.0</v>
      </c>
      <c r="AJ36" s="34">
        <v>0.0</v>
      </c>
      <c r="AK36" s="34">
        <v>0.0</v>
      </c>
      <c r="AL36" s="36">
        <v>0.0</v>
      </c>
      <c r="AM36" s="37" t="s">
        <v>47</v>
      </c>
      <c r="AN36" s="38">
        <f t="shared" si="3"/>
        <v>0</v>
      </c>
      <c r="AO36" s="39">
        <f t="shared" si="9"/>
        <v>595</v>
      </c>
      <c r="AP36" s="40">
        <f t="shared" si="5"/>
        <v>-595</v>
      </c>
      <c r="AQ36" s="14"/>
      <c r="AR36" s="41"/>
      <c r="AS36" s="14"/>
      <c r="AT36" s="23"/>
      <c r="AU36" s="42"/>
      <c r="AV36" s="57"/>
      <c r="AW36" s="37"/>
      <c r="AX36" s="42"/>
      <c r="AY36" s="42"/>
      <c r="AZ36" s="42"/>
    </row>
    <row r="37">
      <c r="A37" s="23" t="s">
        <v>360</v>
      </c>
      <c r="B37" s="23" t="s">
        <v>84</v>
      </c>
      <c r="C37" s="24" t="s">
        <v>380</v>
      </c>
      <c r="D37" s="23" t="s">
        <v>381</v>
      </c>
      <c r="E37" s="23">
        <v>92509.0</v>
      </c>
      <c r="F37" s="23" t="s">
        <v>50</v>
      </c>
      <c r="G37" s="23" t="s">
        <v>376</v>
      </c>
      <c r="H37" s="23" t="s">
        <v>52</v>
      </c>
      <c r="I37" s="50"/>
      <c r="J37" s="23" t="s">
        <v>103</v>
      </c>
      <c r="K37" s="25" t="s">
        <v>382</v>
      </c>
      <c r="L37" s="26" t="s">
        <v>383</v>
      </c>
      <c r="M37" s="26" t="s">
        <v>384</v>
      </c>
      <c r="N37" s="27" t="s">
        <v>92</v>
      </c>
      <c r="O37" s="23" t="s">
        <v>385</v>
      </c>
      <c r="P37" s="23" t="s">
        <v>60</v>
      </c>
      <c r="Q37" s="23" t="s">
        <v>132</v>
      </c>
      <c r="R37" s="23" t="s">
        <v>94</v>
      </c>
      <c r="S37" s="23" t="s">
        <v>386</v>
      </c>
      <c r="T37" s="23" t="s">
        <v>387</v>
      </c>
      <c r="U37" s="23" t="s">
        <v>109</v>
      </c>
      <c r="V37" s="28">
        <v>46174.0</v>
      </c>
      <c r="W37" s="28">
        <v>46209.0</v>
      </c>
      <c r="X37" s="28">
        <v>46209.0</v>
      </c>
      <c r="Y37" s="28"/>
      <c r="Z37" s="29"/>
      <c r="AA37" s="24" t="s">
        <v>65</v>
      </c>
      <c r="AB37" s="23" t="s">
        <v>262</v>
      </c>
      <c r="AC37" s="30">
        <v>595000.0</v>
      </c>
      <c r="AD37" s="51">
        <v>0.0</v>
      </c>
      <c r="AE37" s="62">
        <v>589.0</v>
      </c>
      <c r="AF37" s="33" t="s">
        <v>93</v>
      </c>
      <c r="AG37" s="34">
        <v>0.0</v>
      </c>
      <c r="AH37" s="34">
        <v>0.0</v>
      </c>
      <c r="AI37" s="34">
        <v>0.0</v>
      </c>
      <c r="AJ37" s="34">
        <v>0.0</v>
      </c>
      <c r="AK37" s="34">
        <v>0.0</v>
      </c>
      <c r="AL37" s="36">
        <v>0.0</v>
      </c>
      <c r="AM37" s="37" t="s">
        <v>84</v>
      </c>
      <c r="AN37" s="38">
        <f t="shared" si="3"/>
        <v>1184</v>
      </c>
      <c r="AO37" s="39">
        <f t="shared" si="9"/>
        <v>889.5</v>
      </c>
      <c r="AP37" s="40">
        <f t="shared" si="5"/>
        <v>294.5</v>
      </c>
      <c r="AQ37" s="14"/>
      <c r="AR37" s="41"/>
      <c r="AS37" s="14"/>
      <c r="AT37" s="23"/>
      <c r="AU37" s="42"/>
      <c r="AV37" s="57"/>
      <c r="AW37" s="37"/>
      <c r="AX37" s="42"/>
      <c r="AY37" s="42"/>
      <c r="AZ37" s="42"/>
    </row>
    <row r="38">
      <c r="A38" s="23" t="s">
        <v>360</v>
      </c>
      <c r="B38" s="23" t="s">
        <v>47</v>
      </c>
      <c r="C38" s="24" t="s">
        <v>388</v>
      </c>
      <c r="D38" s="23" t="s">
        <v>389</v>
      </c>
      <c r="E38" s="23">
        <v>92084.0</v>
      </c>
      <c r="F38" s="23" t="s">
        <v>87</v>
      </c>
      <c r="G38" s="23" t="s">
        <v>390</v>
      </c>
      <c r="H38" s="23" t="s">
        <v>172</v>
      </c>
      <c r="I38" s="50"/>
      <c r="J38" s="23" t="s">
        <v>103</v>
      </c>
      <c r="K38" s="25" t="s">
        <v>391</v>
      </c>
      <c r="L38" s="26" t="s">
        <v>392</v>
      </c>
      <c r="M38" s="26" t="s">
        <v>393</v>
      </c>
      <c r="N38" s="27" t="s">
        <v>394</v>
      </c>
      <c r="O38" s="23" t="s">
        <v>59</v>
      </c>
      <c r="P38" s="23" t="s">
        <v>60</v>
      </c>
      <c r="Q38" s="23" t="s">
        <v>132</v>
      </c>
      <c r="R38" s="23" t="s">
        <v>94</v>
      </c>
      <c r="S38" s="63" t="s">
        <v>395</v>
      </c>
      <c r="T38" s="47" t="s">
        <v>396</v>
      </c>
      <c r="U38" s="23" t="s">
        <v>109</v>
      </c>
      <c r="V38" s="28">
        <v>46181.0</v>
      </c>
      <c r="W38" s="28">
        <v>46210.0</v>
      </c>
      <c r="X38" s="28">
        <v>46210.0</v>
      </c>
      <c r="Y38" s="28"/>
      <c r="Z38" s="29"/>
      <c r="AA38" s="24" t="s">
        <v>65</v>
      </c>
      <c r="AB38" s="23" t="s">
        <v>66</v>
      </c>
      <c r="AC38" s="30">
        <v>430000.0</v>
      </c>
      <c r="AD38" s="31">
        <v>0.02</v>
      </c>
      <c r="AE38" s="32">
        <f t="shared" ref="AE38:AE51" si="12">SUM(AC38*AD38)</f>
        <v>8600</v>
      </c>
      <c r="AF38" s="33">
        <v>595.0</v>
      </c>
      <c r="AG38" s="34">
        <v>500.0</v>
      </c>
      <c r="AH38" s="34">
        <v>0.0</v>
      </c>
      <c r="AI38" s="34">
        <v>1095.0</v>
      </c>
      <c r="AJ38" s="34">
        <v>0.0</v>
      </c>
      <c r="AK38" s="34">
        <f>AE38*0.4</f>
        <v>3440</v>
      </c>
      <c r="AL38" s="36">
        <v>0.0</v>
      </c>
      <c r="AM38" s="37" t="s">
        <v>47</v>
      </c>
      <c r="AN38" s="38">
        <f t="shared" si="3"/>
        <v>6255</v>
      </c>
      <c r="AO38" s="39">
        <f t="shared" si="9"/>
        <v>3175</v>
      </c>
      <c r="AP38" s="40">
        <f t="shared" si="5"/>
        <v>2580</v>
      </c>
      <c r="AQ38" s="14"/>
      <c r="AR38" s="41"/>
      <c r="AS38" s="14"/>
      <c r="AT38" s="23"/>
      <c r="AU38" s="42"/>
      <c r="AV38" s="52"/>
      <c r="AW38" s="23"/>
      <c r="AX38" s="42"/>
      <c r="AY38" s="42"/>
      <c r="AZ38" s="42"/>
    </row>
    <row r="39">
      <c r="A39" s="23" t="s">
        <v>360</v>
      </c>
      <c r="B39" s="23" t="s">
        <v>84</v>
      </c>
      <c r="C39" s="24" t="s">
        <v>397</v>
      </c>
      <c r="D39" s="23" t="s">
        <v>398</v>
      </c>
      <c r="E39" s="23">
        <v>92595.0</v>
      </c>
      <c r="F39" s="23" t="s">
        <v>50</v>
      </c>
      <c r="G39" s="23" t="s">
        <v>399</v>
      </c>
      <c r="H39" s="23" t="s">
        <v>73</v>
      </c>
      <c r="I39" s="50"/>
      <c r="J39" s="23" t="s">
        <v>103</v>
      </c>
      <c r="K39" s="25" t="s">
        <v>400</v>
      </c>
      <c r="L39" s="26" t="s">
        <v>401</v>
      </c>
      <c r="M39" s="26" t="s">
        <v>402</v>
      </c>
      <c r="N39" s="27" t="s">
        <v>92</v>
      </c>
      <c r="O39" s="23" t="s">
        <v>153</v>
      </c>
      <c r="P39" s="23" t="s">
        <v>60</v>
      </c>
      <c r="Q39" s="23" t="s">
        <v>132</v>
      </c>
      <c r="R39" s="23" t="s">
        <v>94</v>
      </c>
      <c r="S39" s="47" t="s">
        <v>53</v>
      </c>
      <c r="T39" s="47" t="s">
        <v>53</v>
      </c>
      <c r="U39" s="23" t="s">
        <v>109</v>
      </c>
      <c r="V39" s="28">
        <v>46182.0</v>
      </c>
      <c r="W39" s="28">
        <v>46212.0</v>
      </c>
      <c r="X39" s="28">
        <v>46212.0</v>
      </c>
      <c r="Y39" s="28"/>
      <c r="Z39" s="29"/>
      <c r="AA39" s="24" t="s">
        <v>65</v>
      </c>
      <c r="AB39" s="23" t="s">
        <v>156</v>
      </c>
      <c r="AC39" s="64">
        <v>660000.0</v>
      </c>
      <c r="AD39" s="31">
        <v>0.025</v>
      </c>
      <c r="AE39" s="32">
        <f t="shared" si="12"/>
        <v>16500</v>
      </c>
      <c r="AF39" s="33">
        <v>595.0</v>
      </c>
      <c r="AG39" s="34" t="s">
        <v>111</v>
      </c>
      <c r="AH39" s="34">
        <v>0.0</v>
      </c>
      <c r="AI39" s="34">
        <v>1345.0</v>
      </c>
      <c r="AJ39" s="34">
        <v>0.0</v>
      </c>
      <c r="AK39" s="34">
        <v>0.0</v>
      </c>
      <c r="AL39" s="36">
        <v>0.0</v>
      </c>
      <c r="AM39" s="37" t="s">
        <v>84</v>
      </c>
      <c r="AN39" s="38">
        <f t="shared" si="3"/>
        <v>17845</v>
      </c>
      <c r="AO39" s="39">
        <f t="shared" si="9"/>
        <v>8845</v>
      </c>
      <c r="AP39" s="40">
        <f t="shared" si="5"/>
        <v>9000</v>
      </c>
      <c r="AQ39" s="14"/>
      <c r="AR39" s="41"/>
      <c r="AS39" s="14"/>
      <c r="AT39" s="23"/>
      <c r="AU39" s="42"/>
      <c r="AV39" s="52"/>
      <c r="AW39" s="23"/>
      <c r="AX39" s="42"/>
      <c r="AY39" s="42"/>
      <c r="AZ39" s="42"/>
    </row>
    <row r="40">
      <c r="A40" s="23" t="s">
        <v>360</v>
      </c>
      <c r="B40" s="23" t="s">
        <v>47</v>
      </c>
      <c r="C40" s="24" t="s">
        <v>397</v>
      </c>
      <c r="D40" s="23" t="s">
        <v>398</v>
      </c>
      <c r="E40" s="23">
        <v>92595.0</v>
      </c>
      <c r="F40" s="23" t="s">
        <v>50</v>
      </c>
      <c r="G40" s="23" t="s">
        <v>376</v>
      </c>
      <c r="H40" s="23" t="s">
        <v>52</v>
      </c>
      <c r="I40" s="50"/>
      <c r="J40" s="23" t="s">
        <v>103</v>
      </c>
      <c r="K40" s="65" t="s">
        <v>403</v>
      </c>
      <c r="L40" s="26" t="s">
        <v>404</v>
      </c>
      <c r="M40" s="26" t="s">
        <v>405</v>
      </c>
      <c r="N40" s="27" t="s">
        <v>92</v>
      </c>
      <c r="O40" s="23" t="s">
        <v>153</v>
      </c>
      <c r="P40" s="23" t="s">
        <v>60</v>
      </c>
      <c r="Q40" s="23" t="s">
        <v>132</v>
      </c>
      <c r="R40" s="23" t="s">
        <v>94</v>
      </c>
      <c r="S40" s="47" t="s">
        <v>53</v>
      </c>
      <c r="T40" s="47" t="s">
        <v>53</v>
      </c>
      <c r="U40" s="23" t="s">
        <v>109</v>
      </c>
      <c r="V40" s="28">
        <v>46182.0</v>
      </c>
      <c r="W40" s="28">
        <v>46212.0</v>
      </c>
      <c r="X40" s="28">
        <v>46212.0</v>
      </c>
      <c r="Y40" s="28"/>
      <c r="Z40" s="29"/>
      <c r="AA40" s="24" t="s">
        <v>65</v>
      </c>
      <c r="AB40" s="23"/>
      <c r="AC40" s="64">
        <v>660000.0</v>
      </c>
      <c r="AD40" s="31">
        <v>0.015</v>
      </c>
      <c r="AE40" s="32">
        <f t="shared" si="12"/>
        <v>9900</v>
      </c>
      <c r="AF40" s="33">
        <v>595.0</v>
      </c>
      <c r="AG40" s="34" t="s">
        <v>111</v>
      </c>
      <c r="AH40" s="34">
        <v>0.0</v>
      </c>
      <c r="AI40" s="34">
        <v>0.0</v>
      </c>
      <c r="AJ40" s="34">
        <v>0.0</v>
      </c>
      <c r="AK40" s="34">
        <v>0.0</v>
      </c>
      <c r="AL40" s="36">
        <v>0.0</v>
      </c>
      <c r="AM40" s="37" t="s">
        <v>47</v>
      </c>
      <c r="AN40" s="38">
        <f t="shared" si="3"/>
        <v>9900</v>
      </c>
      <c r="AO40" s="39">
        <f t="shared" si="9"/>
        <v>5545</v>
      </c>
      <c r="AP40" s="40">
        <f t="shared" si="5"/>
        <v>4355</v>
      </c>
      <c r="AQ40" s="14"/>
      <c r="AR40" s="41"/>
      <c r="AS40" s="14"/>
      <c r="AT40" s="23"/>
      <c r="AU40" s="42"/>
      <c r="AV40" s="52"/>
      <c r="AW40" s="23"/>
      <c r="AX40" s="42"/>
      <c r="AY40" s="42"/>
      <c r="AZ40" s="42"/>
    </row>
    <row r="41">
      <c r="A41" s="23" t="s">
        <v>360</v>
      </c>
      <c r="B41" s="23" t="s">
        <v>47</v>
      </c>
      <c r="C41" s="24" t="s">
        <v>406</v>
      </c>
      <c r="D41" s="23" t="s">
        <v>316</v>
      </c>
      <c r="E41" s="23">
        <v>92563.0</v>
      </c>
      <c r="F41" s="23" t="s">
        <v>50</v>
      </c>
      <c r="G41" s="23" t="s">
        <v>407</v>
      </c>
      <c r="H41" s="23" t="s">
        <v>52</v>
      </c>
      <c r="I41" s="50"/>
      <c r="J41" s="23" t="s">
        <v>103</v>
      </c>
      <c r="K41" s="66" t="s">
        <v>408</v>
      </c>
      <c r="L41" s="26" t="s">
        <v>409</v>
      </c>
      <c r="M41" s="26" t="s">
        <v>410</v>
      </c>
      <c r="N41" s="27" t="s">
        <v>411</v>
      </c>
      <c r="O41" s="23"/>
      <c r="P41" s="23" t="s">
        <v>93</v>
      </c>
      <c r="Q41" s="23" t="s">
        <v>61</v>
      </c>
      <c r="R41" s="23"/>
      <c r="S41" s="23" t="s">
        <v>412</v>
      </c>
      <c r="T41" s="23" t="s">
        <v>413</v>
      </c>
      <c r="U41" s="23" t="s">
        <v>109</v>
      </c>
      <c r="V41" s="28">
        <v>46182.0</v>
      </c>
      <c r="W41" s="28">
        <v>46212.0</v>
      </c>
      <c r="X41" s="28">
        <v>46212.0</v>
      </c>
      <c r="Y41" s="28"/>
      <c r="Z41" s="29"/>
      <c r="AA41" s="24" t="s">
        <v>414</v>
      </c>
      <c r="AB41" s="23" t="s">
        <v>66</v>
      </c>
      <c r="AC41" s="30">
        <v>425000.0</v>
      </c>
      <c r="AD41" s="31">
        <v>0.02</v>
      </c>
      <c r="AE41" s="32">
        <f t="shared" si="12"/>
        <v>8500</v>
      </c>
      <c r="AF41" s="33">
        <v>595.0</v>
      </c>
      <c r="AG41" s="34">
        <v>500.0</v>
      </c>
      <c r="AH41" s="34">
        <v>0.0</v>
      </c>
      <c r="AI41" s="34">
        <v>0.0</v>
      </c>
      <c r="AJ41" s="34">
        <v>0.0</v>
      </c>
      <c r="AK41" s="34">
        <f t="shared" ref="AK41:AK44" si="13">AE41*0.4</f>
        <v>3400</v>
      </c>
      <c r="AL41" s="36">
        <v>0.0</v>
      </c>
      <c r="AM41" s="37" t="s">
        <v>47</v>
      </c>
      <c r="AN41" s="38">
        <f t="shared" si="3"/>
        <v>5100</v>
      </c>
      <c r="AO41" s="39">
        <f t="shared" si="9"/>
        <v>3145</v>
      </c>
      <c r="AP41" s="40">
        <f t="shared" si="5"/>
        <v>1455</v>
      </c>
      <c r="AQ41" s="14"/>
      <c r="AR41" s="41"/>
      <c r="AS41" s="14"/>
      <c r="AT41" s="23"/>
      <c r="AU41" s="42"/>
      <c r="AV41" s="52"/>
      <c r="AW41" s="23"/>
      <c r="AX41" s="42"/>
      <c r="AY41" s="42"/>
      <c r="AZ41" s="42"/>
    </row>
    <row r="42" ht="15.0" customHeight="1">
      <c r="A42" s="23" t="s">
        <v>360</v>
      </c>
      <c r="B42" s="23" t="s">
        <v>84</v>
      </c>
      <c r="C42" s="24" t="s">
        <v>415</v>
      </c>
      <c r="D42" s="23" t="s">
        <v>416</v>
      </c>
      <c r="E42" s="23">
        <v>92345.0</v>
      </c>
      <c r="F42" s="23" t="s">
        <v>101</v>
      </c>
      <c r="G42" s="23" t="s">
        <v>159</v>
      </c>
      <c r="H42" s="23" t="s">
        <v>73</v>
      </c>
      <c r="I42" s="50"/>
      <c r="J42" s="23" t="s">
        <v>54</v>
      </c>
      <c r="K42" s="25" t="s">
        <v>417</v>
      </c>
      <c r="L42" s="26" t="s">
        <v>418</v>
      </c>
      <c r="M42" s="26" t="s">
        <v>419</v>
      </c>
      <c r="N42" s="27" t="s">
        <v>92</v>
      </c>
      <c r="O42" s="23" t="s">
        <v>420</v>
      </c>
      <c r="P42" s="23" t="s">
        <v>60</v>
      </c>
      <c r="Q42" s="23" t="s">
        <v>132</v>
      </c>
      <c r="R42" s="23" t="s">
        <v>94</v>
      </c>
      <c r="S42" s="23" t="s">
        <v>421</v>
      </c>
      <c r="T42" s="23" t="s">
        <v>422</v>
      </c>
      <c r="U42" s="23" t="s">
        <v>109</v>
      </c>
      <c r="V42" s="28">
        <v>46183.0</v>
      </c>
      <c r="W42" s="28">
        <v>46213.0</v>
      </c>
      <c r="X42" s="28">
        <v>46213.0</v>
      </c>
      <c r="Y42" s="28"/>
      <c r="Z42" s="29"/>
      <c r="AA42" s="24" t="s">
        <v>65</v>
      </c>
      <c r="AB42" s="23" t="s">
        <v>145</v>
      </c>
      <c r="AC42" s="30">
        <v>490000.0</v>
      </c>
      <c r="AD42" s="31">
        <v>0.05</v>
      </c>
      <c r="AE42" s="32">
        <f t="shared" si="12"/>
        <v>24500</v>
      </c>
      <c r="AF42" s="33">
        <v>595.0</v>
      </c>
      <c r="AG42" s="34">
        <v>500.0</v>
      </c>
      <c r="AH42" s="34">
        <v>0.0</v>
      </c>
      <c r="AI42" s="34">
        <v>1500.0</v>
      </c>
      <c r="AJ42" s="34">
        <v>0.0</v>
      </c>
      <c r="AK42" s="34">
        <f t="shared" si="13"/>
        <v>9800</v>
      </c>
      <c r="AL42" s="36">
        <v>0.0</v>
      </c>
      <c r="AM42" s="37" t="s">
        <v>84</v>
      </c>
      <c r="AN42" s="38">
        <f t="shared" si="3"/>
        <v>16200</v>
      </c>
      <c r="AO42" s="39">
        <f t="shared" si="9"/>
        <v>7945</v>
      </c>
      <c r="AP42" s="40">
        <f t="shared" si="5"/>
        <v>7755</v>
      </c>
      <c r="AQ42" s="14"/>
      <c r="AR42" s="41"/>
      <c r="AS42" s="14"/>
      <c r="AT42" s="23" t="s">
        <v>67</v>
      </c>
      <c r="AU42" s="42"/>
      <c r="AV42" s="52"/>
      <c r="AW42" s="23"/>
      <c r="AX42" s="42"/>
      <c r="AY42" s="42"/>
      <c r="AZ42" s="42"/>
    </row>
    <row r="43">
      <c r="A43" s="23" t="s">
        <v>360</v>
      </c>
      <c r="B43" s="23" t="s">
        <v>84</v>
      </c>
      <c r="C43" s="24" t="s">
        <v>423</v>
      </c>
      <c r="D43" s="23" t="s">
        <v>183</v>
      </c>
      <c r="E43" s="23">
        <v>92555.0</v>
      </c>
      <c r="F43" s="23" t="s">
        <v>50</v>
      </c>
      <c r="G43" s="23" t="s">
        <v>424</v>
      </c>
      <c r="H43" s="23" t="s">
        <v>172</v>
      </c>
      <c r="I43" s="23" t="s">
        <v>53</v>
      </c>
      <c r="J43" s="23" t="s">
        <v>54</v>
      </c>
      <c r="K43" s="25" t="s">
        <v>425</v>
      </c>
      <c r="L43" s="26" t="s">
        <v>426</v>
      </c>
      <c r="M43" s="26" t="s">
        <v>427</v>
      </c>
      <c r="N43" s="27" t="s">
        <v>92</v>
      </c>
      <c r="O43" s="23" t="s">
        <v>428</v>
      </c>
      <c r="P43" s="23" t="s">
        <v>60</v>
      </c>
      <c r="Q43" s="23" t="s">
        <v>132</v>
      </c>
      <c r="R43" s="23" t="s">
        <v>94</v>
      </c>
      <c r="S43" s="23" t="s">
        <v>429</v>
      </c>
      <c r="T43" s="23" t="s">
        <v>430</v>
      </c>
      <c r="U43" s="23" t="s">
        <v>109</v>
      </c>
      <c r="V43" s="28">
        <v>46181.0</v>
      </c>
      <c r="W43" s="28">
        <v>46226.0</v>
      </c>
      <c r="X43" s="28">
        <v>46226.0</v>
      </c>
      <c r="Y43" s="28"/>
      <c r="Z43" s="29"/>
      <c r="AA43" s="24" t="s">
        <v>65</v>
      </c>
      <c r="AB43" s="23" t="s">
        <v>66</v>
      </c>
      <c r="AC43" s="30">
        <v>730000.0</v>
      </c>
      <c r="AD43" s="31">
        <v>0.03</v>
      </c>
      <c r="AE43" s="32">
        <f t="shared" si="12"/>
        <v>21900</v>
      </c>
      <c r="AF43" s="33">
        <v>595.0</v>
      </c>
      <c r="AG43" s="34">
        <v>500.0</v>
      </c>
      <c r="AH43" s="34">
        <v>0.0</v>
      </c>
      <c r="AI43" s="34">
        <v>1095.0</v>
      </c>
      <c r="AJ43" s="34">
        <v>0.0</v>
      </c>
      <c r="AK43" s="34">
        <f t="shared" si="13"/>
        <v>8760</v>
      </c>
      <c r="AL43" s="36">
        <v>0.0</v>
      </c>
      <c r="AM43" s="37" t="s">
        <v>84</v>
      </c>
      <c r="AN43" s="38">
        <f t="shared" si="3"/>
        <v>14235</v>
      </c>
      <c r="AO43" s="39">
        <f t="shared" si="9"/>
        <v>7165</v>
      </c>
      <c r="AP43" s="40">
        <f t="shared" si="5"/>
        <v>6570</v>
      </c>
      <c r="AQ43" s="14"/>
      <c r="AR43" s="41"/>
      <c r="AS43" s="14"/>
      <c r="AT43" s="23"/>
      <c r="AU43" s="42"/>
      <c r="AV43" s="23" t="s">
        <v>233</v>
      </c>
      <c r="AW43" s="23" t="s">
        <v>69</v>
      </c>
      <c r="AX43" s="42"/>
      <c r="AY43" s="42"/>
      <c r="AZ43" s="42"/>
    </row>
    <row r="44">
      <c r="A44" s="53" t="s">
        <v>360</v>
      </c>
      <c r="B44" s="53" t="s">
        <v>84</v>
      </c>
      <c r="C44" s="67" t="s">
        <v>423</v>
      </c>
      <c r="D44" s="53" t="s">
        <v>183</v>
      </c>
      <c r="E44" s="53">
        <v>92555.0</v>
      </c>
      <c r="F44" s="53" t="s">
        <v>50</v>
      </c>
      <c r="G44" s="53" t="s">
        <v>424</v>
      </c>
      <c r="H44" s="53" t="s">
        <v>172</v>
      </c>
      <c r="I44" s="53" t="s">
        <v>53</v>
      </c>
      <c r="J44" s="53" t="s">
        <v>54</v>
      </c>
      <c r="K44" s="68" t="s">
        <v>425</v>
      </c>
      <c r="L44" s="69" t="s">
        <v>426</v>
      </c>
      <c r="M44" s="69" t="s">
        <v>427</v>
      </c>
      <c r="N44" s="70" t="s">
        <v>92</v>
      </c>
      <c r="O44" s="53" t="s">
        <v>428</v>
      </c>
      <c r="P44" s="53" t="s">
        <v>60</v>
      </c>
      <c r="Q44" s="53" t="s">
        <v>132</v>
      </c>
      <c r="R44" s="53" t="s">
        <v>94</v>
      </c>
      <c r="S44" s="53" t="s">
        <v>429</v>
      </c>
      <c r="T44" s="53" t="s">
        <v>430</v>
      </c>
      <c r="U44" s="53" t="s">
        <v>109</v>
      </c>
      <c r="V44" s="71">
        <v>46181.0</v>
      </c>
      <c r="W44" s="71">
        <v>46226.0</v>
      </c>
      <c r="X44" s="71">
        <v>46226.0</v>
      </c>
      <c r="Y44" s="71"/>
      <c r="Z44" s="72"/>
      <c r="AA44" s="67" t="s">
        <v>65</v>
      </c>
      <c r="AB44" s="53" t="s">
        <v>66</v>
      </c>
      <c r="AC44" s="73">
        <v>730000.0</v>
      </c>
      <c r="AD44" s="74">
        <v>0.03</v>
      </c>
      <c r="AE44" s="75">
        <f t="shared" si="12"/>
        <v>21900</v>
      </c>
      <c r="AF44" s="76">
        <v>595.0</v>
      </c>
      <c r="AG44" s="77">
        <v>500.0</v>
      </c>
      <c r="AH44" s="77">
        <v>0.0</v>
      </c>
      <c r="AI44" s="77">
        <v>1095.0</v>
      </c>
      <c r="AJ44" s="77">
        <v>0.0</v>
      </c>
      <c r="AK44" s="77">
        <f t="shared" si="13"/>
        <v>8760</v>
      </c>
      <c r="AL44" s="78">
        <v>0.0</v>
      </c>
      <c r="AM44" s="53" t="s">
        <v>84</v>
      </c>
      <c r="AN44" s="75">
        <f t="shared" si="3"/>
        <v>14235</v>
      </c>
      <c r="AO44" s="79">
        <f t="shared" si="9"/>
        <v>7165</v>
      </c>
      <c r="AP44" s="75">
        <f t="shared" si="5"/>
        <v>6570</v>
      </c>
      <c r="AQ44" s="80"/>
      <c r="AR44" s="81"/>
      <c r="AS44" s="80"/>
      <c r="AT44" s="53"/>
      <c r="AU44" s="82"/>
      <c r="AV44" s="53" t="s">
        <v>233</v>
      </c>
      <c r="AW44" s="53" t="s">
        <v>69</v>
      </c>
      <c r="AX44" s="82"/>
      <c r="AY44" s="82"/>
      <c r="AZ44" s="82"/>
    </row>
    <row r="45">
      <c r="A45" s="23" t="s">
        <v>360</v>
      </c>
      <c r="B45" s="23" t="s">
        <v>84</v>
      </c>
      <c r="C45" s="24" t="s">
        <v>431</v>
      </c>
      <c r="D45" s="23" t="s">
        <v>432</v>
      </c>
      <c r="E45" s="23">
        <v>92570.0</v>
      </c>
      <c r="F45" s="23" t="s">
        <v>50</v>
      </c>
      <c r="G45" s="23" t="s">
        <v>255</v>
      </c>
      <c r="H45" s="23" t="s">
        <v>256</v>
      </c>
      <c r="I45" s="50"/>
      <c r="J45" s="23" t="s">
        <v>103</v>
      </c>
      <c r="K45" s="49" t="s">
        <v>433</v>
      </c>
      <c r="L45" s="49" t="s">
        <v>434</v>
      </c>
      <c r="M45" s="49" t="s">
        <v>435</v>
      </c>
      <c r="N45" s="27" t="s">
        <v>92</v>
      </c>
      <c r="O45" s="23" t="s">
        <v>436</v>
      </c>
      <c r="P45" s="23" t="s">
        <v>60</v>
      </c>
      <c r="Q45" s="23" t="s">
        <v>61</v>
      </c>
      <c r="R45" s="23" t="s">
        <v>247</v>
      </c>
      <c r="S45" s="23" t="s">
        <v>437</v>
      </c>
      <c r="T45" s="23" t="s">
        <v>438</v>
      </c>
      <c r="U45" s="23" t="s">
        <v>109</v>
      </c>
      <c r="V45" s="28">
        <v>46181.0</v>
      </c>
      <c r="W45" s="28">
        <v>46216.0</v>
      </c>
      <c r="X45" s="28">
        <v>46216.0</v>
      </c>
      <c r="Y45" s="28"/>
      <c r="Z45" s="29"/>
      <c r="AA45" s="24" t="s">
        <v>65</v>
      </c>
      <c r="AB45" s="23"/>
      <c r="AC45" s="30">
        <v>950000.0</v>
      </c>
      <c r="AD45" s="31">
        <v>0.04</v>
      </c>
      <c r="AE45" s="32">
        <f t="shared" si="12"/>
        <v>38000</v>
      </c>
      <c r="AF45" s="33">
        <v>595.0</v>
      </c>
      <c r="AG45" s="34">
        <v>0.0</v>
      </c>
      <c r="AH45" s="34" t="s">
        <v>82</v>
      </c>
      <c r="AI45" s="34">
        <v>695.0</v>
      </c>
      <c r="AJ45" s="34">
        <v>0.0</v>
      </c>
      <c r="AK45" s="34">
        <v>0.0</v>
      </c>
      <c r="AL45" s="36">
        <v>0.0</v>
      </c>
      <c r="AM45" s="37" t="s">
        <v>84</v>
      </c>
      <c r="AN45" s="38">
        <f t="shared" si="3"/>
        <v>38695</v>
      </c>
      <c r="AO45" s="39">
        <f t="shared" si="9"/>
        <v>19595</v>
      </c>
      <c r="AP45" s="40">
        <f t="shared" si="5"/>
        <v>19100</v>
      </c>
      <c r="AQ45" s="14"/>
      <c r="AR45" s="41"/>
      <c r="AS45" s="14"/>
      <c r="AT45" s="23"/>
      <c r="AU45" s="42"/>
      <c r="AV45" s="52"/>
      <c r="AW45" s="23"/>
      <c r="AX45" s="42"/>
      <c r="AY45" s="42"/>
      <c r="AZ45" s="42"/>
    </row>
    <row r="46">
      <c r="A46" s="23" t="s">
        <v>439</v>
      </c>
      <c r="B46" s="23" t="s">
        <v>47</v>
      </c>
      <c r="C46" s="24" t="s">
        <v>440</v>
      </c>
      <c r="D46" s="83" t="s">
        <v>71</v>
      </c>
      <c r="E46" s="23">
        <v>92543.0</v>
      </c>
      <c r="F46" s="23" t="s">
        <v>50</v>
      </c>
      <c r="G46" s="23" t="s">
        <v>424</v>
      </c>
      <c r="H46" s="23" t="s">
        <v>172</v>
      </c>
      <c r="I46" s="50"/>
      <c r="J46" s="23" t="s">
        <v>54</v>
      </c>
      <c r="K46" s="25" t="s">
        <v>441</v>
      </c>
      <c r="L46" s="26" t="s">
        <v>442</v>
      </c>
      <c r="M46" s="26" t="s">
        <v>443</v>
      </c>
      <c r="N46" s="27" t="s">
        <v>164</v>
      </c>
      <c r="O46" s="23" t="s">
        <v>444</v>
      </c>
      <c r="P46" s="23" t="s">
        <v>343</v>
      </c>
      <c r="Q46" s="23" t="s">
        <v>343</v>
      </c>
      <c r="R46" s="23" t="s">
        <v>247</v>
      </c>
      <c r="S46" s="47" t="s">
        <v>359</v>
      </c>
      <c r="T46" s="47" t="s">
        <v>359</v>
      </c>
      <c r="U46" s="23" t="s">
        <v>109</v>
      </c>
      <c r="V46" s="28">
        <v>46175.0</v>
      </c>
      <c r="W46" s="28">
        <v>46248.0</v>
      </c>
      <c r="X46" s="28">
        <v>46248.0</v>
      </c>
      <c r="Y46" s="28"/>
      <c r="Z46" s="29"/>
      <c r="AA46" s="24" t="s">
        <v>343</v>
      </c>
      <c r="AB46" s="23" t="s">
        <v>66</v>
      </c>
      <c r="AC46" s="30">
        <v>552411.0</v>
      </c>
      <c r="AD46" s="31">
        <v>0.02</v>
      </c>
      <c r="AE46" s="32">
        <f t="shared" si="12"/>
        <v>11048.22</v>
      </c>
      <c r="AF46" s="33">
        <v>595.0</v>
      </c>
      <c r="AG46" s="34">
        <v>0.0</v>
      </c>
      <c r="AH46" s="34" t="s">
        <v>82</v>
      </c>
      <c r="AI46" s="34">
        <v>595.0</v>
      </c>
      <c r="AJ46" s="34">
        <v>0.0</v>
      </c>
      <c r="AK46" s="34">
        <f>AE46*0.4</f>
        <v>4419.288</v>
      </c>
      <c r="AL46" s="36">
        <v>0.0</v>
      </c>
      <c r="AM46" s="37" t="s">
        <v>47</v>
      </c>
      <c r="AN46" s="38">
        <f t="shared" si="3"/>
        <v>7223.932</v>
      </c>
      <c r="AO46" s="39">
        <f t="shared" si="9"/>
        <v>3909.466</v>
      </c>
      <c r="AP46" s="40">
        <f t="shared" si="5"/>
        <v>3314.466</v>
      </c>
      <c r="AQ46" s="14"/>
      <c r="AR46" s="41"/>
      <c r="AS46" s="14"/>
      <c r="AT46" s="23"/>
      <c r="AU46" s="42"/>
      <c r="AV46" s="57"/>
      <c r="AW46" s="37"/>
      <c r="AX46" s="42"/>
      <c r="AY46" s="42"/>
      <c r="AZ46" s="42"/>
    </row>
    <row r="47">
      <c r="A47" s="23" t="s">
        <v>360</v>
      </c>
      <c r="B47" s="23" t="s">
        <v>84</v>
      </c>
      <c r="C47" s="24" t="s">
        <v>445</v>
      </c>
      <c r="D47" s="23" t="s">
        <v>446</v>
      </c>
      <c r="E47" s="23">
        <v>92337.0</v>
      </c>
      <c r="F47" s="23" t="s">
        <v>101</v>
      </c>
      <c r="G47" s="23" t="s">
        <v>139</v>
      </c>
      <c r="H47" s="23" t="s">
        <v>73</v>
      </c>
      <c r="I47" s="50"/>
      <c r="J47" s="23" t="s">
        <v>103</v>
      </c>
      <c r="K47" s="49" t="s">
        <v>447</v>
      </c>
      <c r="L47" s="49" t="s">
        <v>448</v>
      </c>
      <c r="M47" s="49" t="s">
        <v>449</v>
      </c>
      <c r="N47" s="27" t="s">
        <v>92</v>
      </c>
      <c r="O47" s="23" t="s">
        <v>450</v>
      </c>
      <c r="P47" s="23" t="s">
        <v>60</v>
      </c>
      <c r="Q47" s="23" t="s">
        <v>132</v>
      </c>
      <c r="R47" s="23" t="s">
        <v>247</v>
      </c>
      <c r="S47" s="23" t="s">
        <v>451</v>
      </c>
      <c r="T47" s="23" t="s">
        <v>452</v>
      </c>
      <c r="U47" s="23" t="s">
        <v>109</v>
      </c>
      <c r="V47" s="28">
        <v>46183.0</v>
      </c>
      <c r="W47" s="28">
        <v>46213.0</v>
      </c>
      <c r="X47" s="28">
        <v>46213.0</v>
      </c>
      <c r="Y47" s="28"/>
      <c r="Z47" s="29"/>
      <c r="AA47" s="24" t="s">
        <v>65</v>
      </c>
      <c r="AB47" s="23"/>
      <c r="AC47" s="30">
        <v>635000.0</v>
      </c>
      <c r="AD47" s="31">
        <v>0.02</v>
      </c>
      <c r="AE47" s="32">
        <f t="shared" si="12"/>
        <v>12700</v>
      </c>
      <c r="AF47" s="33">
        <v>595.0</v>
      </c>
      <c r="AG47" s="34" t="s">
        <v>111</v>
      </c>
      <c r="AH47" s="34">
        <v>0.0</v>
      </c>
      <c r="AI47" s="34">
        <v>999.0</v>
      </c>
      <c r="AJ47" s="34">
        <v>0.0</v>
      </c>
      <c r="AK47" s="34">
        <v>0.0</v>
      </c>
      <c r="AL47" s="36">
        <v>0.0</v>
      </c>
      <c r="AM47" s="37" t="s">
        <v>84</v>
      </c>
      <c r="AN47" s="38">
        <f t="shared" si="3"/>
        <v>13699</v>
      </c>
      <c r="AO47" s="39">
        <f t="shared" si="9"/>
        <v>6945</v>
      </c>
      <c r="AP47" s="40">
        <f t="shared" si="5"/>
        <v>6754</v>
      </c>
      <c r="AQ47" s="14"/>
      <c r="AR47" s="41"/>
      <c r="AS47" s="14"/>
      <c r="AT47" s="23"/>
      <c r="AU47" s="42"/>
      <c r="AV47" s="52"/>
      <c r="AW47" s="23"/>
      <c r="AX47" s="42"/>
      <c r="AY47" s="42"/>
      <c r="AZ47" s="42"/>
    </row>
    <row r="48">
      <c r="A48" s="23" t="s">
        <v>98</v>
      </c>
      <c r="B48" s="23" t="s">
        <v>47</v>
      </c>
      <c r="C48" s="24" t="s">
        <v>453</v>
      </c>
      <c r="D48" s="23" t="s">
        <v>49</v>
      </c>
      <c r="E48" s="23">
        <v>92584.0</v>
      </c>
      <c r="F48" s="23" t="s">
        <v>50</v>
      </c>
      <c r="G48" s="23" t="s">
        <v>184</v>
      </c>
      <c r="H48" s="23" t="s">
        <v>73</v>
      </c>
      <c r="I48" s="50"/>
      <c r="J48" s="23" t="s">
        <v>185</v>
      </c>
      <c r="K48" s="25" t="s">
        <v>454</v>
      </c>
      <c r="L48" s="26" t="s">
        <v>455</v>
      </c>
      <c r="M48" s="26" t="s">
        <v>456</v>
      </c>
      <c r="N48" s="27" t="s">
        <v>92</v>
      </c>
      <c r="O48" s="47" t="s">
        <v>143</v>
      </c>
      <c r="P48" s="23" t="s">
        <v>60</v>
      </c>
      <c r="Q48" s="23" t="s">
        <v>132</v>
      </c>
      <c r="R48" s="23" t="s">
        <v>94</v>
      </c>
      <c r="S48" s="23" t="s">
        <v>457</v>
      </c>
      <c r="T48" s="23" t="s">
        <v>458</v>
      </c>
      <c r="U48" s="23" t="s">
        <v>109</v>
      </c>
      <c r="V48" s="28">
        <v>46184.0</v>
      </c>
      <c r="W48" s="28">
        <v>46203.0</v>
      </c>
      <c r="X48" s="28">
        <v>46203.0</v>
      </c>
      <c r="Y48" s="28"/>
      <c r="Z48" s="29"/>
      <c r="AA48" s="24" t="s">
        <v>65</v>
      </c>
      <c r="AB48" s="23" t="s">
        <v>167</v>
      </c>
      <c r="AC48" s="30">
        <v>510000.0</v>
      </c>
      <c r="AD48" s="31">
        <v>0.02</v>
      </c>
      <c r="AE48" s="32">
        <f t="shared" si="12"/>
        <v>10200</v>
      </c>
      <c r="AF48" s="33">
        <v>595.0</v>
      </c>
      <c r="AG48" s="34">
        <v>0.0</v>
      </c>
      <c r="AH48" s="34">
        <v>0.0</v>
      </c>
      <c r="AI48" s="34">
        <v>0.0</v>
      </c>
      <c r="AJ48" s="34">
        <v>0.0</v>
      </c>
      <c r="AK48" s="34">
        <v>0.0</v>
      </c>
      <c r="AL48" s="36">
        <v>0.0</v>
      </c>
      <c r="AM48" s="37" t="s">
        <v>277</v>
      </c>
      <c r="AN48" s="38">
        <f t="shared" si="3"/>
        <v>10200</v>
      </c>
      <c r="AO48" s="39">
        <f>if(AM48="Buyer",-sum((-AE48+AK48+AJ48)*50%),if(AM48="Seller",-sum(('Closed 2026'!AN219-AE48+AK48+AJ48)*50%),-sum(((-AE48+AK48+AJ48)*((100-right(AM48,3))/100)))))+if(AF48&lt;&gt;595,595, sum(AF48))</f>
        <v>595</v>
      </c>
      <c r="AP48" s="40">
        <f t="shared" si="5"/>
        <v>9605</v>
      </c>
      <c r="AQ48" s="14"/>
      <c r="AR48" s="41"/>
      <c r="AS48" s="14"/>
      <c r="AT48" s="23"/>
      <c r="AU48" s="42"/>
      <c r="AV48" s="52"/>
      <c r="AW48" s="53"/>
      <c r="AX48" s="42"/>
      <c r="AY48" s="42"/>
      <c r="AZ48" s="42"/>
    </row>
    <row r="49">
      <c r="A49" s="23" t="s">
        <v>360</v>
      </c>
      <c r="B49" s="23" t="s">
        <v>84</v>
      </c>
      <c r="C49" s="24" t="s">
        <v>459</v>
      </c>
      <c r="D49" s="23" t="s">
        <v>49</v>
      </c>
      <c r="E49" s="23">
        <v>92585.0</v>
      </c>
      <c r="F49" s="23" t="s">
        <v>50</v>
      </c>
      <c r="G49" s="23" t="s">
        <v>102</v>
      </c>
      <c r="H49" s="23" t="s">
        <v>73</v>
      </c>
      <c r="I49" s="50"/>
      <c r="J49" s="23" t="s">
        <v>103</v>
      </c>
      <c r="K49" s="54" t="s">
        <v>460</v>
      </c>
      <c r="L49" s="54" t="s">
        <v>461</v>
      </c>
      <c r="M49" s="54" t="s">
        <v>462</v>
      </c>
      <c r="N49" s="27" t="s">
        <v>92</v>
      </c>
      <c r="O49" s="23" t="s">
        <v>463</v>
      </c>
      <c r="P49" s="23" t="s">
        <v>60</v>
      </c>
      <c r="Q49" s="23" t="s">
        <v>132</v>
      </c>
      <c r="R49" s="23" t="s">
        <v>247</v>
      </c>
      <c r="S49" s="84" t="s">
        <v>464</v>
      </c>
      <c r="T49" s="23" t="s">
        <v>465</v>
      </c>
      <c r="U49" s="23" t="s">
        <v>109</v>
      </c>
      <c r="V49" s="28">
        <v>46187.0</v>
      </c>
      <c r="W49" s="28">
        <v>46217.0</v>
      </c>
      <c r="X49" s="28">
        <v>46217.0</v>
      </c>
      <c r="Y49" s="28"/>
      <c r="Z49" s="29"/>
      <c r="AA49" s="24" t="s">
        <v>65</v>
      </c>
      <c r="AB49" s="23"/>
      <c r="AC49" s="30">
        <v>655000.0</v>
      </c>
      <c r="AD49" s="31">
        <v>0.02</v>
      </c>
      <c r="AE49" s="32">
        <f t="shared" si="12"/>
        <v>13100</v>
      </c>
      <c r="AF49" s="33">
        <v>595.0</v>
      </c>
      <c r="AG49" s="34" t="s">
        <v>111</v>
      </c>
      <c r="AH49" s="34">
        <v>0.0</v>
      </c>
      <c r="AI49" s="34">
        <v>695.0</v>
      </c>
      <c r="AJ49" s="34">
        <v>0.0</v>
      </c>
      <c r="AK49" s="34">
        <v>0.0</v>
      </c>
      <c r="AL49" s="36">
        <v>0.0</v>
      </c>
      <c r="AM49" s="37" t="s">
        <v>84</v>
      </c>
      <c r="AN49" s="38">
        <f t="shared" si="3"/>
        <v>13795</v>
      </c>
      <c r="AO49" s="39">
        <f t="shared" ref="AO49:AO73" si="14">if(AM49="Buyer",-sum((-AE49+AK49+AJ49)*50%),if(AM49="Seller",-sum((-AE49+AK49+AJ49)*50%),-sum(((-AE49+AK49+AJ49)*((100-right(AM49,2))/100)))))+if(AF49&lt;&gt;595,595, sum(AF49))</f>
        <v>7145</v>
      </c>
      <c r="AP49" s="40">
        <f t="shared" si="5"/>
        <v>6650</v>
      </c>
      <c r="AQ49" s="14"/>
      <c r="AR49" s="41"/>
      <c r="AS49" s="14"/>
      <c r="AT49" s="23"/>
      <c r="AU49" s="42"/>
      <c r="AV49" s="52"/>
      <c r="AW49" s="23"/>
      <c r="AX49" s="42"/>
      <c r="AY49" s="42"/>
      <c r="AZ49" s="42"/>
    </row>
    <row r="50">
      <c r="A50" s="23" t="s">
        <v>360</v>
      </c>
      <c r="B50" s="23" t="s">
        <v>47</v>
      </c>
      <c r="C50" s="24" t="s">
        <v>466</v>
      </c>
      <c r="D50" s="23" t="s">
        <v>86</v>
      </c>
      <c r="E50" s="23">
        <v>92054.0</v>
      </c>
      <c r="F50" s="23" t="s">
        <v>87</v>
      </c>
      <c r="G50" s="23" t="s">
        <v>332</v>
      </c>
      <c r="H50" s="23" t="s">
        <v>73</v>
      </c>
      <c r="I50" s="50"/>
      <c r="J50" s="23" t="s">
        <v>103</v>
      </c>
      <c r="K50" s="25" t="s">
        <v>467</v>
      </c>
      <c r="L50" s="26" t="s">
        <v>468</v>
      </c>
      <c r="M50" s="26" t="s">
        <v>469</v>
      </c>
      <c r="N50" s="27" t="s">
        <v>470</v>
      </c>
      <c r="O50" s="23" t="s">
        <v>471</v>
      </c>
      <c r="P50" s="23" t="s">
        <v>60</v>
      </c>
      <c r="Q50" s="23" t="s">
        <v>61</v>
      </c>
      <c r="R50" s="23" t="s">
        <v>472</v>
      </c>
      <c r="S50" s="37" t="s">
        <v>473</v>
      </c>
      <c r="T50" s="23" t="s">
        <v>474</v>
      </c>
      <c r="U50" s="23" t="s">
        <v>109</v>
      </c>
      <c r="V50" s="28">
        <v>46187.0</v>
      </c>
      <c r="W50" s="28">
        <v>46217.0</v>
      </c>
      <c r="X50" s="28">
        <v>46217.0</v>
      </c>
      <c r="Y50" s="28"/>
      <c r="Z50" s="29"/>
      <c r="AA50" s="24" t="s">
        <v>65</v>
      </c>
      <c r="AB50" s="23" t="s">
        <v>156</v>
      </c>
      <c r="AC50" s="30">
        <v>1250000.0</v>
      </c>
      <c r="AD50" s="31">
        <v>0.02</v>
      </c>
      <c r="AE50" s="32">
        <f t="shared" si="12"/>
        <v>25000</v>
      </c>
      <c r="AF50" s="33">
        <v>595.0</v>
      </c>
      <c r="AG50" s="34" t="s">
        <v>111</v>
      </c>
      <c r="AH50" s="34" t="s">
        <v>82</v>
      </c>
      <c r="AI50" s="34">
        <v>1095.0</v>
      </c>
      <c r="AJ50" s="34">
        <v>0.0</v>
      </c>
      <c r="AK50" s="34">
        <v>0.0</v>
      </c>
      <c r="AL50" s="36">
        <v>0.0</v>
      </c>
      <c r="AM50" s="37" t="s">
        <v>47</v>
      </c>
      <c r="AN50" s="38">
        <f t="shared" si="3"/>
        <v>26095</v>
      </c>
      <c r="AO50" s="39">
        <f t="shared" si="14"/>
        <v>13095</v>
      </c>
      <c r="AP50" s="40">
        <f t="shared" si="5"/>
        <v>13000</v>
      </c>
      <c r="AQ50" s="14"/>
      <c r="AR50" s="41"/>
      <c r="AS50" s="14"/>
      <c r="AT50" s="23"/>
      <c r="AU50" s="42"/>
      <c r="AV50" s="52"/>
      <c r="AW50" s="23"/>
      <c r="AX50" s="42"/>
      <c r="AY50" s="42"/>
      <c r="AZ50" s="42"/>
    </row>
    <row r="51">
      <c r="A51" s="23" t="s">
        <v>360</v>
      </c>
      <c r="B51" s="23" t="s">
        <v>47</v>
      </c>
      <c r="C51" s="24" t="s">
        <v>475</v>
      </c>
      <c r="D51" s="23" t="s">
        <v>476</v>
      </c>
      <c r="E51" s="23">
        <v>92411.0</v>
      </c>
      <c r="F51" s="23" t="s">
        <v>101</v>
      </c>
      <c r="G51" s="23" t="s">
        <v>477</v>
      </c>
      <c r="H51" s="23" t="s">
        <v>52</v>
      </c>
      <c r="I51" s="50"/>
      <c r="J51" s="23" t="s">
        <v>103</v>
      </c>
      <c r="K51" s="25" t="s">
        <v>478</v>
      </c>
      <c r="L51" s="85" t="s">
        <v>479</v>
      </c>
      <c r="M51" s="26" t="s">
        <v>480</v>
      </c>
      <c r="N51" s="27" t="s">
        <v>481</v>
      </c>
      <c r="O51" s="23" t="s">
        <v>482</v>
      </c>
      <c r="P51" s="23" t="s">
        <v>60</v>
      </c>
      <c r="Q51" s="23" t="s">
        <v>61</v>
      </c>
      <c r="R51" s="23"/>
      <c r="S51" s="23" t="s">
        <v>483</v>
      </c>
      <c r="T51" s="23" t="s">
        <v>484</v>
      </c>
      <c r="U51" s="23" t="s">
        <v>109</v>
      </c>
      <c r="V51" s="28">
        <v>46182.0</v>
      </c>
      <c r="W51" s="28">
        <v>46227.0</v>
      </c>
      <c r="X51" s="28">
        <v>46227.0</v>
      </c>
      <c r="Y51" s="28"/>
      <c r="Z51" s="29"/>
      <c r="AA51" s="24" t="s">
        <v>65</v>
      </c>
      <c r="AB51" s="23" t="s">
        <v>485</v>
      </c>
      <c r="AC51" s="30">
        <v>150745.0</v>
      </c>
      <c r="AD51" s="31">
        <v>0.03</v>
      </c>
      <c r="AE51" s="32">
        <f t="shared" si="12"/>
        <v>4522.35</v>
      </c>
      <c r="AF51" s="33">
        <v>595.0</v>
      </c>
      <c r="AG51" s="34">
        <v>500.0</v>
      </c>
      <c r="AH51" s="34" t="s">
        <v>82</v>
      </c>
      <c r="AI51" s="34">
        <v>1095.0</v>
      </c>
      <c r="AJ51" s="34">
        <v>0.0</v>
      </c>
      <c r="AK51" s="34">
        <v>0.0</v>
      </c>
      <c r="AL51" s="36">
        <v>0.0</v>
      </c>
      <c r="AM51" s="37" t="s">
        <v>47</v>
      </c>
      <c r="AN51" s="38">
        <f t="shared" si="3"/>
        <v>5617.35</v>
      </c>
      <c r="AO51" s="39">
        <f t="shared" si="14"/>
        <v>2856.175</v>
      </c>
      <c r="AP51" s="40">
        <f t="shared" si="5"/>
        <v>2261.175</v>
      </c>
      <c r="AQ51" s="14"/>
      <c r="AR51" s="41"/>
      <c r="AS51" s="14"/>
      <c r="AT51" s="23"/>
      <c r="AU51" s="42"/>
      <c r="AV51" s="52"/>
      <c r="AW51" s="23"/>
      <c r="AX51" s="42"/>
      <c r="AY51" s="42"/>
      <c r="AZ51" s="42"/>
    </row>
    <row r="52">
      <c r="A52" s="23" t="s">
        <v>486</v>
      </c>
      <c r="B52" s="23" t="s">
        <v>47</v>
      </c>
      <c r="C52" s="24" t="s">
        <v>487</v>
      </c>
      <c r="D52" s="23" t="s">
        <v>158</v>
      </c>
      <c r="E52" s="23">
        <v>92530.0</v>
      </c>
      <c r="F52" s="23" t="s">
        <v>50</v>
      </c>
      <c r="G52" s="23" t="s">
        <v>488</v>
      </c>
      <c r="H52" s="23" t="s">
        <v>52</v>
      </c>
      <c r="I52" s="50"/>
      <c r="J52" s="23" t="s">
        <v>54</v>
      </c>
      <c r="K52" s="25" t="s">
        <v>489</v>
      </c>
      <c r="L52" s="26" t="s">
        <v>490</v>
      </c>
      <c r="M52" s="26" t="s">
        <v>491</v>
      </c>
      <c r="N52" s="27" t="s">
        <v>492</v>
      </c>
      <c r="O52" s="23" t="s">
        <v>493</v>
      </c>
      <c r="P52" s="23" t="s">
        <v>343</v>
      </c>
      <c r="Q52" s="23" t="s">
        <v>343</v>
      </c>
      <c r="R52" s="23" t="s">
        <v>472</v>
      </c>
      <c r="S52" s="23" t="s">
        <v>494</v>
      </c>
      <c r="T52" s="23" t="s">
        <v>495</v>
      </c>
      <c r="U52" s="23" t="s">
        <v>109</v>
      </c>
      <c r="V52" s="28">
        <v>46189.0</v>
      </c>
      <c r="W52" s="28">
        <v>46356.0</v>
      </c>
      <c r="X52" s="28">
        <v>46356.0</v>
      </c>
      <c r="Y52" s="28"/>
      <c r="Z52" s="29"/>
      <c r="AA52" s="24" t="s">
        <v>343</v>
      </c>
      <c r="AB52" s="23" t="s">
        <v>66</v>
      </c>
      <c r="AC52" s="30">
        <v>528990.0</v>
      </c>
      <c r="AD52" s="51">
        <v>0.0</v>
      </c>
      <c r="AE52" s="62">
        <v>13000.0</v>
      </c>
      <c r="AF52" s="33">
        <v>595.0</v>
      </c>
      <c r="AG52" s="34">
        <v>0.0</v>
      </c>
      <c r="AH52" s="34" t="s">
        <v>82</v>
      </c>
      <c r="AI52" s="34">
        <v>995.0</v>
      </c>
      <c r="AJ52" s="34">
        <v>0.0</v>
      </c>
      <c r="AK52" s="34">
        <v>0.0</v>
      </c>
      <c r="AL52" s="36">
        <v>0.0</v>
      </c>
      <c r="AM52" s="37" t="s">
        <v>47</v>
      </c>
      <c r="AN52" s="38">
        <f t="shared" si="3"/>
        <v>13995</v>
      </c>
      <c r="AO52" s="39">
        <f t="shared" si="14"/>
        <v>7095</v>
      </c>
      <c r="AP52" s="40">
        <f t="shared" si="5"/>
        <v>6900</v>
      </c>
      <c r="AQ52" s="14"/>
      <c r="AR52" s="41"/>
      <c r="AS52" s="14"/>
      <c r="AT52" s="23"/>
      <c r="AU52" s="42"/>
      <c r="AV52" s="52"/>
      <c r="AW52" s="23"/>
      <c r="AX52" s="42"/>
      <c r="AY52" s="42"/>
      <c r="AZ52" s="42"/>
    </row>
    <row r="53">
      <c r="A53" s="23" t="s">
        <v>360</v>
      </c>
      <c r="B53" s="23" t="s">
        <v>47</v>
      </c>
      <c r="C53" s="24" t="s">
        <v>496</v>
      </c>
      <c r="D53" s="23" t="s">
        <v>497</v>
      </c>
      <c r="E53" s="23">
        <v>92592.0</v>
      </c>
      <c r="F53" s="23" t="s">
        <v>50</v>
      </c>
      <c r="G53" s="23" t="s">
        <v>226</v>
      </c>
      <c r="H53" s="23" t="s">
        <v>172</v>
      </c>
      <c r="I53" s="50"/>
      <c r="J53" s="23" t="s">
        <v>54</v>
      </c>
      <c r="K53" s="25" t="s">
        <v>498</v>
      </c>
      <c r="L53" s="26" t="s">
        <v>499</v>
      </c>
      <c r="M53" s="26" t="s">
        <v>500</v>
      </c>
      <c r="N53" s="27" t="s">
        <v>501</v>
      </c>
      <c r="O53" s="23" t="s">
        <v>59</v>
      </c>
      <c r="P53" s="23" t="s">
        <v>60</v>
      </c>
      <c r="Q53" s="23" t="s">
        <v>61</v>
      </c>
      <c r="R53" s="23"/>
      <c r="S53" s="23" t="s">
        <v>502</v>
      </c>
      <c r="T53" s="23" t="s">
        <v>503</v>
      </c>
      <c r="U53" s="23" t="s">
        <v>109</v>
      </c>
      <c r="V53" s="28">
        <v>46189.0</v>
      </c>
      <c r="W53" s="28">
        <v>46210.0</v>
      </c>
      <c r="X53" s="28">
        <v>46210.0</v>
      </c>
      <c r="Y53" s="28"/>
      <c r="Z53" s="29"/>
      <c r="AA53" s="24" t="s">
        <v>65</v>
      </c>
      <c r="AB53" s="23" t="s">
        <v>66</v>
      </c>
      <c r="AC53" s="30">
        <v>685000.0</v>
      </c>
      <c r="AD53" s="31">
        <v>0.03</v>
      </c>
      <c r="AE53" s="32">
        <f t="shared" ref="AE53:AE73" si="15">SUM(AC53*AD53)</f>
        <v>20550</v>
      </c>
      <c r="AF53" s="33">
        <v>595.0</v>
      </c>
      <c r="AG53" s="34">
        <v>500.0</v>
      </c>
      <c r="AH53" s="34" t="s">
        <v>82</v>
      </c>
      <c r="AI53" s="34">
        <v>1095.0</v>
      </c>
      <c r="AJ53" s="34">
        <v>0.0</v>
      </c>
      <c r="AK53" s="34">
        <v>0.0</v>
      </c>
      <c r="AL53" s="36">
        <v>0.0</v>
      </c>
      <c r="AM53" s="37" t="s">
        <v>47</v>
      </c>
      <c r="AN53" s="38">
        <f t="shared" si="3"/>
        <v>21645</v>
      </c>
      <c r="AO53" s="39">
        <f t="shared" si="14"/>
        <v>10870</v>
      </c>
      <c r="AP53" s="40">
        <f t="shared" si="5"/>
        <v>10275</v>
      </c>
      <c r="AQ53" s="14"/>
      <c r="AR53" s="41"/>
      <c r="AS53" s="14"/>
      <c r="AT53" s="23"/>
      <c r="AU53" s="42"/>
      <c r="AV53" s="52"/>
      <c r="AW53" s="23"/>
      <c r="AX53" s="42"/>
      <c r="AY53" s="42"/>
      <c r="AZ53" s="42"/>
    </row>
    <row r="54">
      <c r="A54" s="23" t="s">
        <v>360</v>
      </c>
      <c r="B54" s="23" t="s">
        <v>84</v>
      </c>
      <c r="C54" s="24" t="s">
        <v>504</v>
      </c>
      <c r="D54" s="23" t="s">
        <v>505</v>
      </c>
      <c r="E54" s="23">
        <v>92530.0</v>
      </c>
      <c r="F54" s="23" t="s">
        <v>50</v>
      </c>
      <c r="G54" s="23" t="s">
        <v>102</v>
      </c>
      <c r="H54" s="23" t="s">
        <v>73</v>
      </c>
      <c r="I54" s="50"/>
      <c r="J54" s="23" t="s">
        <v>103</v>
      </c>
      <c r="K54" s="49" t="s">
        <v>506</v>
      </c>
      <c r="L54" s="49" t="s">
        <v>507</v>
      </c>
      <c r="M54" s="49" t="s">
        <v>508</v>
      </c>
      <c r="N54" s="27" t="s">
        <v>92</v>
      </c>
      <c r="O54" s="23"/>
      <c r="P54" s="23" t="s">
        <v>351</v>
      </c>
      <c r="Q54" s="23" t="s">
        <v>132</v>
      </c>
      <c r="R54" s="23" t="s">
        <v>94</v>
      </c>
      <c r="S54" s="23" t="s">
        <v>509</v>
      </c>
      <c r="T54" s="23" t="s">
        <v>510</v>
      </c>
      <c r="U54" s="23" t="s">
        <v>109</v>
      </c>
      <c r="V54" s="28">
        <v>46189.0</v>
      </c>
      <c r="W54" s="28">
        <v>46219.0</v>
      </c>
      <c r="X54" s="28">
        <v>46219.0</v>
      </c>
      <c r="Y54" s="28"/>
      <c r="Z54" s="29"/>
      <c r="AA54" s="24" t="s">
        <v>65</v>
      </c>
      <c r="AB54" s="23"/>
      <c r="AC54" s="30">
        <v>665000.0</v>
      </c>
      <c r="AD54" s="31">
        <v>0.03</v>
      </c>
      <c r="AE54" s="32">
        <f t="shared" si="15"/>
        <v>19950</v>
      </c>
      <c r="AF54" s="33" t="s">
        <v>82</v>
      </c>
      <c r="AG54" s="34">
        <v>0.0</v>
      </c>
      <c r="AH54" s="34" t="s">
        <v>82</v>
      </c>
      <c r="AI54" s="34">
        <v>1250.0</v>
      </c>
      <c r="AJ54" s="34">
        <v>0.0</v>
      </c>
      <c r="AK54" s="34">
        <v>0.0</v>
      </c>
      <c r="AL54" s="36">
        <v>0.0</v>
      </c>
      <c r="AM54" s="37" t="s">
        <v>84</v>
      </c>
      <c r="AN54" s="38">
        <f t="shared" si="3"/>
        <v>20545</v>
      </c>
      <c r="AO54" s="39">
        <f t="shared" si="14"/>
        <v>10570</v>
      </c>
      <c r="AP54" s="40">
        <f t="shared" si="5"/>
        <v>9975</v>
      </c>
      <c r="AQ54" s="14"/>
      <c r="AR54" s="41"/>
      <c r="AS54" s="14"/>
      <c r="AT54" s="23"/>
      <c r="AU54" s="42"/>
      <c r="AV54" s="52"/>
      <c r="AW54" s="23"/>
      <c r="AX54" s="42"/>
      <c r="AY54" s="42"/>
      <c r="AZ54" s="42"/>
    </row>
    <row r="55">
      <c r="A55" s="23" t="s">
        <v>360</v>
      </c>
      <c r="B55" s="23" t="s">
        <v>84</v>
      </c>
      <c r="C55" s="24" t="s">
        <v>511</v>
      </c>
      <c r="D55" s="23" t="s">
        <v>100</v>
      </c>
      <c r="E55" s="23">
        <v>92304.0</v>
      </c>
      <c r="F55" s="23" t="s">
        <v>101</v>
      </c>
      <c r="G55" s="23" t="s">
        <v>139</v>
      </c>
      <c r="H55" s="23" t="s">
        <v>73</v>
      </c>
      <c r="I55" s="50"/>
      <c r="J55" s="23" t="s">
        <v>103</v>
      </c>
      <c r="K55" s="25" t="s">
        <v>512</v>
      </c>
      <c r="L55" s="26" t="s">
        <v>513</v>
      </c>
      <c r="M55" s="26" t="s">
        <v>514</v>
      </c>
      <c r="N55" s="27" t="s">
        <v>92</v>
      </c>
      <c r="O55" s="23" t="s">
        <v>515</v>
      </c>
      <c r="P55" s="23" t="s">
        <v>351</v>
      </c>
      <c r="Q55" s="23" t="s">
        <v>132</v>
      </c>
      <c r="R55" s="23" t="s">
        <v>94</v>
      </c>
      <c r="S55" s="23" t="s">
        <v>516</v>
      </c>
      <c r="T55" s="23" t="s">
        <v>517</v>
      </c>
      <c r="U55" s="23" t="s">
        <v>109</v>
      </c>
      <c r="V55" s="28">
        <v>46190.0</v>
      </c>
      <c r="W55" s="28">
        <v>46220.0</v>
      </c>
      <c r="X55" s="28">
        <v>46220.0</v>
      </c>
      <c r="Y55" s="28"/>
      <c r="Z55" s="29"/>
      <c r="AA55" s="24" t="s">
        <v>65</v>
      </c>
      <c r="AB55" s="23"/>
      <c r="AC55" s="30">
        <v>316000.0</v>
      </c>
      <c r="AD55" s="31">
        <v>0.02</v>
      </c>
      <c r="AE55" s="32">
        <f t="shared" si="15"/>
        <v>6320</v>
      </c>
      <c r="AF55" s="33" t="s">
        <v>82</v>
      </c>
      <c r="AG55" s="34">
        <v>0.0</v>
      </c>
      <c r="AH55" s="34" t="s">
        <v>82</v>
      </c>
      <c r="AI55" s="34">
        <v>995.0</v>
      </c>
      <c r="AJ55" s="34">
        <v>0.0</v>
      </c>
      <c r="AK55" s="34">
        <v>0.0</v>
      </c>
      <c r="AL55" s="36">
        <v>0.0</v>
      </c>
      <c r="AM55" s="37" t="s">
        <v>84</v>
      </c>
      <c r="AN55" s="38">
        <f t="shared" si="3"/>
        <v>6915</v>
      </c>
      <c r="AO55" s="39">
        <f t="shared" si="14"/>
        <v>3755</v>
      </c>
      <c r="AP55" s="40">
        <f t="shared" si="5"/>
        <v>3160</v>
      </c>
      <c r="AQ55" s="14"/>
      <c r="AR55" s="41"/>
      <c r="AS55" s="14"/>
      <c r="AT55" s="23"/>
      <c r="AU55" s="42"/>
      <c r="AV55" s="52"/>
      <c r="AW55" s="23"/>
      <c r="AX55" s="42"/>
      <c r="AY55" s="42"/>
      <c r="AZ55" s="42"/>
    </row>
    <row r="56">
      <c r="A56" s="23" t="s">
        <v>98</v>
      </c>
      <c r="B56" s="23" t="s">
        <v>84</v>
      </c>
      <c r="C56" s="24" t="s">
        <v>518</v>
      </c>
      <c r="D56" s="23" t="s">
        <v>316</v>
      </c>
      <c r="E56" s="23">
        <v>92562.0</v>
      </c>
      <c r="F56" s="23" t="s">
        <v>50</v>
      </c>
      <c r="G56" s="23" t="s">
        <v>376</v>
      </c>
      <c r="H56" s="23" t="s">
        <v>52</v>
      </c>
      <c r="I56" s="50"/>
      <c r="J56" s="23" t="s">
        <v>103</v>
      </c>
      <c r="K56" s="25" t="s">
        <v>519</v>
      </c>
      <c r="L56" s="43"/>
      <c r="M56" s="26" t="s">
        <v>520</v>
      </c>
      <c r="N56" s="27" t="s">
        <v>92</v>
      </c>
      <c r="O56" s="47" t="s">
        <v>143</v>
      </c>
      <c r="P56" s="23" t="s">
        <v>351</v>
      </c>
      <c r="Q56" s="23" t="s">
        <v>132</v>
      </c>
      <c r="R56" s="23" t="s">
        <v>94</v>
      </c>
      <c r="S56" s="23" t="s">
        <v>521</v>
      </c>
      <c r="T56" s="23" t="s">
        <v>522</v>
      </c>
      <c r="U56" s="23" t="s">
        <v>109</v>
      </c>
      <c r="V56" s="28">
        <v>46190.0</v>
      </c>
      <c r="W56" s="28">
        <v>46203.0</v>
      </c>
      <c r="X56" s="28">
        <v>46203.0</v>
      </c>
      <c r="Y56" s="28"/>
      <c r="Z56" s="29"/>
      <c r="AA56" s="24" t="s">
        <v>65</v>
      </c>
      <c r="AB56" s="23"/>
      <c r="AC56" s="30">
        <v>840000.0</v>
      </c>
      <c r="AD56" s="51">
        <v>0.0</v>
      </c>
      <c r="AE56" s="32">
        <f t="shared" si="15"/>
        <v>0</v>
      </c>
      <c r="AF56" s="33" t="s">
        <v>82</v>
      </c>
      <c r="AG56" s="34">
        <v>0.0</v>
      </c>
      <c r="AH56" s="34" t="s">
        <v>82</v>
      </c>
      <c r="AI56" s="34">
        <v>0.0</v>
      </c>
      <c r="AJ56" s="34">
        <v>0.0</v>
      </c>
      <c r="AK56" s="34">
        <v>0.0</v>
      </c>
      <c r="AL56" s="36">
        <v>0.0</v>
      </c>
      <c r="AM56" s="37" t="s">
        <v>84</v>
      </c>
      <c r="AN56" s="38">
        <f t="shared" si="3"/>
        <v>595</v>
      </c>
      <c r="AO56" s="39">
        <f t="shared" si="14"/>
        <v>595</v>
      </c>
      <c r="AP56" s="40">
        <f t="shared" si="5"/>
        <v>0</v>
      </c>
      <c r="AQ56" s="14"/>
      <c r="AR56" s="41"/>
      <c r="AS56" s="14"/>
      <c r="AT56" s="23"/>
      <c r="AU56" s="42"/>
      <c r="AV56" s="52"/>
      <c r="AW56" s="53"/>
      <c r="AX56" s="42"/>
      <c r="AY56" s="42"/>
      <c r="AZ56" s="42"/>
    </row>
    <row r="57">
      <c r="A57" s="23" t="s">
        <v>439</v>
      </c>
      <c r="B57" s="23" t="s">
        <v>47</v>
      </c>
      <c r="C57" s="24" t="s">
        <v>523</v>
      </c>
      <c r="D57" s="23" t="s">
        <v>71</v>
      </c>
      <c r="E57" s="23">
        <v>92545.0</v>
      </c>
      <c r="F57" s="23" t="s">
        <v>50</v>
      </c>
      <c r="G57" s="23" t="s">
        <v>424</v>
      </c>
      <c r="H57" s="23" t="s">
        <v>172</v>
      </c>
      <c r="I57" s="50"/>
      <c r="J57" s="23" t="s">
        <v>54</v>
      </c>
      <c r="K57" s="25" t="s">
        <v>524</v>
      </c>
      <c r="L57" s="26" t="s">
        <v>525</v>
      </c>
      <c r="M57" s="26" t="s">
        <v>526</v>
      </c>
      <c r="N57" s="27" t="s">
        <v>247</v>
      </c>
      <c r="O57" s="23" t="s">
        <v>59</v>
      </c>
      <c r="P57" s="23" t="s">
        <v>351</v>
      </c>
      <c r="Q57" s="23" t="s">
        <v>61</v>
      </c>
      <c r="R57" s="86" t="s">
        <v>247</v>
      </c>
      <c r="S57" s="23" t="s">
        <v>527</v>
      </c>
      <c r="T57" s="23" t="s">
        <v>528</v>
      </c>
      <c r="U57" s="23" t="s">
        <v>109</v>
      </c>
      <c r="V57" s="28">
        <v>46190.0</v>
      </c>
      <c r="W57" s="28">
        <v>46237.0</v>
      </c>
      <c r="X57" s="28">
        <v>46237.0</v>
      </c>
      <c r="Y57" s="28"/>
      <c r="Z57" s="29"/>
      <c r="AA57" s="24" t="s">
        <v>65</v>
      </c>
      <c r="AB57" s="23" t="s">
        <v>66</v>
      </c>
      <c r="AC57" s="30">
        <v>460000.0</v>
      </c>
      <c r="AD57" s="31">
        <v>0.025</v>
      </c>
      <c r="AE57" s="32">
        <f t="shared" si="15"/>
        <v>11500</v>
      </c>
      <c r="AF57" s="33">
        <v>595.0</v>
      </c>
      <c r="AG57" s="34">
        <v>500.0</v>
      </c>
      <c r="AH57" s="34" t="s">
        <v>82</v>
      </c>
      <c r="AI57" s="34">
        <v>1095.0</v>
      </c>
      <c r="AJ57" s="34">
        <v>0.0</v>
      </c>
      <c r="AK57" s="34">
        <v>0.0</v>
      </c>
      <c r="AL57" s="36">
        <v>0.0</v>
      </c>
      <c r="AM57" s="37" t="s">
        <v>47</v>
      </c>
      <c r="AN57" s="38">
        <f t="shared" si="3"/>
        <v>12595</v>
      </c>
      <c r="AO57" s="39">
        <f t="shared" si="14"/>
        <v>6345</v>
      </c>
      <c r="AP57" s="40">
        <f t="shared" si="5"/>
        <v>5750</v>
      </c>
      <c r="AQ57" s="14"/>
      <c r="AR57" s="41"/>
      <c r="AS57" s="14"/>
      <c r="AT57" s="23"/>
      <c r="AU57" s="42"/>
      <c r="AV57" s="52"/>
      <c r="AW57" s="23"/>
      <c r="AX57" s="42"/>
      <c r="AY57" s="42"/>
      <c r="AZ57" s="42"/>
    </row>
    <row r="58">
      <c r="A58" s="23" t="s">
        <v>360</v>
      </c>
      <c r="B58" s="23" t="s">
        <v>84</v>
      </c>
      <c r="C58" s="24" t="s">
        <v>529</v>
      </c>
      <c r="D58" s="23" t="s">
        <v>158</v>
      </c>
      <c r="E58" s="23">
        <v>92530.0</v>
      </c>
      <c r="F58" s="23" t="s">
        <v>50</v>
      </c>
      <c r="G58" s="23" t="s">
        <v>362</v>
      </c>
      <c r="H58" s="23" t="s">
        <v>52</v>
      </c>
      <c r="I58" s="50"/>
      <c r="J58" s="23" t="s">
        <v>103</v>
      </c>
      <c r="K58" s="49" t="s">
        <v>530</v>
      </c>
      <c r="L58" s="49" t="s">
        <v>531</v>
      </c>
      <c r="M58" s="49" t="s">
        <v>532</v>
      </c>
      <c r="N58" s="27" t="s">
        <v>92</v>
      </c>
      <c r="O58" s="23" t="s">
        <v>533</v>
      </c>
      <c r="P58" s="23" t="s">
        <v>60</v>
      </c>
      <c r="Q58" s="23" t="s">
        <v>132</v>
      </c>
      <c r="R58" s="86" t="s">
        <v>247</v>
      </c>
      <c r="S58" s="23" t="s">
        <v>534</v>
      </c>
      <c r="T58" s="23" t="s">
        <v>535</v>
      </c>
      <c r="U58" s="23" t="s">
        <v>109</v>
      </c>
      <c r="V58" s="28">
        <v>46190.0</v>
      </c>
      <c r="W58" s="28">
        <v>46216.0</v>
      </c>
      <c r="X58" s="28">
        <v>46216.0</v>
      </c>
      <c r="Y58" s="28"/>
      <c r="Z58" s="29"/>
      <c r="AA58" s="24" t="s">
        <v>65</v>
      </c>
      <c r="AB58" s="23"/>
      <c r="AC58" s="30">
        <v>575000.0</v>
      </c>
      <c r="AD58" s="31">
        <v>0.025</v>
      </c>
      <c r="AE58" s="32">
        <f t="shared" si="15"/>
        <v>14375</v>
      </c>
      <c r="AF58" s="33" t="s">
        <v>82</v>
      </c>
      <c r="AG58" s="34">
        <v>0.0</v>
      </c>
      <c r="AH58" s="34" t="s">
        <v>82</v>
      </c>
      <c r="AI58" s="34">
        <v>0.0</v>
      </c>
      <c r="AJ58" s="34">
        <v>0.0</v>
      </c>
      <c r="AK58" s="34">
        <v>0.0</v>
      </c>
      <c r="AL58" s="36">
        <v>0.0</v>
      </c>
      <c r="AM58" s="37" t="s">
        <v>84</v>
      </c>
      <c r="AN58" s="38">
        <f t="shared" si="3"/>
        <v>14970</v>
      </c>
      <c r="AO58" s="39">
        <f t="shared" si="14"/>
        <v>7782.5</v>
      </c>
      <c r="AP58" s="40">
        <f t="shared" si="5"/>
        <v>7187.5</v>
      </c>
      <c r="AQ58" s="14"/>
      <c r="AR58" s="41"/>
      <c r="AS58" s="14"/>
      <c r="AT58" s="23"/>
      <c r="AU58" s="42"/>
      <c r="AV58" s="52"/>
      <c r="AW58" s="23"/>
      <c r="AX58" s="42"/>
      <c r="AY58" s="42"/>
      <c r="AZ58" s="42"/>
    </row>
    <row r="59">
      <c r="A59" s="23" t="s">
        <v>360</v>
      </c>
      <c r="B59" s="23" t="s">
        <v>84</v>
      </c>
      <c r="C59" s="24" t="s">
        <v>536</v>
      </c>
      <c r="D59" s="23" t="s">
        <v>71</v>
      </c>
      <c r="E59" s="23">
        <v>92543.0</v>
      </c>
      <c r="F59" s="23" t="s">
        <v>50</v>
      </c>
      <c r="G59" s="23" t="s">
        <v>255</v>
      </c>
      <c r="H59" s="23" t="s">
        <v>256</v>
      </c>
      <c r="I59" s="50"/>
      <c r="J59" s="23" t="s">
        <v>103</v>
      </c>
      <c r="K59" s="49" t="s">
        <v>537</v>
      </c>
      <c r="L59" s="49" t="s">
        <v>538</v>
      </c>
      <c r="M59" s="49" t="s">
        <v>539</v>
      </c>
      <c r="N59" s="27" t="s">
        <v>92</v>
      </c>
      <c r="O59" s="23"/>
      <c r="P59" s="23" t="s">
        <v>60</v>
      </c>
      <c r="Q59" s="23" t="s">
        <v>132</v>
      </c>
      <c r="R59" s="23"/>
      <c r="S59" s="47" t="s">
        <v>53</v>
      </c>
      <c r="T59" s="47" t="s">
        <v>53</v>
      </c>
      <c r="U59" s="23" t="s">
        <v>109</v>
      </c>
      <c r="V59" s="28">
        <v>46191.0</v>
      </c>
      <c r="W59" s="28">
        <v>46223.0</v>
      </c>
      <c r="X59" s="28">
        <v>46223.0</v>
      </c>
      <c r="Y59" s="28"/>
      <c r="Z59" s="29"/>
      <c r="AA59" s="24" t="s">
        <v>124</v>
      </c>
      <c r="AB59" s="23" t="s">
        <v>66</v>
      </c>
      <c r="AC59" s="30">
        <v>175000.0</v>
      </c>
      <c r="AD59" s="51">
        <v>0.0</v>
      </c>
      <c r="AE59" s="32">
        <f t="shared" si="15"/>
        <v>0</v>
      </c>
      <c r="AF59" s="33" t="s">
        <v>82</v>
      </c>
      <c r="AG59" s="34">
        <v>0.0</v>
      </c>
      <c r="AH59" s="34" t="s">
        <v>82</v>
      </c>
      <c r="AI59" s="34">
        <v>0.0</v>
      </c>
      <c r="AJ59" s="34">
        <v>0.0</v>
      </c>
      <c r="AK59" s="34">
        <v>0.0</v>
      </c>
      <c r="AL59" s="36">
        <v>0.0</v>
      </c>
      <c r="AM59" s="37" t="s">
        <v>84</v>
      </c>
      <c r="AN59" s="38">
        <f t="shared" si="3"/>
        <v>595</v>
      </c>
      <c r="AO59" s="39">
        <f t="shared" si="14"/>
        <v>595</v>
      </c>
      <c r="AP59" s="40">
        <f t="shared" si="5"/>
        <v>0</v>
      </c>
      <c r="AQ59" s="14"/>
      <c r="AR59" s="41"/>
      <c r="AS59" s="14"/>
      <c r="AT59" s="23"/>
      <c r="AU59" s="42"/>
      <c r="AV59" s="52"/>
      <c r="AW59" s="23"/>
      <c r="AX59" s="42"/>
      <c r="AY59" s="42"/>
      <c r="AZ59" s="42"/>
    </row>
    <row r="60">
      <c r="A60" s="23" t="s">
        <v>360</v>
      </c>
      <c r="B60" s="23" t="s">
        <v>47</v>
      </c>
      <c r="C60" s="24" t="s">
        <v>536</v>
      </c>
      <c r="D60" s="23" t="s">
        <v>71</v>
      </c>
      <c r="E60" s="23">
        <v>92543.0</v>
      </c>
      <c r="F60" s="23" t="s">
        <v>50</v>
      </c>
      <c r="G60" s="23" t="s">
        <v>540</v>
      </c>
      <c r="H60" s="23"/>
      <c r="I60" s="50"/>
      <c r="J60" s="23" t="s">
        <v>103</v>
      </c>
      <c r="K60" s="25"/>
      <c r="L60" s="43"/>
      <c r="M60" s="43"/>
      <c r="N60" s="27" t="s">
        <v>92</v>
      </c>
      <c r="O60" s="23"/>
      <c r="P60" s="23" t="s">
        <v>60</v>
      </c>
      <c r="Q60" s="23" t="s">
        <v>132</v>
      </c>
      <c r="R60" s="23"/>
      <c r="S60" s="47" t="s">
        <v>53</v>
      </c>
      <c r="T60" s="47" t="s">
        <v>53</v>
      </c>
      <c r="U60" s="23" t="s">
        <v>109</v>
      </c>
      <c r="V60" s="28">
        <v>46191.0</v>
      </c>
      <c r="W60" s="28">
        <v>46223.0</v>
      </c>
      <c r="X60" s="28">
        <v>46223.0</v>
      </c>
      <c r="Y60" s="28"/>
      <c r="Z60" s="29"/>
      <c r="AA60" s="24" t="s">
        <v>124</v>
      </c>
      <c r="AB60" s="23" t="s">
        <v>167</v>
      </c>
      <c r="AC60" s="30">
        <v>175000.0</v>
      </c>
      <c r="AD60" s="31">
        <v>0.02</v>
      </c>
      <c r="AE60" s="32">
        <f t="shared" si="15"/>
        <v>3500</v>
      </c>
      <c r="AF60" s="33" t="s">
        <v>82</v>
      </c>
      <c r="AG60" s="34">
        <v>0.0</v>
      </c>
      <c r="AH60" s="34" t="s">
        <v>82</v>
      </c>
      <c r="AI60" s="34">
        <v>0.0</v>
      </c>
      <c r="AJ60" s="34">
        <v>0.0</v>
      </c>
      <c r="AK60" s="34">
        <v>0.0</v>
      </c>
      <c r="AL60" s="36">
        <v>0.0</v>
      </c>
      <c r="AM60" s="37" t="s">
        <v>47</v>
      </c>
      <c r="AN60" s="38">
        <f t="shared" si="3"/>
        <v>4095</v>
      </c>
      <c r="AO60" s="39">
        <f t="shared" si="14"/>
        <v>2345</v>
      </c>
      <c r="AP60" s="40">
        <f t="shared" si="5"/>
        <v>1750</v>
      </c>
      <c r="AQ60" s="14"/>
      <c r="AR60" s="41"/>
      <c r="AS60" s="14"/>
      <c r="AT60" s="23"/>
      <c r="AU60" s="42"/>
      <c r="AV60" s="52"/>
      <c r="AW60" s="23"/>
      <c r="AX60" s="42"/>
      <c r="AY60" s="42"/>
      <c r="AZ60" s="42"/>
    </row>
    <row r="61">
      <c r="A61" s="23" t="s">
        <v>360</v>
      </c>
      <c r="B61" s="23" t="s">
        <v>47</v>
      </c>
      <c r="C61" s="24" t="s">
        <v>541</v>
      </c>
      <c r="D61" s="23" t="s">
        <v>316</v>
      </c>
      <c r="E61" s="23">
        <v>92562.0</v>
      </c>
      <c r="F61" s="23" t="s">
        <v>50</v>
      </c>
      <c r="G61" s="23" t="s">
        <v>542</v>
      </c>
      <c r="H61" s="23" t="s">
        <v>52</v>
      </c>
      <c r="I61" s="50"/>
      <c r="J61" s="23" t="s">
        <v>54</v>
      </c>
      <c r="K61" s="25" t="s">
        <v>543</v>
      </c>
      <c r="L61" s="26" t="s">
        <v>544</v>
      </c>
      <c r="M61" s="26" t="s">
        <v>545</v>
      </c>
      <c r="N61" s="27" t="s">
        <v>546</v>
      </c>
      <c r="O61" s="23" t="s">
        <v>547</v>
      </c>
      <c r="P61" s="23" t="s">
        <v>60</v>
      </c>
      <c r="Q61" s="23" t="s">
        <v>61</v>
      </c>
      <c r="R61" s="23" t="s">
        <v>548</v>
      </c>
      <c r="S61" s="23" t="s">
        <v>549</v>
      </c>
      <c r="T61" s="23" t="s">
        <v>550</v>
      </c>
      <c r="U61" s="23" t="s">
        <v>109</v>
      </c>
      <c r="V61" s="28">
        <v>46191.0</v>
      </c>
      <c r="W61" s="28">
        <v>46216.0</v>
      </c>
      <c r="X61" s="28">
        <v>46216.0</v>
      </c>
      <c r="Y61" s="28"/>
      <c r="Z61" s="29"/>
      <c r="AA61" s="24" t="s">
        <v>65</v>
      </c>
      <c r="AB61" s="23" t="s">
        <v>551</v>
      </c>
      <c r="AC61" s="30">
        <v>520000.0</v>
      </c>
      <c r="AD61" s="31">
        <v>0.02</v>
      </c>
      <c r="AE61" s="32">
        <f t="shared" si="15"/>
        <v>10400</v>
      </c>
      <c r="AF61" s="33">
        <v>595.0</v>
      </c>
      <c r="AG61" s="34">
        <v>500.0</v>
      </c>
      <c r="AH61" s="34" t="s">
        <v>82</v>
      </c>
      <c r="AI61" s="34">
        <v>1395.0</v>
      </c>
      <c r="AJ61" s="34">
        <v>0.0</v>
      </c>
      <c r="AK61" s="34">
        <v>0.0</v>
      </c>
      <c r="AL61" s="36">
        <v>0.0</v>
      </c>
      <c r="AM61" s="37" t="s">
        <v>552</v>
      </c>
      <c r="AN61" s="38">
        <f t="shared" si="3"/>
        <v>11795</v>
      </c>
      <c r="AO61" s="39">
        <f t="shared" si="14"/>
        <v>2155</v>
      </c>
      <c r="AP61" s="40">
        <f t="shared" si="5"/>
        <v>9140</v>
      </c>
      <c r="AQ61" s="14"/>
      <c r="AR61" s="41"/>
      <c r="AS61" s="14"/>
      <c r="AT61" s="23"/>
      <c r="AU61" s="42"/>
      <c r="AV61" s="52"/>
      <c r="AW61" s="23"/>
      <c r="AX61" s="42"/>
      <c r="AY61" s="42"/>
      <c r="AZ61" s="42"/>
    </row>
    <row r="62">
      <c r="A62" s="23" t="s">
        <v>360</v>
      </c>
      <c r="B62" s="23" t="s">
        <v>47</v>
      </c>
      <c r="C62" s="24" t="s">
        <v>553</v>
      </c>
      <c r="D62" s="23" t="s">
        <v>158</v>
      </c>
      <c r="E62" s="23">
        <v>92530.0</v>
      </c>
      <c r="F62" s="23" t="s">
        <v>50</v>
      </c>
      <c r="G62" s="23" t="s">
        <v>117</v>
      </c>
      <c r="H62" s="23" t="s">
        <v>52</v>
      </c>
      <c r="I62" s="50"/>
      <c r="J62" s="23" t="s">
        <v>103</v>
      </c>
      <c r="K62" s="25" t="s">
        <v>554</v>
      </c>
      <c r="L62" s="26" t="s">
        <v>555</v>
      </c>
      <c r="M62" s="26" t="s">
        <v>556</v>
      </c>
      <c r="N62" s="27" t="s">
        <v>557</v>
      </c>
      <c r="O62" s="47" t="s">
        <v>143</v>
      </c>
      <c r="P62" s="23" t="s">
        <v>558</v>
      </c>
      <c r="Q62" s="23" t="s">
        <v>61</v>
      </c>
      <c r="R62" s="23"/>
      <c r="S62" s="23" t="s">
        <v>559</v>
      </c>
      <c r="T62" s="23" t="s">
        <v>560</v>
      </c>
      <c r="U62" s="23" t="s">
        <v>109</v>
      </c>
      <c r="V62" s="28">
        <v>46191.0</v>
      </c>
      <c r="W62" s="28">
        <v>46212.0</v>
      </c>
      <c r="X62" s="28">
        <v>46212.0</v>
      </c>
      <c r="Y62" s="28"/>
      <c r="Z62" s="29"/>
      <c r="AA62" s="24" t="s">
        <v>558</v>
      </c>
      <c r="AB62" s="23" t="s">
        <v>66</v>
      </c>
      <c r="AC62" s="30">
        <v>85000.0</v>
      </c>
      <c r="AD62" s="31">
        <v>0.03</v>
      </c>
      <c r="AE62" s="32">
        <f t="shared" si="15"/>
        <v>2550</v>
      </c>
      <c r="AF62" s="33">
        <v>595.0</v>
      </c>
      <c r="AG62" s="34">
        <v>500.0</v>
      </c>
      <c r="AH62" s="34" t="s">
        <v>82</v>
      </c>
      <c r="AI62" s="34">
        <v>1095.0</v>
      </c>
      <c r="AJ62" s="34">
        <v>0.0</v>
      </c>
      <c r="AK62" s="34">
        <v>0.0</v>
      </c>
      <c r="AL62" s="36">
        <v>0.0</v>
      </c>
      <c r="AM62" s="37" t="s">
        <v>47</v>
      </c>
      <c r="AN62" s="38">
        <f t="shared" si="3"/>
        <v>3645</v>
      </c>
      <c r="AO62" s="39">
        <f t="shared" si="14"/>
        <v>1870</v>
      </c>
      <c r="AP62" s="40">
        <f t="shared" si="5"/>
        <v>1275</v>
      </c>
      <c r="AQ62" s="14"/>
      <c r="AR62" s="41"/>
      <c r="AS62" s="14"/>
      <c r="AT62" s="23"/>
      <c r="AU62" s="42"/>
      <c r="AV62" s="52"/>
      <c r="AW62" s="23"/>
      <c r="AX62" s="42"/>
      <c r="AY62" s="42"/>
      <c r="AZ62" s="42"/>
    </row>
    <row r="63">
      <c r="A63" s="50"/>
      <c r="B63" s="23"/>
      <c r="C63" s="24"/>
      <c r="D63" s="23"/>
      <c r="E63" s="23"/>
      <c r="F63" s="23"/>
      <c r="G63" s="23"/>
      <c r="H63" s="23"/>
      <c r="I63" s="50"/>
      <c r="J63" s="23"/>
      <c r="K63" s="25"/>
      <c r="L63" s="43"/>
      <c r="M63" s="43"/>
      <c r="N63" s="59"/>
      <c r="O63" s="23"/>
      <c r="P63" s="23"/>
      <c r="Q63" s="23"/>
      <c r="R63" s="23"/>
      <c r="S63" s="23"/>
      <c r="T63" s="23"/>
      <c r="U63" s="23"/>
      <c r="V63" s="28"/>
      <c r="W63" s="61"/>
      <c r="X63" s="61"/>
      <c r="Y63" s="28"/>
      <c r="Z63" s="29"/>
      <c r="AA63" s="24"/>
      <c r="AB63" s="23" t="s">
        <v>66</v>
      </c>
      <c r="AC63" s="38">
        <v>0.0</v>
      </c>
      <c r="AD63" s="51">
        <v>0.0</v>
      </c>
      <c r="AE63" s="32">
        <f t="shared" si="15"/>
        <v>0</v>
      </c>
      <c r="AF63" s="33" t="s">
        <v>82</v>
      </c>
      <c r="AG63" s="34">
        <v>0.0</v>
      </c>
      <c r="AH63" s="34" t="s">
        <v>82</v>
      </c>
      <c r="AI63" s="34">
        <v>0.0</v>
      </c>
      <c r="AJ63" s="34">
        <v>0.0</v>
      </c>
      <c r="AK63" s="34">
        <v>0.0</v>
      </c>
      <c r="AL63" s="36">
        <v>0.0</v>
      </c>
      <c r="AM63" s="37"/>
      <c r="AN63" s="38">
        <f t="shared" si="3"/>
        <v>595</v>
      </c>
      <c r="AO63" s="39">
        <f t="shared" si="14"/>
        <v>595</v>
      </c>
      <c r="AP63" s="40">
        <f t="shared" si="5"/>
        <v>0</v>
      </c>
      <c r="AQ63" s="14"/>
      <c r="AR63" s="41"/>
      <c r="AS63" s="14"/>
      <c r="AT63" s="23"/>
      <c r="AU63" s="42"/>
      <c r="AV63" s="52"/>
      <c r="AW63" s="23"/>
      <c r="AX63" s="42"/>
      <c r="AY63" s="42"/>
      <c r="AZ63" s="42"/>
    </row>
    <row r="64">
      <c r="A64" s="50"/>
      <c r="B64" s="23"/>
      <c r="C64" s="24"/>
      <c r="D64" s="23"/>
      <c r="E64" s="23"/>
      <c r="F64" s="23"/>
      <c r="G64" s="23"/>
      <c r="H64" s="23"/>
      <c r="I64" s="50"/>
      <c r="J64" s="23"/>
      <c r="K64" s="25"/>
      <c r="L64" s="43"/>
      <c r="M64" s="43"/>
      <c r="N64" s="59"/>
      <c r="O64" s="23"/>
      <c r="P64" s="23"/>
      <c r="Q64" s="23"/>
      <c r="R64" s="23"/>
      <c r="S64" s="23"/>
      <c r="T64" s="23"/>
      <c r="U64" s="23"/>
      <c r="V64" s="28"/>
      <c r="W64" s="61"/>
      <c r="X64" s="61"/>
      <c r="Y64" s="28"/>
      <c r="Z64" s="29"/>
      <c r="AA64" s="24"/>
      <c r="AB64" s="23"/>
      <c r="AC64" s="38">
        <v>0.0</v>
      </c>
      <c r="AD64" s="51">
        <v>0.0</v>
      </c>
      <c r="AE64" s="32">
        <f t="shared" si="15"/>
        <v>0</v>
      </c>
      <c r="AF64" s="33" t="s">
        <v>82</v>
      </c>
      <c r="AG64" s="34">
        <v>0.0</v>
      </c>
      <c r="AH64" s="34" t="s">
        <v>82</v>
      </c>
      <c r="AI64" s="34">
        <v>0.0</v>
      </c>
      <c r="AJ64" s="34">
        <v>0.0</v>
      </c>
      <c r="AK64" s="34">
        <v>0.0</v>
      </c>
      <c r="AL64" s="36">
        <v>0.0</v>
      </c>
      <c r="AM64" s="37"/>
      <c r="AN64" s="38">
        <f t="shared" si="3"/>
        <v>595</v>
      </c>
      <c r="AO64" s="39">
        <f t="shared" si="14"/>
        <v>595</v>
      </c>
      <c r="AP64" s="40">
        <f t="shared" si="5"/>
        <v>0</v>
      </c>
      <c r="AQ64" s="14"/>
      <c r="AR64" s="41"/>
      <c r="AS64" s="14"/>
      <c r="AT64" s="23"/>
      <c r="AU64" s="42"/>
      <c r="AV64" s="52"/>
      <c r="AW64" s="23"/>
      <c r="AX64" s="42"/>
      <c r="AY64" s="42"/>
      <c r="AZ64" s="42"/>
    </row>
    <row r="65">
      <c r="A65" s="50"/>
      <c r="B65" s="23"/>
      <c r="C65" s="24"/>
      <c r="D65" s="23"/>
      <c r="E65" s="23"/>
      <c r="F65" s="23"/>
      <c r="G65" s="23"/>
      <c r="H65" s="23"/>
      <c r="I65" s="50"/>
      <c r="J65" s="23"/>
      <c r="K65" s="25"/>
      <c r="L65" s="43"/>
      <c r="M65" s="43"/>
      <c r="N65" s="59"/>
      <c r="O65" s="23"/>
      <c r="P65" s="23"/>
      <c r="Q65" s="23"/>
      <c r="R65" s="23"/>
      <c r="S65" s="23"/>
      <c r="T65" s="23"/>
      <c r="U65" s="23"/>
      <c r="V65" s="28"/>
      <c r="W65" s="61"/>
      <c r="X65" s="61"/>
      <c r="Y65" s="28"/>
      <c r="Z65" s="29"/>
      <c r="AA65" s="24"/>
      <c r="AB65" s="23"/>
      <c r="AC65" s="38">
        <v>0.0</v>
      </c>
      <c r="AD65" s="51">
        <v>0.0</v>
      </c>
      <c r="AE65" s="32">
        <f t="shared" si="15"/>
        <v>0</v>
      </c>
      <c r="AF65" s="33" t="s">
        <v>82</v>
      </c>
      <c r="AG65" s="34">
        <v>0.0</v>
      </c>
      <c r="AH65" s="34" t="s">
        <v>82</v>
      </c>
      <c r="AI65" s="34">
        <v>0.0</v>
      </c>
      <c r="AJ65" s="34">
        <v>0.0</v>
      </c>
      <c r="AK65" s="34">
        <v>0.0</v>
      </c>
      <c r="AL65" s="36">
        <v>0.0</v>
      </c>
      <c r="AM65" s="37"/>
      <c r="AN65" s="38">
        <f t="shared" si="3"/>
        <v>595</v>
      </c>
      <c r="AO65" s="39">
        <f t="shared" si="14"/>
        <v>595</v>
      </c>
      <c r="AP65" s="40">
        <f t="shared" si="5"/>
        <v>0</v>
      </c>
      <c r="AQ65" s="14"/>
      <c r="AR65" s="41"/>
      <c r="AS65" s="14"/>
      <c r="AT65" s="23"/>
      <c r="AU65" s="42"/>
      <c r="AV65" s="52"/>
      <c r="AW65" s="23"/>
      <c r="AX65" s="42"/>
      <c r="AY65" s="42"/>
      <c r="AZ65" s="42"/>
    </row>
    <row r="66">
      <c r="A66" s="50"/>
      <c r="B66" s="23"/>
      <c r="C66" s="24"/>
      <c r="D66" s="23"/>
      <c r="E66" s="23"/>
      <c r="F66" s="23"/>
      <c r="G66" s="23"/>
      <c r="H66" s="23"/>
      <c r="I66" s="50"/>
      <c r="J66" s="23"/>
      <c r="K66" s="25"/>
      <c r="L66" s="43"/>
      <c r="M66" s="43"/>
      <c r="N66" s="59"/>
      <c r="O66" s="23"/>
      <c r="P66" s="23"/>
      <c r="Q66" s="23"/>
      <c r="R66" s="23"/>
      <c r="S66" s="23"/>
      <c r="T66" s="23"/>
      <c r="U66" s="23"/>
      <c r="V66" s="28"/>
      <c r="W66" s="61"/>
      <c r="X66" s="61"/>
      <c r="Y66" s="28"/>
      <c r="Z66" s="29"/>
      <c r="AA66" s="24"/>
      <c r="AB66" s="23"/>
      <c r="AC66" s="38">
        <v>0.0</v>
      </c>
      <c r="AD66" s="51">
        <v>0.0</v>
      </c>
      <c r="AE66" s="32">
        <f t="shared" si="15"/>
        <v>0</v>
      </c>
      <c r="AF66" s="33" t="s">
        <v>82</v>
      </c>
      <c r="AG66" s="34">
        <v>0.0</v>
      </c>
      <c r="AH66" s="34" t="s">
        <v>82</v>
      </c>
      <c r="AI66" s="34">
        <v>0.0</v>
      </c>
      <c r="AJ66" s="34">
        <v>0.0</v>
      </c>
      <c r="AK66" s="34">
        <v>0.0</v>
      </c>
      <c r="AL66" s="36">
        <v>0.0</v>
      </c>
      <c r="AM66" s="37"/>
      <c r="AN66" s="38">
        <f t="shared" si="3"/>
        <v>595</v>
      </c>
      <c r="AO66" s="39">
        <f t="shared" si="14"/>
        <v>595</v>
      </c>
      <c r="AP66" s="40">
        <f t="shared" si="5"/>
        <v>0</v>
      </c>
      <c r="AQ66" s="14"/>
      <c r="AR66" s="41"/>
      <c r="AS66" s="14"/>
      <c r="AT66" s="23"/>
      <c r="AU66" s="42"/>
      <c r="AV66" s="52"/>
      <c r="AW66" s="23"/>
      <c r="AX66" s="42"/>
      <c r="AY66" s="42"/>
      <c r="AZ66" s="42"/>
    </row>
    <row r="67">
      <c r="A67" s="50"/>
      <c r="B67" s="23"/>
      <c r="C67" s="24"/>
      <c r="D67" s="23"/>
      <c r="E67" s="23"/>
      <c r="F67" s="23"/>
      <c r="G67" s="23"/>
      <c r="H67" s="23"/>
      <c r="I67" s="50"/>
      <c r="J67" s="23"/>
      <c r="K67" s="25"/>
      <c r="L67" s="43"/>
      <c r="M67" s="43"/>
      <c r="N67" s="59"/>
      <c r="O67" s="23"/>
      <c r="P67" s="23"/>
      <c r="Q67" s="23"/>
      <c r="R67" s="23"/>
      <c r="S67" s="23"/>
      <c r="T67" s="23"/>
      <c r="U67" s="23"/>
      <c r="V67" s="28"/>
      <c r="W67" s="61"/>
      <c r="X67" s="61"/>
      <c r="Y67" s="28"/>
      <c r="Z67" s="29"/>
      <c r="AA67" s="24"/>
      <c r="AB67" s="23"/>
      <c r="AC67" s="38">
        <v>0.0</v>
      </c>
      <c r="AD67" s="51">
        <v>0.0</v>
      </c>
      <c r="AE67" s="32">
        <f t="shared" si="15"/>
        <v>0</v>
      </c>
      <c r="AF67" s="33" t="s">
        <v>82</v>
      </c>
      <c r="AG67" s="34">
        <v>0.0</v>
      </c>
      <c r="AH67" s="34" t="s">
        <v>82</v>
      </c>
      <c r="AI67" s="34">
        <v>0.0</v>
      </c>
      <c r="AJ67" s="34">
        <v>0.0</v>
      </c>
      <c r="AK67" s="34">
        <v>0.0</v>
      </c>
      <c r="AL67" s="36">
        <v>0.0</v>
      </c>
      <c r="AM67" s="37"/>
      <c r="AN67" s="38">
        <f t="shared" si="3"/>
        <v>595</v>
      </c>
      <c r="AO67" s="39">
        <f t="shared" si="14"/>
        <v>595</v>
      </c>
      <c r="AP67" s="40">
        <f t="shared" si="5"/>
        <v>0</v>
      </c>
      <c r="AQ67" s="14"/>
      <c r="AR67" s="41"/>
      <c r="AS67" s="14"/>
      <c r="AT67" s="23"/>
      <c r="AU67" s="42"/>
      <c r="AV67" s="52"/>
      <c r="AW67" s="23"/>
      <c r="AX67" s="42"/>
      <c r="AY67" s="42"/>
      <c r="AZ67" s="42"/>
    </row>
    <row r="68">
      <c r="A68" s="50"/>
      <c r="B68" s="23"/>
      <c r="C68" s="24"/>
      <c r="D68" s="23"/>
      <c r="E68" s="23"/>
      <c r="F68" s="23"/>
      <c r="G68" s="23"/>
      <c r="H68" s="23"/>
      <c r="I68" s="50"/>
      <c r="J68" s="23"/>
      <c r="K68" s="25"/>
      <c r="L68" s="43"/>
      <c r="M68" s="43"/>
      <c r="N68" s="59"/>
      <c r="O68" s="23"/>
      <c r="P68" s="23"/>
      <c r="Q68" s="23"/>
      <c r="R68" s="23"/>
      <c r="S68" s="23"/>
      <c r="T68" s="23"/>
      <c r="U68" s="23"/>
      <c r="V68" s="28"/>
      <c r="W68" s="61"/>
      <c r="X68" s="61"/>
      <c r="Y68" s="28"/>
      <c r="Z68" s="29"/>
      <c r="AA68" s="24"/>
      <c r="AB68" s="23"/>
      <c r="AC68" s="38">
        <v>0.0</v>
      </c>
      <c r="AD68" s="51">
        <v>0.0</v>
      </c>
      <c r="AE68" s="32">
        <f t="shared" si="15"/>
        <v>0</v>
      </c>
      <c r="AF68" s="33" t="s">
        <v>82</v>
      </c>
      <c r="AG68" s="34">
        <v>0.0</v>
      </c>
      <c r="AH68" s="34" t="s">
        <v>82</v>
      </c>
      <c r="AI68" s="34">
        <v>0.0</v>
      </c>
      <c r="AJ68" s="34">
        <v>0.0</v>
      </c>
      <c r="AK68" s="34">
        <v>0.0</v>
      </c>
      <c r="AL68" s="36">
        <v>0.0</v>
      </c>
      <c r="AM68" s="37"/>
      <c r="AN68" s="38">
        <f t="shared" si="3"/>
        <v>595</v>
      </c>
      <c r="AO68" s="39">
        <f t="shared" si="14"/>
        <v>595</v>
      </c>
      <c r="AP68" s="40">
        <f t="shared" si="5"/>
        <v>0</v>
      </c>
      <c r="AQ68" s="14"/>
      <c r="AR68" s="41"/>
      <c r="AS68" s="14"/>
      <c r="AT68" s="23"/>
      <c r="AU68" s="42"/>
      <c r="AV68" s="52"/>
      <c r="AW68" s="23"/>
      <c r="AX68" s="42"/>
      <c r="AY68" s="42"/>
      <c r="AZ68" s="42"/>
    </row>
    <row r="69">
      <c r="A69" s="50"/>
      <c r="B69" s="23"/>
      <c r="C69" s="24"/>
      <c r="D69" s="23"/>
      <c r="E69" s="23"/>
      <c r="F69" s="23"/>
      <c r="G69" s="23"/>
      <c r="H69" s="23"/>
      <c r="I69" s="50"/>
      <c r="J69" s="23"/>
      <c r="K69" s="25"/>
      <c r="L69" s="43"/>
      <c r="M69" s="43"/>
      <c r="N69" s="59"/>
      <c r="O69" s="23"/>
      <c r="P69" s="23"/>
      <c r="Q69" s="23"/>
      <c r="R69" s="23"/>
      <c r="S69" s="23"/>
      <c r="T69" s="23"/>
      <c r="U69" s="23"/>
      <c r="V69" s="28"/>
      <c r="W69" s="61"/>
      <c r="X69" s="61"/>
      <c r="Y69" s="28"/>
      <c r="Z69" s="29"/>
      <c r="AA69" s="24"/>
      <c r="AB69" s="23"/>
      <c r="AC69" s="38">
        <v>0.0</v>
      </c>
      <c r="AD69" s="51">
        <v>0.0</v>
      </c>
      <c r="AE69" s="32">
        <f t="shared" si="15"/>
        <v>0</v>
      </c>
      <c r="AF69" s="33" t="s">
        <v>82</v>
      </c>
      <c r="AG69" s="34">
        <v>0.0</v>
      </c>
      <c r="AH69" s="34" t="s">
        <v>82</v>
      </c>
      <c r="AI69" s="34">
        <v>0.0</v>
      </c>
      <c r="AJ69" s="34">
        <v>0.0</v>
      </c>
      <c r="AK69" s="34">
        <v>0.0</v>
      </c>
      <c r="AL69" s="36">
        <v>0.0</v>
      </c>
      <c r="AM69" s="37"/>
      <c r="AN69" s="38">
        <f t="shared" si="3"/>
        <v>595</v>
      </c>
      <c r="AO69" s="39">
        <f t="shared" si="14"/>
        <v>595</v>
      </c>
      <c r="AP69" s="40">
        <f t="shared" si="5"/>
        <v>0</v>
      </c>
      <c r="AQ69" s="14"/>
      <c r="AR69" s="41"/>
      <c r="AS69" s="14"/>
      <c r="AT69" s="23"/>
      <c r="AU69" s="42"/>
      <c r="AV69" s="52"/>
      <c r="AW69" s="23"/>
      <c r="AX69" s="42"/>
      <c r="AY69" s="42"/>
      <c r="AZ69" s="42"/>
    </row>
    <row r="70">
      <c r="A70" s="50"/>
      <c r="B70" s="23"/>
      <c r="C70" s="24"/>
      <c r="D70" s="23"/>
      <c r="E70" s="23"/>
      <c r="F70" s="23"/>
      <c r="G70" s="23"/>
      <c r="H70" s="23"/>
      <c r="I70" s="50"/>
      <c r="J70" s="23"/>
      <c r="K70" s="25"/>
      <c r="L70" s="43"/>
      <c r="M70" s="43"/>
      <c r="N70" s="59"/>
      <c r="O70" s="23"/>
      <c r="P70" s="23"/>
      <c r="Q70" s="23"/>
      <c r="R70" s="23"/>
      <c r="S70" s="23"/>
      <c r="T70" s="23"/>
      <c r="U70" s="23"/>
      <c r="V70" s="28"/>
      <c r="W70" s="61"/>
      <c r="X70" s="61"/>
      <c r="Y70" s="28"/>
      <c r="Z70" s="29"/>
      <c r="AA70" s="24"/>
      <c r="AB70" s="23"/>
      <c r="AC70" s="38">
        <v>0.0</v>
      </c>
      <c r="AD70" s="51">
        <v>0.0</v>
      </c>
      <c r="AE70" s="32">
        <f t="shared" si="15"/>
        <v>0</v>
      </c>
      <c r="AF70" s="33" t="s">
        <v>82</v>
      </c>
      <c r="AG70" s="34">
        <v>0.0</v>
      </c>
      <c r="AH70" s="34" t="s">
        <v>82</v>
      </c>
      <c r="AI70" s="34">
        <v>0.0</v>
      </c>
      <c r="AJ70" s="34">
        <v>0.0</v>
      </c>
      <c r="AK70" s="34">
        <v>0.0</v>
      </c>
      <c r="AL70" s="36">
        <v>0.0</v>
      </c>
      <c r="AM70" s="37"/>
      <c r="AN70" s="38">
        <f t="shared" si="3"/>
        <v>595</v>
      </c>
      <c r="AO70" s="39">
        <f t="shared" si="14"/>
        <v>595</v>
      </c>
      <c r="AP70" s="40">
        <f t="shared" si="5"/>
        <v>0</v>
      </c>
      <c r="AQ70" s="14"/>
      <c r="AR70" s="41"/>
      <c r="AS70" s="14"/>
      <c r="AT70" s="23"/>
      <c r="AU70" s="42"/>
      <c r="AV70" s="52"/>
      <c r="AW70" s="23"/>
      <c r="AX70" s="42"/>
      <c r="AY70" s="42"/>
      <c r="AZ70" s="42"/>
    </row>
    <row r="71">
      <c r="A71" s="50"/>
      <c r="B71" s="23"/>
      <c r="C71" s="24"/>
      <c r="D71" s="23"/>
      <c r="E71" s="23"/>
      <c r="F71" s="23"/>
      <c r="G71" s="23"/>
      <c r="H71" s="23"/>
      <c r="I71" s="50"/>
      <c r="J71" s="23"/>
      <c r="K71" s="25"/>
      <c r="L71" s="43"/>
      <c r="M71" s="43"/>
      <c r="N71" s="59"/>
      <c r="O71" s="23"/>
      <c r="P71" s="23"/>
      <c r="Q71" s="23"/>
      <c r="R71" s="23"/>
      <c r="S71" s="23"/>
      <c r="T71" s="23"/>
      <c r="U71" s="23"/>
      <c r="V71" s="28"/>
      <c r="W71" s="61"/>
      <c r="X71" s="61"/>
      <c r="Y71" s="28"/>
      <c r="Z71" s="29"/>
      <c r="AA71" s="24"/>
      <c r="AB71" s="23"/>
      <c r="AC71" s="38">
        <v>0.0</v>
      </c>
      <c r="AD71" s="51">
        <v>0.0</v>
      </c>
      <c r="AE71" s="32">
        <f t="shared" si="15"/>
        <v>0</v>
      </c>
      <c r="AF71" s="33" t="s">
        <v>82</v>
      </c>
      <c r="AG71" s="34">
        <v>0.0</v>
      </c>
      <c r="AH71" s="34" t="s">
        <v>82</v>
      </c>
      <c r="AI71" s="34">
        <v>0.0</v>
      </c>
      <c r="AJ71" s="34">
        <v>0.0</v>
      </c>
      <c r="AK71" s="34">
        <v>0.0</v>
      </c>
      <c r="AL71" s="36">
        <v>0.0</v>
      </c>
      <c r="AM71" s="37"/>
      <c r="AN71" s="38">
        <f t="shared" si="3"/>
        <v>595</v>
      </c>
      <c r="AO71" s="39">
        <f t="shared" si="14"/>
        <v>595</v>
      </c>
      <c r="AP71" s="40">
        <f t="shared" si="5"/>
        <v>0</v>
      </c>
      <c r="AQ71" s="14"/>
      <c r="AR71" s="41"/>
      <c r="AS71" s="14"/>
      <c r="AT71" s="23"/>
      <c r="AU71" s="42"/>
      <c r="AV71" s="52"/>
      <c r="AW71" s="23"/>
      <c r="AX71" s="42"/>
      <c r="AY71" s="42"/>
      <c r="AZ71" s="42"/>
    </row>
    <row r="72">
      <c r="A72" s="50"/>
      <c r="B72" s="23"/>
      <c r="C72" s="24"/>
      <c r="D72" s="23"/>
      <c r="E72" s="23"/>
      <c r="F72" s="23"/>
      <c r="G72" s="23"/>
      <c r="H72" s="23"/>
      <c r="I72" s="50"/>
      <c r="J72" s="23"/>
      <c r="K72" s="25"/>
      <c r="L72" s="43"/>
      <c r="M72" s="43"/>
      <c r="N72" s="59"/>
      <c r="O72" s="23"/>
      <c r="P72" s="23"/>
      <c r="Q72" s="23"/>
      <c r="R72" s="23"/>
      <c r="S72" s="23"/>
      <c r="T72" s="23"/>
      <c r="U72" s="23"/>
      <c r="V72" s="28"/>
      <c r="W72" s="61"/>
      <c r="X72" s="61"/>
      <c r="Y72" s="28"/>
      <c r="Z72" s="29"/>
      <c r="AA72" s="24"/>
      <c r="AB72" s="23"/>
      <c r="AC72" s="38">
        <v>0.0</v>
      </c>
      <c r="AD72" s="51">
        <v>0.0</v>
      </c>
      <c r="AE72" s="32">
        <f t="shared" si="15"/>
        <v>0</v>
      </c>
      <c r="AF72" s="33" t="s">
        <v>82</v>
      </c>
      <c r="AG72" s="34">
        <v>0.0</v>
      </c>
      <c r="AH72" s="34" t="s">
        <v>82</v>
      </c>
      <c r="AI72" s="34">
        <v>0.0</v>
      </c>
      <c r="AJ72" s="34">
        <v>0.0</v>
      </c>
      <c r="AK72" s="34">
        <v>0.0</v>
      </c>
      <c r="AL72" s="36">
        <v>0.0</v>
      </c>
      <c r="AM72" s="37"/>
      <c r="AN72" s="38">
        <f t="shared" si="3"/>
        <v>595</v>
      </c>
      <c r="AO72" s="39">
        <f t="shared" si="14"/>
        <v>595</v>
      </c>
      <c r="AP72" s="40">
        <f t="shared" si="5"/>
        <v>0</v>
      </c>
      <c r="AQ72" s="14"/>
      <c r="AR72" s="41"/>
      <c r="AS72" s="14"/>
      <c r="AT72" s="23"/>
      <c r="AU72" s="42"/>
      <c r="AV72" s="52"/>
      <c r="AW72" s="23"/>
      <c r="AX72" s="42"/>
      <c r="AY72" s="42"/>
      <c r="AZ72" s="42"/>
    </row>
    <row r="73">
      <c r="A73" s="50"/>
      <c r="B73" s="23"/>
      <c r="C73" s="24"/>
      <c r="D73" s="23"/>
      <c r="E73" s="23"/>
      <c r="F73" s="23"/>
      <c r="G73" s="23"/>
      <c r="H73" s="23"/>
      <c r="I73" s="50"/>
      <c r="J73" s="23"/>
      <c r="K73" s="25"/>
      <c r="L73" s="43"/>
      <c r="M73" s="43"/>
      <c r="N73" s="59"/>
      <c r="O73" s="23"/>
      <c r="P73" s="23"/>
      <c r="Q73" s="23"/>
      <c r="R73" s="23"/>
      <c r="S73" s="23"/>
      <c r="T73" s="23"/>
      <c r="U73" s="23"/>
      <c r="V73" s="28"/>
      <c r="W73" s="61"/>
      <c r="X73" s="61"/>
      <c r="Y73" s="28"/>
      <c r="Z73" s="29"/>
      <c r="AA73" s="24"/>
      <c r="AB73" s="23"/>
      <c r="AC73" s="38">
        <v>0.0</v>
      </c>
      <c r="AD73" s="51">
        <v>0.0</v>
      </c>
      <c r="AE73" s="32">
        <f t="shared" si="15"/>
        <v>0</v>
      </c>
      <c r="AF73" s="33" t="s">
        <v>82</v>
      </c>
      <c r="AG73" s="34">
        <v>0.0</v>
      </c>
      <c r="AH73" s="34" t="s">
        <v>82</v>
      </c>
      <c r="AI73" s="34">
        <v>0.0</v>
      </c>
      <c r="AJ73" s="34">
        <v>0.0</v>
      </c>
      <c r="AK73" s="34">
        <v>0.0</v>
      </c>
      <c r="AL73" s="36">
        <v>0.0</v>
      </c>
      <c r="AM73" s="37"/>
      <c r="AN73" s="38">
        <f t="shared" si="3"/>
        <v>595</v>
      </c>
      <c r="AO73" s="39">
        <f t="shared" si="14"/>
        <v>595</v>
      </c>
      <c r="AP73" s="40">
        <f t="shared" si="5"/>
        <v>0</v>
      </c>
      <c r="AQ73" s="14"/>
      <c r="AR73" s="41"/>
      <c r="AS73" s="14"/>
      <c r="AT73" s="23"/>
      <c r="AU73" s="42"/>
      <c r="AV73" s="52"/>
      <c r="AW73" s="23"/>
      <c r="AX73" s="42"/>
      <c r="AY73" s="42"/>
      <c r="AZ73" s="42"/>
    </row>
    <row r="74">
      <c r="A74" s="87"/>
      <c r="B74" s="88"/>
      <c r="C74" s="89"/>
      <c r="D74" s="88"/>
      <c r="E74" s="88"/>
      <c r="F74" s="88"/>
      <c r="G74" s="88"/>
      <c r="H74" s="88"/>
      <c r="I74" s="87"/>
      <c r="J74" s="88"/>
      <c r="K74" s="90"/>
      <c r="L74" s="91"/>
      <c r="M74" s="91"/>
      <c r="N74" s="92"/>
      <c r="O74" s="88"/>
      <c r="P74" s="88"/>
      <c r="Q74" s="88"/>
      <c r="R74" s="88"/>
      <c r="S74" s="88"/>
      <c r="T74" s="88"/>
      <c r="U74" s="88"/>
      <c r="V74" s="93"/>
      <c r="W74" s="94"/>
      <c r="X74" s="94"/>
      <c r="Y74" s="93"/>
      <c r="Z74" s="29"/>
      <c r="AA74" s="89"/>
      <c r="AB74" s="88"/>
      <c r="AC74" s="95"/>
      <c r="AD74" s="96"/>
      <c r="AE74" s="95">
        <f t="shared" ref="AE74:AF74" si="16">SUM(AE3:AE23)</f>
        <v>365506</v>
      </c>
      <c r="AF74" s="97">
        <f t="shared" si="16"/>
        <v>12495</v>
      </c>
      <c r="AG74" s="97"/>
      <c r="AH74" s="97"/>
      <c r="AI74" s="97"/>
      <c r="AJ74" s="97"/>
      <c r="AK74" s="97"/>
      <c r="AL74" s="98"/>
      <c r="AM74" s="98"/>
      <c r="AN74" s="95"/>
      <c r="AO74" s="99"/>
      <c r="AP74" s="95"/>
      <c r="AQ74" s="100"/>
      <c r="AR74" s="101"/>
      <c r="AS74" s="102"/>
      <c r="AT74" s="102"/>
      <c r="AU74" s="102"/>
      <c r="AV74" s="103"/>
      <c r="AW74" s="103"/>
      <c r="AX74" s="102"/>
      <c r="AY74" s="102"/>
      <c r="AZ74" s="102"/>
    </row>
  </sheetData>
  <customSheetViews>
    <customSheetView guid="{96B63109-D3DD-47A7-9601-9CB805816F85}" filter="1" showAutoFilter="1">
      <autoFilter ref="$A$2:$AX$2">
        <filterColumn colId="9">
          <filters/>
        </filterColumn>
        <filterColumn colId="21">
          <filters/>
        </filterColumn>
      </autoFilter>
    </customSheetView>
  </customSheetViews>
  <conditionalFormatting sqref="AR3:AR73">
    <cfRule type="notContainsBlanks" dxfId="0" priority="1">
      <formula>LEN(TRIM(AR3))&gt;0</formula>
    </cfRule>
  </conditionalFormatting>
  <dataValidations>
    <dataValidation type="list" allowBlank="1" showErrorMessage="1" sqref="AG3:AG73">
      <formula1>"$500.00,$200.00,$0.00,Subscribed"</formula1>
    </dataValidation>
    <dataValidation type="list" allowBlank="1" showErrorMessage="1" sqref="AM3:AM21 AM23:AM47 AM49:AM73">
      <formula1>"Buyer,SOI 70,Seller,SOI 80,SOI 90,SOI 60,SOI 85,SOI 75"</formula1>
    </dataValidation>
    <dataValidation type="list" allowBlank="1" sqref="G3:G4 G6:G24 G26:G60 G62:G74">
      <formula1>"Alexandra Haro,Alexis Cassidy,Alicia Good,Blake Cory,Bridget Sisco,Carmen Avalos,Cavin Quintanilla,Cheree Moore-Zarty,Cheryl Shaw,Christine Van Hyning,Connor McClurg,Dana Garcia,Diane Caddy,Edward Kaveney ""Eddie"",George Folia,Isy Ota-Oro,Jamie Carbajal,"&amp;"Jeanette Simms,Jeffrey Cottingham,Jenna Melendez,Jessica Cano,Joe Rodriguez,Kathy Zumaya,Kay Patel,Kendra Jo Harlan,Kiona Grantham,Kristi Beneventi,Larry Randolph,Mario Muñoz,Martin Gomez,Melissa Mantz,Mercedes Torres,Michael Wickam,Monique Lewis,Myrna Pe"&amp;"terson,Nate Bunnell,Nicole Shettleroe,Rachele Lacey,Renée Keeling,Richard Luizzi,Robin Tapia,Ron Prunty,Ronda Bryce,Rosalina Williams,Samantha Gonzales,Spencer Salter,Stephanie Carson,Zayn Almusawi,Kathleen Allen,Erskine Bonilla"</formula1>
    </dataValidation>
    <dataValidation type="list" allowBlank="1" sqref="P3:P74">
      <formula1>"New Build,Vacant Land,Waived,American Home Sheild,First American HW,Fidelity HW,HWA,OpenDoor,ORHW_Nikki,ORHW,See Comment,Oredered By Other,Referral"</formula1>
    </dataValidation>
    <dataValidation type="list" allowBlank="1" sqref="H25">
      <formula1>"Mario,Melissa,Kay,N/A"</formula1>
    </dataValidation>
    <dataValidation type="list" allowBlank="1" showErrorMessage="1" sqref="J3:J74">
      <formula1>"Alexis,Kenia,Outside"</formula1>
    </dataValidation>
    <dataValidation type="list" allowBlank="1" sqref="AB3:AB74">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Homes,Ylopo,Instagram,Opendoor,Company Lead,Crush It Marketing"</formula1>
    </dataValidation>
    <dataValidation type="list" allowBlank="1" showErrorMessage="1" sqref="A3:A74">
      <formula1>"January,February,March,April,May,June,July,August,September,October,November,December"</formula1>
    </dataValidation>
    <dataValidation type="list" allowBlank="1" sqref="AT3:AT6 AT8:AT73">
      <formula1>"See Notes,Pending Splits"</formula1>
    </dataValidation>
    <dataValidation type="list" allowBlank="1" sqref="B3:B74">
      <formula1>"Buyer,Seller"</formula1>
    </dataValidation>
    <dataValidation type="list" allowBlank="1" showErrorMessage="1" sqref="AM22 AM48">
      <formula1>"Buyer,SOI 70,Seller,SOI 80,SOI 90,SOI 60,SOI 85,SOI 100"</formula1>
    </dataValidation>
    <dataValidation type="list" allowBlank="1" sqref="G5 G25">
      <formula1>"Alicia Good,Alexandra Haro,Blake Cory,Bridget Sisco,Charles Provido,Cheryl Shaw,Dana Garcia,Edward Kaveney ""Eddie"",Fernando Maldonado,Mario Muñoz,Michael Wickam,Jane Arellano,Jenna Melendez,Joe Rodriguez,Karely Sanchez,Kathleen Allen,Kathy Zumaya,Kay Pa"&amp;"tel,Kendra Jo Harlan,Kiona Grantham,Larry Randolph,Melissa Mantz,Monique Lewis,Myrna Peterson,Nate Bunnell,Nilska ""Nelly"" Guerrero,Rachele Lacey,Richard Luizzi,Roger Tarango,Robin Tapia,Ron Prunty,Ronda Bryce,Rosalina Williams,Stephanie Carson,Stephanie"&amp;" Casados,Spencer Salter"</formula1>
    </dataValidation>
    <dataValidation type="list" allowBlank="1" showErrorMessage="1" sqref="U3:U74">
      <formula1>"Q1 2026,Q2 2026,Q3 2026,Q3 2025,Q4 2025,Q4 2026"</formula1>
    </dataValidation>
    <dataValidation type="list" allowBlank="1" sqref="F3:F24 F26:F74">
      <formula1>"RVSD,SB,OC,LA,SD,IMP,KERN,VENTURA,FRESNO,TULARE"</formula1>
    </dataValidation>
    <dataValidation type="list" allowBlank="1" sqref="F25">
      <formula1>"RVSD,SB,OC,LA,SD,IMP,KERN,Ventura"</formula1>
    </dataValidation>
    <dataValidation type="list" allowBlank="1" sqref="G61">
      <formula1>"Alexandra Haro,Alexis Cassidy,Alicia Good,Blake Cory,Bridget Sisco,Carmen Avalos,Cavin Quintanilla,Cheree Moore-Zarty,Cheryl Shaw,Connor McClurg,Dana Garcia,Diane Caddy,Edward Kaveney ""Eddie"",George Folia,Isy Ota-Oro,Jamie Carbajal,Jeanette Simms,Jeffre"&amp;"y Cottingham,Jenna Melendez,Jessica Cano,Joe Rodriguez,Kathy Zumaya,Kay Patel,Kendra Jo Harlan,Kiona Grantham,Larry Randolph,Mario Muñoz,Martin Gomez,Melissa Mantz,Mercedes Torres,Michael Wickam,Monique Lewis,Myrna Peterson,Nate Bunnell,Nicole Shettleroe,"&amp;"Rachele Lacey,Renée Keeling,Richard Luizzi,Robin Tapia,Ron Prunty,Ronda Bryce,Rosalina Williams,Spencer Salter,Stephanie Carson,Zayn Almusawi,Kathleen Allen"</formula1>
    </dataValidation>
    <dataValidation type="list" allowBlank="1" sqref="I3:I24 I26:I74">
      <formula1>"Nichole,Derek,Kimberly,KellyL,Jasmine,N/A,c/o Alicia Good,ISA,KellyM,c/o Alexandra Haro,c/o Stephanie Casados,c/o Petra Campos,c/o Rosalina Williams"</formula1>
    </dataValidation>
    <dataValidation type="list" allowBlank="1" showErrorMessage="1" sqref="AH3:AH73">
      <formula1>"$,$0.00,$250.,Subscribed,Showcase Token,N/A"</formula1>
    </dataValidation>
    <dataValidation type="list" allowBlank="1" showErrorMessage="1" sqref="Y3:Y74">
      <formula1>"Q1 2026,Q2 2026,Q3 2026,Q4 2026"</formula1>
    </dataValidation>
    <dataValidation type="list" allowBlank="1" sqref="AW3:AW73">
      <formula1>"Complete - Pending,Complete - Closed,Complete - Fell Out,See Notes,N/A"</formula1>
    </dataValidation>
    <dataValidation type="list" allowBlank="1" sqref="I25">
      <formula1>"Nichole,Derek,Kimberly,KellyL,Jasmine,N/A,c/o Alicia Good,ISA,KellyM,c/o Alexandra Haro,c/o Stephanie Casados,c/o Petra Campos,c/o Rosalina Williams,c/o Isy Ota-Oro"</formula1>
    </dataValidation>
    <dataValidation type="list" allowBlank="1" sqref="H3:H24 H26:H74">
      <formula1>"Blake,Kiona,Mario,Melissa"</formula1>
    </dataValidation>
    <dataValidation type="list" allowBlank="1" showErrorMessage="1" sqref="AF3:AF73">
      <formula1>"$,$595.00,New Build,OpenDoor,VA Loan,Waived,Referral,Agent Pay"</formula1>
    </dataValidation>
    <dataValidation type="list" allowBlank="1" sqref="Q3:Q74">
      <formula1>"New Build,First American ,myNHD,myNHD_Other,American Home Sheild,CRES NHD,The Disclosure Report NHD,Disclosure Source,Fast NHD,Logic NHD,OpenDoor,PDQ, Property ID,SNAP,SNAP_Other,Waived,Your One NHD,See Notes,Referral"</formula1>
    </dataValidation>
    <dataValidation type="list" allowBlank="1" showErrorMessage="1" sqref="AA3:AA74">
      <formula1>"New Build,Resale,Condo,Manu,Mobile,OpenDoor,OpenDoor_Flat,Vacant Land,See Notes"</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4.25"/>
    <col customWidth="1" min="2" max="2" width="11.88"/>
    <col customWidth="1" min="3" max="3" width="27.38"/>
    <col customWidth="1" min="4" max="4" width="16.75"/>
    <col customWidth="1" min="5" max="5" width="15.5"/>
    <col customWidth="1" min="6" max="6" width="17.0"/>
    <col customWidth="1" min="7" max="7" width="20.25"/>
    <col customWidth="1" min="8" max="8" width="17.13"/>
    <col customWidth="1" min="9" max="9" width="14.25"/>
    <col customWidth="1" min="10" max="10" width="12.63"/>
    <col customWidth="1" min="11" max="11" width="42.63"/>
    <col customWidth="1" min="12" max="12" width="31.38"/>
    <col customWidth="1" min="13" max="13" width="43.0"/>
    <col customWidth="1" min="14" max="14" width="26.75"/>
    <col customWidth="1" min="15" max="15" width="27.25"/>
    <col customWidth="1" min="16" max="17" width="18.88"/>
    <col customWidth="1" min="18" max="18" width="25.13"/>
    <col customWidth="1" min="19" max="19" width="18.88"/>
    <col customWidth="1" min="20" max="20" width="31.38"/>
    <col customWidth="1" min="21" max="22" width="11.38"/>
    <col customWidth="1" min="23" max="25" width="10.75"/>
    <col customWidth="1" min="26" max="26" width="1.38"/>
    <col customWidth="1" min="28" max="28" width="24.63"/>
    <col customWidth="1" min="29" max="29" width="12.75"/>
    <col customWidth="1" min="30" max="30" width="11.38"/>
    <col customWidth="1" min="31" max="31" width="9.5"/>
    <col customWidth="1" min="32" max="32" width="11.25"/>
    <col customWidth="1" min="33" max="35" width="11.88"/>
    <col customWidth="1" min="36" max="36" width="12.0"/>
    <col customWidth="1" min="37" max="37" width="15.5"/>
    <col customWidth="1" min="38" max="38" width="9.5"/>
    <col customWidth="1" min="39" max="39" width="19.5"/>
    <col customWidth="1" min="40" max="40" width="11.75"/>
    <col customWidth="1" min="41" max="41" width="11.13"/>
    <col customWidth="1" min="42" max="42" width="11.38"/>
    <col customWidth="1" min="43" max="43" width="1.38"/>
    <col customWidth="1" min="44" max="44" width="18.88"/>
    <col customWidth="1" min="45" max="45" width="0.75"/>
    <col customWidth="1" min="46" max="46" width="18.88"/>
    <col customWidth="1" min="47" max="47" width="1.38"/>
    <col customWidth="1" min="48" max="48" width="16.38"/>
    <col customWidth="1" min="49" max="49" width="17.63"/>
    <col customWidth="1" min="50" max="50" width="14.63"/>
    <col customWidth="1" min="51" max="51" width="23.75"/>
    <col customWidth="1" min="52" max="52" width="1.38"/>
  </cols>
  <sheetData>
    <row r="1" ht="21.75" customHeight="1">
      <c r="A1" s="1" t="s">
        <v>1</v>
      </c>
      <c r="B1" s="1" t="s">
        <v>2</v>
      </c>
      <c r="C1" s="2" t="s">
        <v>3</v>
      </c>
      <c r="D1" s="2" t="s">
        <v>4</v>
      </c>
      <c r="E1" s="2" t="s">
        <v>5</v>
      </c>
      <c r="F1" s="2" t="s">
        <v>6</v>
      </c>
      <c r="G1" s="3" t="s">
        <v>7</v>
      </c>
      <c r="H1" s="1" t="s">
        <v>8</v>
      </c>
      <c r="I1" s="3" t="s">
        <v>9</v>
      </c>
      <c r="J1" s="1" t="s">
        <v>10</v>
      </c>
      <c r="K1" s="4" t="s">
        <v>11</v>
      </c>
      <c r="L1" s="2" t="s">
        <v>12</v>
      </c>
      <c r="M1" s="2" t="s">
        <v>13</v>
      </c>
      <c r="N1" s="5" t="s">
        <v>14</v>
      </c>
      <c r="O1" s="5" t="s">
        <v>15</v>
      </c>
      <c r="P1" s="5" t="s">
        <v>16</v>
      </c>
      <c r="Q1" s="5" t="s">
        <v>17</v>
      </c>
      <c r="R1" s="5" t="s">
        <v>18</v>
      </c>
      <c r="S1" s="5" t="s">
        <v>19</v>
      </c>
      <c r="T1" s="5" t="s">
        <v>20</v>
      </c>
      <c r="U1" s="1" t="s">
        <v>21</v>
      </c>
      <c r="V1" s="6" t="s">
        <v>22</v>
      </c>
      <c r="W1" s="6" t="s">
        <v>23</v>
      </c>
      <c r="X1" s="6" t="s">
        <v>24</v>
      </c>
      <c r="Y1" s="1" t="s">
        <v>25</v>
      </c>
      <c r="Z1" s="7"/>
      <c r="AA1" s="8" t="s">
        <v>26</v>
      </c>
      <c r="AB1" s="9" t="s">
        <v>27</v>
      </c>
      <c r="AC1" s="10" t="s">
        <v>28</v>
      </c>
      <c r="AD1" s="11" t="s">
        <v>29</v>
      </c>
      <c r="AE1" s="10" t="s">
        <v>30</v>
      </c>
      <c r="AF1" s="21" t="s">
        <v>31</v>
      </c>
      <c r="AG1" s="12" t="s">
        <v>32</v>
      </c>
      <c r="AH1" s="12" t="s">
        <v>33</v>
      </c>
      <c r="AI1" s="12" t="s">
        <v>34</v>
      </c>
      <c r="AJ1" s="10" t="s">
        <v>35</v>
      </c>
      <c r="AK1" s="10" t="s">
        <v>36</v>
      </c>
      <c r="AL1" s="10" t="s">
        <v>37</v>
      </c>
      <c r="AM1" s="9" t="s">
        <v>38</v>
      </c>
      <c r="AN1" s="9" t="s">
        <v>39</v>
      </c>
      <c r="AO1" s="9" t="s">
        <v>40</v>
      </c>
      <c r="AP1" s="9" t="s">
        <v>41</v>
      </c>
      <c r="AQ1" s="14"/>
      <c r="AR1" s="104" t="s">
        <v>42</v>
      </c>
      <c r="AS1" s="14"/>
      <c r="AT1" s="16" t="s">
        <v>43</v>
      </c>
      <c r="AU1" s="17"/>
      <c r="AV1" s="18" t="s">
        <v>44</v>
      </c>
      <c r="AW1" s="19" t="s">
        <v>45</v>
      </c>
      <c r="AX1" s="23" t="s">
        <v>561</v>
      </c>
      <c r="AY1" s="105" t="s">
        <v>562</v>
      </c>
      <c r="AZ1" s="17"/>
    </row>
    <row r="2" ht="16.5" customHeight="1">
      <c r="A2" s="37" t="s">
        <v>563</v>
      </c>
      <c r="B2" s="37" t="s">
        <v>47</v>
      </c>
      <c r="C2" s="106" t="s">
        <v>564</v>
      </c>
      <c r="D2" s="37" t="s">
        <v>86</v>
      </c>
      <c r="E2" s="37">
        <v>92054.0</v>
      </c>
      <c r="F2" s="37" t="s">
        <v>87</v>
      </c>
      <c r="G2" s="37" t="s">
        <v>255</v>
      </c>
      <c r="H2" s="37" t="s">
        <v>52</v>
      </c>
      <c r="I2" s="37" t="s">
        <v>53</v>
      </c>
      <c r="J2" s="37" t="s">
        <v>103</v>
      </c>
      <c r="K2" s="66" t="s">
        <v>565</v>
      </c>
      <c r="L2" s="107"/>
      <c r="M2" s="108" t="s">
        <v>566</v>
      </c>
      <c r="N2" s="108" t="s">
        <v>79</v>
      </c>
      <c r="O2" s="37" t="s">
        <v>567</v>
      </c>
      <c r="P2" s="37" t="s">
        <v>60</v>
      </c>
      <c r="Q2" s="37" t="s">
        <v>61</v>
      </c>
      <c r="R2" s="37"/>
      <c r="S2" s="37" t="s">
        <v>568</v>
      </c>
      <c r="T2" s="37" t="s">
        <v>569</v>
      </c>
      <c r="U2" s="37" t="s">
        <v>64</v>
      </c>
      <c r="V2" s="60">
        <v>46051.0</v>
      </c>
      <c r="W2" s="60">
        <v>46072.0</v>
      </c>
      <c r="X2" s="109">
        <v>7.0</v>
      </c>
      <c r="Y2" s="37" t="s">
        <v>64</v>
      </c>
      <c r="Z2" s="29"/>
      <c r="AA2" s="54" t="s">
        <v>414</v>
      </c>
      <c r="AB2" s="48" t="s">
        <v>167</v>
      </c>
      <c r="AC2" s="30">
        <v>759000.0</v>
      </c>
      <c r="AD2" s="31">
        <v>0.025</v>
      </c>
      <c r="AE2" s="32">
        <f t="shared" ref="AE2:AE23" si="1">SUM(AC2*AD2)</f>
        <v>18975</v>
      </c>
      <c r="AF2" s="33" t="s">
        <v>93</v>
      </c>
      <c r="AG2" s="34">
        <v>0.0</v>
      </c>
      <c r="AH2" s="34">
        <v>0.0</v>
      </c>
      <c r="AI2" s="34">
        <v>595.0</v>
      </c>
      <c r="AJ2" s="34">
        <v>0.0</v>
      </c>
      <c r="AK2" s="34">
        <v>0.0</v>
      </c>
      <c r="AL2" s="36">
        <v>0.0</v>
      </c>
      <c r="AM2" s="37" t="s">
        <v>277</v>
      </c>
      <c r="AN2" s="38">
        <f t="shared" ref="AN2:AN3" si="2">if(AF2=595, SUM(AE2+AI2-AK2-AJ2),sum(AE2-AJ2-AK2,595))</f>
        <v>19570</v>
      </c>
      <c r="AO2" s="110">
        <v>0.0</v>
      </c>
      <c r="AP2" s="40">
        <f t="shared" ref="AP2:AP48" si="3">sum(AN2-AO2)+-sum(AG2:AH2)</f>
        <v>19570</v>
      </c>
      <c r="AQ2" s="111"/>
      <c r="AR2" s="37"/>
      <c r="AS2" s="14"/>
      <c r="AT2" s="37" t="s">
        <v>570</v>
      </c>
      <c r="AU2" s="42"/>
      <c r="AV2" s="37" t="s">
        <v>571</v>
      </c>
      <c r="AW2" s="37" t="s">
        <v>572</v>
      </c>
      <c r="AX2" s="112"/>
      <c r="AY2" s="113" t="b">
        <v>1</v>
      </c>
      <c r="AZ2" s="42"/>
    </row>
    <row r="3" ht="15.75" customHeight="1">
      <c r="A3" s="23" t="s">
        <v>563</v>
      </c>
      <c r="B3" s="23" t="s">
        <v>47</v>
      </c>
      <c r="C3" s="106" t="s">
        <v>573</v>
      </c>
      <c r="D3" s="23" t="s">
        <v>432</v>
      </c>
      <c r="E3" s="37">
        <v>92571.0</v>
      </c>
      <c r="F3" s="23" t="s">
        <v>50</v>
      </c>
      <c r="G3" s="23" t="s">
        <v>574</v>
      </c>
      <c r="H3" s="23" t="s">
        <v>52</v>
      </c>
      <c r="I3" s="23" t="s">
        <v>53</v>
      </c>
      <c r="J3" s="23" t="s">
        <v>103</v>
      </c>
      <c r="K3" s="25" t="s">
        <v>575</v>
      </c>
      <c r="L3" s="114" t="s">
        <v>576</v>
      </c>
      <c r="M3" s="27" t="s">
        <v>577</v>
      </c>
      <c r="N3" s="27" t="s">
        <v>578</v>
      </c>
      <c r="O3" s="47" t="s">
        <v>143</v>
      </c>
      <c r="P3" s="23" t="s">
        <v>93</v>
      </c>
      <c r="Q3" s="23" t="s">
        <v>61</v>
      </c>
      <c r="R3" s="23" t="s">
        <v>579</v>
      </c>
      <c r="S3" s="23" t="s">
        <v>580</v>
      </c>
      <c r="T3" s="23" t="s">
        <v>581</v>
      </c>
      <c r="U3" s="23" t="s">
        <v>64</v>
      </c>
      <c r="V3" s="28">
        <v>46069.0</v>
      </c>
      <c r="W3" s="28">
        <v>46084.0</v>
      </c>
      <c r="X3" s="109">
        <v>7.0</v>
      </c>
      <c r="Y3" s="23" t="s">
        <v>64</v>
      </c>
      <c r="Z3" s="29"/>
      <c r="AA3" s="54" t="s">
        <v>582</v>
      </c>
      <c r="AB3" s="23" t="s">
        <v>167</v>
      </c>
      <c r="AC3" s="30">
        <v>205000.0</v>
      </c>
      <c r="AD3" s="31">
        <v>0.03</v>
      </c>
      <c r="AE3" s="32">
        <f t="shared" si="1"/>
        <v>6150</v>
      </c>
      <c r="AF3" s="33">
        <v>595.0</v>
      </c>
      <c r="AG3" s="34" t="s">
        <v>111</v>
      </c>
      <c r="AH3" s="34">
        <v>0.0</v>
      </c>
      <c r="AI3" s="34">
        <v>599.0</v>
      </c>
      <c r="AJ3" s="34">
        <v>0.0</v>
      </c>
      <c r="AK3" s="34">
        <v>0.0</v>
      </c>
      <c r="AL3" s="36">
        <v>0.0</v>
      </c>
      <c r="AM3" s="37" t="s">
        <v>552</v>
      </c>
      <c r="AN3" s="115">
        <f t="shared" si="2"/>
        <v>6749</v>
      </c>
      <c r="AO3" s="39">
        <f>if(AM3="Buyer",-sum((-AE3+AK3+AJ3)*50%),if(AM3="Seller",-sum((-AE3+AK3+AJ3)*50%),-sum(((-AE3+AK3+AJ3)*((100-right(AM3,2))/100)))))+if(AF3&lt;&gt;595,595, sum(AF3))</f>
        <v>1517.5</v>
      </c>
      <c r="AP3" s="40">
        <f t="shared" si="3"/>
        <v>5231.5</v>
      </c>
      <c r="AQ3" s="111"/>
      <c r="AR3" s="37"/>
      <c r="AS3" s="14"/>
      <c r="AT3" s="23" t="s">
        <v>570</v>
      </c>
      <c r="AU3" s="42"/>
      <c r="AV3" s="37" t="s">
        <v>571</v>
      </c>
      <c r="AW3" s="37" t="s">
        <v>572</v>
      </c>
      <c r="AX3" s="112"/>
      <c r="AY3" s="113" t="b">
        <v>1</v>
      </c>
      <c r="AZ3" s="42"/>
    </row>
    <row r="4" ht="14.25" customHeight="1">
      <c r="A4" s="116" t="s">
        <v>583</v>
      </c>
      <c r="B4" s="116" t="s">
        <v>47</v>
      </c>
      <c r="C4" s="117" t="s">
        <v>584</v>
      </c>
      <c r="D4" s="37" t="s">
        <v>49</v>
      </c>
      <c r="E4" s="37">
        <v>92584.0</v>
      </c>
      <c r="F4" s="37" t="s">
        <v>50</v>
      </c>
      <c r="G4" s="37" t="s">
        <v>288</v>
      </c>
      <c r="H4" s="55" t="s">
        <v>73</v>
      </c>
      <c r="I4" s="37" t="s">
        <v>89</v>
      </c>
      <c r="J4" s="37" t="s">
        <v>103</v>
      </c>
      <c r="K4" s="56" t="s">
        <v>585</v>
      </c>
      <c r="L4" s="49" t="s">
        <v>586</v>
      </c>
      <c r="M4" s="49" t="s">
        <v>587</v>
      </c>
      <c r="N4" s="108" t="s">
        <v>588</v>
      </c>
      <c r="O4" s="37" t="s">
        <v>589</v>
      </c>
      <c r="P4" s="37" t="s">
        <v>60</v>
      </c>
      <c r="Q4" s="37" t="s">
        <v>132</v>
      </c>
      <c r="R4" s="37" t="s">
        <v>590</v>
      </c>
      <c r="S4" s="37" t="s">
        <v>591</v>
      </c>
      <c r="T4" s="37" t="s">
        <v>592</v>
      </c>
      <c r="U4" s="37" t="s">
        <v>593</v>
      </c>
      <c r="V4" s="60">
        <v>45922.0</v>
      </c>
      <c r="W4" s="60">
        <v>45952.0</v>
      </c>
      <c r="X4" s="60">
        <v>46028.0</v>
      </c>
      <c r="Y4" s="37" t="s">
        <v>64</v>
      </c>
      <c r="Z4" s="29"/>
      <c r="AA4" s="54" t="s">
        <v>65</v>
      </c>
      <c r="AB4" s="37" t="s">
        <v>66</v>
      </c>
      <c r="AC4" s="34">
        <v>699900.0</v>
      </c>
      <c r="AD4" s="31">
        <v>0.025</v>
      </c>
      <c r="AE4" s="32">
        <f t="shared" si="1"/>
        <v>17497.5</v>
      </c>
      <c r="AF4" s="33">
        <v>595.0</v>
      </c>
      <c r="AG4" s="34">
        <v>0.0</v>
      </c>
      <c r="AH4" s="34">
        <v>0.0</v>
      </c>
      <c r="AI4" s="34">
        <v>595.0</v>
      </c>
      <c r="AJ4" s="34">
        <v>950.0</v>
      </c>
      <c r="AK4" s="35">
        <f>sum(AE4,-AJ4)*0.4</f>
        <v>6619</v>
      </c>
      <c r="AL4" s="36">
        <v>0.0</v>
      </c>
      <c r="AM4" s="37" t="s">
        <v>47</v>
      </c>
      <c r="AN4" s="38">
        <f t="shared" ref="AN4:AN15" si="4">SUM(AE4+AI4-AK4-AJ4)</f>
        <v>10523.5</v>
      </c>
      <c r="AO4" s="39">
        <f t="shared" ref="AO4:AO15" si="5">if(AM4="Buyer",-sum((-AE4+AK4+AJ4)*50%),if(AM4="Seller",-sum((-AE4+AK4+AJ4)*50%),-sum(((-AE4+AK4+AJ4)*((100-right(AM4,2))/100)))))+if(AF4="Agent Pay",595, sum(AF4))</f>
        <v>5559.25</v>
      </c>
      <c r="AP4" s="40">
        <f t="shared" si="3"/>
        <v>4964.25</v>
      </c>
      <c r="AQ4" s="111"/>
      <c r="AS4" s="14"/>
      <c r="AT4" s="37" t="s">
        <v>570</v>
      </c>
      <c r="AU4" s="42"/>
      <c r="AV4" s="23" t="s">
        <v>594</v>
      </c>
      <c r="AW4" s="23" t="s">
        <v>572</v>
      </c>
      <c r="AX4" s="52"/>
      <c r="AY4" s="37" t="b">
        <v>1</v>
      </c>
      <c r="AZ4" s="42"/>
    </row>
    <row r="5">
      <c r="A5" s="118" t="s">
        <v>583</v>
      </c>
      <c r="B5" s="116" t="s">
        <v>47</v>
      </c>
      <c r="C5" s="117" t="s">
        <v>595</v>
      </c>
      <c r="D5" s="37" t="s">
        <v>596</v>
      </c>
      <c r="E5" s="37">
        <v>92881.0</v>
      </c>
      <c r="F5" s="37" t="s">
        <v>50</v>
      </c>
      <c r="G5" s="37" t="s">
        <v>72</v>
      </c>
      <c r="H5" s="37" t="s">
        <v>172</v>
      </c>
      <c r="I5" s="37" t="s">
        <v>53</v>
      </c>
      <c r="J5" s="37" t="s">
        <v>54</v>
      </c>
      <c r="K5" s="56" t="s">
        <v>597</v>
      </c>
      <c r="L5" s="49" t="s">
        <v>598</v>
      </c>
      <c r="M5" s="49" t="s">
        <v>599</v>
      </c>
      <c r="N5" s="108" t="s">
        <v>600</v>
      </c>
      <c r="O5" s="37" t="s">
        <v>601</v>
      </c>
      <c r="P5" s="37" t="s">
        <v>60</v>
      </c>
      <c r="Q5" s="37" t="s">
        <v>61</v>
      </c>
      <c r="R5" s="37" t="s">
        <v>602</v>
      </c>
      <c r="S5" s="37" t="s">
        <v>603</v>
      </c>
      <c r="T5" s="37" t="s">
        <v>604</v>
      </c>
      <c r="U5" s="37" t="s">
        <v>605</v>
      </c>
      <c r="V5" s="60">
        <v>45955.0</v>
      </c>
      <c r="W5" s="60">
        <v>45982.0</v>
      </c>
      <c r="X5" s="60">
        <v>46028.0</v>
      </c>
      <c r="Y5" s="37" t="s">
        <v>64</v>
      </c>
      <c r="Z5" s="29"/>
      <c r="AA5" s="54" t="s">
        <v>124</v>
      </c>
      <c r="AB5" s="37" t="s">
        <v>66</v>
      </c>
      <c r="AC5" s="34">
        <v>190000.0</v>
      </c>
      <c r="AD5" s="31">
        <v>0.03</v>
      </c>
      <c r="AE5" s="32">
        <f t="shared" si="1"/>
        <v>5700</v>
      </c>
      <c r="AF5" s="33">
        <v>595.0</v>
      </c>
      <c r="AG5" s="34">
        <v>500.0</v>
      </c>
      <c r="AH5" s="34">
        <v>0.0</v>
      </c>
      <c r="AI5" s="34">
        <v>1095.0</v>
      </c>
      <c r="AJ5" s="34">
        <v>0.0</v>
      </c>
      <c r="AK5" s="35">
        <f>sum(AE5,-AJ5)*0.25</f>
        <v>1425</v>
      </c>
      <c r="AL5" s="36">
        <v>0.0</v>
      </c>
      <c r="AM5" s="37" t="s">
        <v>47</v>
      </c>
      <c r="AN5" s="38">
        <f t="shared" si="4"/>
        <v>5370</v>
      </c>
      <c r="AO5" s="39">
        <f t="shared" si="5"/>
        <v>2732.5</v>
      </c>
      <c r="AP5" s="40">
        <f t="shared" si="3"/>
        <v>2137.5</v>
      </c>
      <c r="AQ5" s="111"/>
      <c r="AR5" s="37"/>
      <c r="AS5" s="14"/>
      <c r="AT5" s="37" t="s">
        <v>570</v>
      </c>
      <c r="AU5" s="42"/>
      <c r="AV5" s="23" t="s">
        <v>606</v>
      </c>
      <c r="AW5" s="23" t="s">
        <v>572</v>
      </c>
      <c r="AX5" s="23" t="s">
        <v>607</v>
      </c>
      <c r="AY5" s="37" t="b">
        <v>1</v>
      </c>
      <c r="AZ5" s="42"/>
    </row>
    <row r="6">
      <c r="A6" s="118" t="s">
        <v>583</v>
      </c>
      <c r="B6" s="116" t="s">
        <v>84</v>
      </c>
      <c r="C6" s="117" t="s">
        <v>608</v>
      </c>
      <c r="D6" s="37" t="s">
        <v>49</v>
      </c>
      <c r="E6" s="37">
        <v>92586.0</v>
      </c>
      <c r="F6" s="37" t="s">
        <v>50</v>
      </c>
      <c r="G6" s="37" t="s">
        <v>399</v>
      </c>
      <c r="H6" s="37" t="s">
        <v>73</v>
      </c>
      <c r="I6" s="37" t="s">
        <v>53</v>
      </c>
      <c r="J6" s="37" t="s">
        <v>103</v>
      </c>
      <c r="K6" s="56" t="s">
        <v>609</v>
      </c>
      <c r="L6" s="49" t="s">
        <v>610</v>
      </c>
      <c r="M6" s="49" t="s">
        <v>611</v>
      </c>
      <c r="N6" s="108" t="s">
        <v>92</v>
      </c>
      <c r="O6" s="37" t="s">
        <v>612</v>
      </c>
      <c r="P6" s="37" t="s">
        <v>60</v>
      </c>
      <c r="Q6" s="37" t="s">
        <v>132</v>
      </c>
      <c r="R6" s="37" t="s">
        <v>94</v>
      </c>
      <c r="S6" s="37" t="s">
        <v>613</v>
      </c>
      <c r="T6" s="37" t="s">
        <v>614</v>
      </c>
      <c r="U6" s="37" t="s">
        <v>605</v>
      </c>
      <c r="V6" s="60">
        <v>45996.0</v>
      </c>
      <c r="W6" s="60">
        <v>46021.0</v>
      </c>
      <c r="X6" s="60">
        <v>46028.0</v>
      </c>
      <c r="Y6" s="37" t="s">
        <v>64</v>
      </c>
      <c r="Z6" s="29"/>
      <c r="AA6" s="54" t="s">
        <v>65</v>
      </c>
      <c r="AB6" s="37" t="s">
        <v>66</v>
      </c>
      <c r="AC6" s="34">
        <v>470000.0</v>
      </c>
      <c r="AD6" s="31">
        <v>0.03</v>
      </c>
      <c r="AE6" s="32">
        <f t="shared" si="1"/>
        <v>14100</v>
      </c>
      <c r="AF6" s="33">
        <v>595.0</v>
      </c>
      <c r="AG6" s="34">
        <v>500.0</v>
      </c>
      <c r="AH6" s="34">
        <v>250.0</v>
      </c>
      <c r="AI6" s="34">
        <v>1345.0</v>
      </c>
      <c r="AJ6" s="34">
        <v>0.0</v>
      </c>
      <c r="AK6" s="35">
        <f>sum(AE6,-AJ6)*0.4</f>
        <v>5640</v>
      </c>
      <c r="AL6" s="36">
        <v>0.0</v>
      </c>
      <c r="AM6" s="37" t="s">
        <v>84</v>
      </c>
      <c r="AN6" s="40">
        <f t="shared" si="4"/>
        <v>9805</v>
      </c>
      <c r="AO6" s="39">
        <f t="shared" si="5"/>
        <v>4825</v>
      </c>
      <c r="AP6" s="40">
        <f t="shared" si="3"/>
        <v>4230</v>
      </c>
      <c r="AQ6" s="111"/>
      <c r="AR6" s="37"/>
      <c r="AS6" s="14"/>
      <c r="AT6" s="37" t="s">
        <v>570</v>
      </c>
      <c r="AU6" s="42"/>
      <c r="AV6" s="37" t="s">
        <v>615</v>
      </c>
      <c r="AW6" s="37" t="s">
        <v>114</v>
      </c>
      <c r="AX6" s="113"/>
      <c r="AY6" s="37" t="b">
        <v>1</v>
      </c>
      <c r="AZ6" s="42"/>
    </row>
    <row r="7">
      <c r="A7" s="118" t="s">
        <v>583</v>
      </c>
      <c r="B7" s="116" t="s">
        <v>84</v>
      </c>
      <c r="C7" s="117" t="s">
        <v>616</v>
      </c>
      <c r="D7" s="37" t="s">
        <v>617</v>
      </c>
      <c r="E7" s="37">
        <v>92008.0</v>
      </c>
      <c r="F7" s="37" t="s">
        <v>87</v>
      </c>
      <c r="G7" s="37" t="s">
        <v>184</v>
      </c>
      <c r="H7" s="37" t="s">
        <v>73</v>
      </c>
      <c r="I7" s="37" t="s">
        <v>53</v>
      </c>
      <c r="J7" s="37" t="s">
        <v>185</v>
      </c>
      <c r="K7" s="56" t="s">
        <v>618</v>
      </c>
      <c r="L7" s="49" t="s">
        <v>619</v>
      </c>
      <c r="M7" s="49" t="s">
        <v>620</v>
      </c>
      <c r="N7" s="108" t="s">
        <v>92</v>
      </c>
      <c r="O7" s="37"/>
      <c r="P7" s="37" t="s">
        <v>60</v>
      </c>
      <c r="Q7" s="37" t="s">
        <v>621</v>
      </c>
      <c r="R7" s="37" t="s">
        <v>178</v>
      </c>
      <c r="S7" s="37"/>
      <c r="T7" s="37"/>
      <c r="U7" s="37" t="s">
        <v>605</v>
      </c>
      <c r="V7" s="60">
        <v>45996.0</v>
      </c>
      <c r="W7" s="60">
        <v>46017.0</v>
      </c>
      <c r="X7" s="60">
        <v>46028.0</v>
      </c>
      <c r="Y7" s="37" t="s">
        <v>64</v>
      </c>
      <c r="Z7" s="29"/>
      <c r="AA7" s="54" t="s">
        <v>65</v>
      </c>
      <c r="AB7" s="37" t="s">
        <v>167</v>
      </c>
      <c r="AC7" s="34">
        <v>1774000.0</v>
      </c>
      <c r="AD7" s="31">
        <v>0.02</v>
      </c>
      <c r="AE7" s="32">
        <f t="shared" si="1"/>
        <v>35480</v>
      </c>
      <c r="AF7" s="33">
        <v>595.0</v>
      </c>
      <c r="AG7" s="34">
        <v>0.0</v>
      </c>
      <c r="AH7" s="34">
        <v>0.0</v>
      </c>
      <c r="AI7" s="34">
        <v>595.0</v>
      </c>
      <c r="AJ7" s="34">
        <v>0.0</v>
      </c>
      <c r="AK7" s="119">
        <v>0.0</v>
      </c>
      <c r="AL7" s="36">
        <v>0.0</v>
      </c>
      <c r="AM7" s="37" t="s">
        <v>168</v>
      </c>
      <c r="AN7" s="38">
        <f t="shared" si="4"/>
        <v>36075</v>
      </c>
      <c r="AO7" s="39">
        <f t="shared" si="5"/>
        <v>4143</v>
      </c>
      <c r="AP7" s="40">
        <f t="shared" si="3"/>
        <v>31932</v>
      </c>
      <c r="AQ7" s="111"/>
      <c r="AR7" s="37"/>
      <c r="AS7" s="14"/>
      <c r="AT7" s="37" t="s">
        <v>570</v>
      </c>
      <c r="AU7" s="42"/>
      <c r="AV7" s="23" t="s">
        <v>622</v>
      </c>
      <c r="AW7" s="23" t="s">
        <v>572</v>
      </c>
      <c r="AX7" s="120" t="s">
        <v>623</v>
      </c>
      <c r="AY7" s="37" t="b">
        <v>1</v>
      </c>
      <c r="AZ7" s="42"/>
    </row>
    <row r="8">
      <c r="A8" s="116" t="s">
        <v>583</v>
      </c>
      <c r="B8" s="116" t="s">
        <v>84</v>
      </c>
      <c r="C8" s="117" t="s">
        <v>624</v>
      </c>
      <c r="D8" s="37" t="s">
        <v>625</v>
      </c>
      <c r="E8" s="37">
        <v>92408.0</v>
      </c>
      <c r="F8" s="37" t="s">
        <v>101</v>
      </c>
      <c r="G8" s="37" t="s">
        <v>102</v>
      </c>
      <c r="H8" s="37" t="s">
        <v>172</v>
      </c>
      <c r="I8" s="37" t="s">
        <v>53</v>
      </c>
      <c r="J8" s="37" t="s">
        <v>103</v>
      </c>
      <c r="K8" s="54" t="s">
        <v>626</v>
      </c>
      <c r="L8" s="54" t="s">
        <v>627</v>
      </c>
      <c r="M8" s="54" t="s">
        <v>628</v>
      </c>
      <c r="N8" s="108" t="s">
        <v>92</v>
      </c>
      <c r="O8" s="37"/>
      <c r="P8" s="37" t="s">
        <v>60</v>
      </c>
      <c r="Q8" s="37" t="s">
        <v>61</v>
      </c>
      <c r="R8" s="37" t="s">
        <v>94</v>
      </c>
      <c r="S8" s="37" t="s">
        <v>629</v>
      </c>
      <c r="T8" s="37" t="s">
        <v>630</v>
      </c>
      <c r="U8" s="37" t="s">
        <v>605</v>
      </c>
      <c r="V8" s="60">
        <v>45982.0</v>
      </c>
      <c r="W8" s="60">
        <v>46010.0</v>
      </c>
      <c r="X8" s="60">
        <v>46029.0</v>
      </c>
      <c r="Y8" s="37" t="s">
        <v>64</v>
      </c>
      <c r="Z8" s="29"/>
      <c r="AA8" s="54" t="s">
        <v>65</v>
      </c>
      <c r="AB8" s="37" t="s">
        <v>110</v>
      </c>
      <c r="AC8" s="34">
        <v>560000.0</v>
      </c>
      <c r="AD8" s="31">
        <v>0.025</v>
      </c>
      <c r="AE8" s="32">
        <f t="shared" si="1"/>
        <v>14000</v>
      </c>
      <c r="AF8" s="33">
        <v>595.0</v>
      </c>
      <c r="AG8" s="34">
        <v>255.0</v>
      </c>
      <c r="AH8" s="34">
        <v>0.0</v>
      </c>
      <c r="AI8" s="34">
        <v>950.0</v>
      </c>
      <c r="AJ8" s="34">
        <v>0.0</v>
      </c>
      <c r="AK8" s="35">
        <f>sum(AE8,-AJ8)*0.4</f>
        <v>5600</v>
      </c>
      <c r="AL8" s="36">
        <v>0.0</v>
      </c>
      <c r="AM8" s="37" t="s">
        <v>84</v>
      </c>
      <c r="AN8" s="38">
        <f t="shared" si="4"/>
        <v>9350</v>
      </c>
      <c r="AO8" s="39">
        <f t="shared" si="5"/>
        <v>4795</v>
      </c>
      <c r="AP8" s="40">
        <f t="shared" si="3"/>
        <v>4300</v>
      </c>
      <c r="AQ8" s="111"/>
      <c r="AR8" s="37"/>
      <c r="AS8" s="14"/>
      <c r="AT8" s="37" t="s">
        <v>570</v>
      </c>
      <c r="AU8" s="42"/>
      <c r="AV8" s="23" t="s">
        <v>594</v>
      </c>
      <c r="AW8" s="23" t="s">
        <v>572</v>
      </c>
      <c r="AX8" s="120" t="s">
        <v>631</v>
      </c>
      <c r="AY8" s="37" t="b">
        <v>1</v>
      </c>
      <c r="AZ8" s="42"/>
    </row>
    <row r="9">
      <c r="A9" s="37" t="s">
        <v>583</v>
      </c>
      <c r="B9" s="37" t="s">
        <v>47</v>
      </c>
      <c r="C9" s="106" t="s">
        <v>632</v>
      </c>
      <c r="D9" s="37" t="s">
        <v>86</v>
      </c>
      <c r="E9" s="37">
        <v>92056.0</v>
      </c>
      <c r="F9" s="37" t="s">
        <v>87</v>
      </c>
      <c r="G9" s="37" t="s">
        <v>633</v>
      </c>
      <c r="H9" s="37" t="s">
        <v>172</v>
      </c>
      <c r="I9" s="37" t="s">
        <v>53</v>
      </c>
      <c r="J9" s="37" t="s">
        <v>103</v>
      </c>
      <c r="K9" s="56" t="s">
        <v>634</v>
      </c>
      <c r="L9" s="49" t="s">
        <v>635</v>
      </c>
      <c r="M9" s="49" t="s">
        <v>636</v>
      </c>
      <c r="N9" s="108" t="s">
        <v>637</v>
      </c>
      <c r="O9" s="37" t="s">
        <v>143</v>
      </c>
      <c r="P9" s="37" t="s">
        <v>60</v>
      </c>
      <c r="Q9" s="37" t="s">
        <v>61</v>
      </c>
      <c r="R9" s="37" t="s">
        <v>178</v>
      </c>
      <c r="S9" s="37" t="s">
        <v>638</v>
      </c>
      <c r="T9" s="37" t="s">
        <v>639</v>
      </c>
      <c r="U9" s="37" t="s">
        <v>64</v>
      </c>
      <c r="V9" s="60">
        <v>46022.0</v>
      </c>
      <c r="W9" s="60">
        <v>46029.0</v>
      </c>
      <c r="X9" s="60">
        <v>46029.0</v>
      </c>
      <c r="Y9" s="37" t="s">
        <v>64</v>
      </c>
      <c r="Z9" s="29"/>
      <c r="AA9" s="54" t="s">
        <v>124</v>
      </c>
      <c r="AB9" s="37" t="s">
        <v>66</v>
      </c>
      <c r="AC9" s="30">
        <v>585000.0</v>
      </c>
      <c r="AD9" s="31">
        <v>0.02</v>
      </c>
      <c r="AE9" s="32">
        <f t="shared" si="1"/>
        <v>11700</v>
      </c>
      <c r="AF9" s="33">
        <v>595.0</v>
      </c>
      <c r="AG9" s="34">
        <v>500.0</v>
      </c>
      <c r="AH9" s="34">
        <v>0.0</v>
      </c>
      <c r="AI9" s="34">
        <v>1095.0</v>
      </c>
      <c r="AJ9" s="34">
        <v>0.0</v>
      </c>
      <c r="AK9" s="35">
        <f>sum(AE9,-AJ9)*0.3</f>
        <v>3510</v>
      </c>
      <c r="AL9" s="36">
        <v>0.0</v>
      </c>
      <c r="AM9" s="37" t="s">
        <v>47</v>
      </c>
      <c r="AN9" s="38">
        <f t="shared" si="4"/>
        <v>9285</v>
      </c>
      <c r="AO9" s="39">
        <f t="shared" si="5"/>
        <v>4690</v>
      </c>
      <c r="AP9" s="40">
        <f t="shared" si="3"/>
        <v>4095</v>
      </c>
      <c r="AQ9" s="111"/>
      <c r="AR9" s="37"/>
      <c r="AS9" s="14"/>
      <c r="AT9" s="37" t="s">
        <v>570</v>
      </c>
      <c r="AU9" s="42"/>
      <c r="AV9" s="23" t="s">
        <v>594</v>
      </c>
      <c r="AW9" s="23" t="s">
        <v>572</v>
      </c>
      <c r="AX9" s="52"/>
      <c r="AY9" s="37" t="b">
        <v>1</v>
      </c>
      <c r="AZ9" s="42"/>
    </row>
    <row r="10">
      <c r="A10" s="116" t="s">
        <v>583</v>
      </c>
      <c r="B10" s="116" t="s">
        <v>47</v>
      </c>
      <c r="C10" s="117" t="s">
        <v>640</v>
      </c>
      <c r="D10" s="37" t="s">
        <v>316</v>
      </c>
      <c r="E10" s="37">
        <v>92562.0</v>
      </c>
      <c r="F10" s="37" t="s">
        <v>50</v>
      </c>
      <c r="G10" s="37" t="s">
        <v>641</v>
      </c>
      <c r="H10" s="37" t="s">
        <v>73</v>
      </c>
      <c r="I10" s="37" t="s">
        <v>53</v>
      </c>
      <c r="J10" s="37" t="s">
        <v>103</v>
      </c>
      <c r="K10" s="56" t="s">
        <v>642</v>
      </c>
      <c r="L10" s="49" t="s">
        <v>643</v>
      </c>
      <c r="M10" s="49" t="s">
        <v>644</v>
      </c>
      <c r="N10" s="108" t="s">
        <v>92</v>
      </c>
      <c r="O10" s="37" t="s">
        <v>645</v>
      </c>
      <c r="P10" s="37" t="s">
        <v>60</v>
      </c>
      <c r="Q10" s="37" t="s">
        <v>132</v>
      </c>
      <c r="R10" s="37" t="s">
        <v>94</v>
      </c>
      <c r="S10" s="37" t="s">
        <v>53</v>
      </c>
      <c r="T10" s="37" t="s">
        <v>53</v>
      </c>
      <c r="U10" s="37" t="s">
        <v>605</v>
      </c>
      <c r="V10" s="60">
        <v>45972.0</v>
      </c>
      <c r="W10" s="60">
        <v>46001.0</v>
      </c>
      <c r="X10" s="60">
        <v>46030.0</v>
      </c>
      <c r="Y10" s="37" t="s">
        <v>64</v>
      </c>
      <c r="Z10" s="29"/>
      <c r="AA10" s="54" t="s">
        <v>65</v>
      </c>
      <c r="AB10" s="37" t="s">
        <v>167</v>
      </c>
      <c r="AC10" s="34">
        <v>500000.0</v>
      </c>
      <c r="AD10" s="31">
        <v>0.02</v>
      </c>
      <c r="AE10" s="32">
        <f t="shared" si="1"/>
        <v>10000</v>
      </c>
      <c r="AF10" s="33">
        <v>595.0</v>
      </c>
      <c r="AG10" s="34">
        <v>500.0</v>
      </c>
      <c r="AH10" s="34">
        <v>0.0</v>
      </c>
      <c r="AI10" s="34">
        <v>1095.0</v>
      </c>
      <c r="AJ10" s="34">
        <v>0.0</v>
      </c>
      <c r="AK10" s="119">
        <v>0.0</v>
      </c>
      <c r="AL10" s="36">
        <v>0.0</v>
      </c>
      <c r="AM10" s="37" t="s">
        <v>168</v>
      </c>
      <c r="AN10" s="38">
        <f t="shared" si="4"/>
        <v>11095</v>
      </c>
      <c r="AO10" s="39">
        <f t="shared" si="5"/>
        <v>1595</v>
      </c>
      <c r="AP10" s="40">
        <f t="shared" si="3"/>
        <v>9000</v>
      </c>
      <c r="AQ10" s="111"/>
      <c r="AR10" s="37"/>
      <c r="AS10" s="14"/>
      <c r="AT10" s="37" t="s">
        <v>570</v>
      </c>
      <c r="AU10" s="42"/>
      <c r="AV10" s="23" t="s">
        <v>594</v>
      </c>
      <c r="AW10" s="23" t="s">
        <v>572</v>
      </c>
      <c r="AX10" s="52"/>
      <c r="AY10" s="37" t="b">
        <v>1</v>
      </c>
      <c r="AZ10" s="42"/>
    </row>
    <row r="11">
      <c r="A11" s="116" t="s">
        <v>583</v>
      </c>
      <c r="B11" s="116" t="s">
        <v>84</v>
      </c>
      <c r="C11" s="117" t="s">
        <v>640</v>
      </c>
      <c r="D11" s="37" t="s">
        <v>316</v>
      </c>
      <c r="E11" s="37">
        <v>92562.0</v>
      </c>
      <c r="F11" s="37" t="s">
        <v>50</v>
      </c>
      <c r="G11" s="37" t="s">
        <v>646</v>
      </c>
      <c r="H11" s="37" t="s">
        <v>73</v>
      </c>
      <c r="I11" s="37" t="s">
        <v>53</v>
      </c>
      <c r="J11" s="37" t="s">
        <v>54</v>
      </c>
      <c r="K11" s="56" t="s">
        <v>647</v>
      </c>
      <c r="L11" s="49" t="s">
        <v>648</v>
      </c>
      <c r="M11" s="49" t="s">
        <v>649</v>
      </c>
      <c r="N11" s="108" t="s">
        <v>92</v>
      </c>
      <c r="O11" s="37" t="s">
        <v>645</v>
      </c>
      <c r="P11" s="37" t="s">
        <v>60</v>
      </c>
      <c r="Q11" s="37" t="s">
        <v>132</v>
      </c>
      <c r="R11" s="37" t="s">
        <v>94</v>
      </c>
      <c r="S11" s="37" t="s">
        <v>53</v>
      </c>
      <c r="T11" s="37" t="s">
        <v>53</v>
      </c>
      <c r="U11" s="37" t="s">
        <v>605</v>
      </c>
      <c r="V11" s="60">
        <v>45972.0</v>
      </c>
      <c r="W11" s="60">
        <v>46001.0</v>
      </c>
      <c r="X11" s="60">
        <v>46031.0</v>
      </c>
      <c r="Y11" s="37" t="s">
        <v>64</v>
      </c>
      <c r="Z11" s="29"/>
      <c r="AA11" s="54" t="s">
        <v>65</v>
      </c>
      <c r="AB11" s="37" t="s">
        <v>66</v>
      </c>
      <c r="AC11" s="34">
        <v>500000.0</v>
      </c>
      <c r="AD11" s="31">
        <v>0.03</v>
      </c>
      <c r="AE11" s="32">
        <f t="shared" si="1"/>
        <v>15000</v>
      </c>
      <c r="AF11" s="33">
        <v>595.0</v>
      </c>
      <c r="AG11" s="34">
        <v>500.0</v>
      </c>
      <c r="AH11" s="34">
        <v>200.0</v>
      </c>
      <c r="AI11" s="34">
        <v>895.0</v>
      </c>
      <c r="AJ11" s="34">
        <v>450.0</v>
      </c>
      <c r="AK11" s="35">
        <f>sum(AE11,-AJ11)*0.4</f>
        <v>5820</v>
      </c>
      <c r="AL11" s="36">
        <v>0.0</v>
      </c>
      <c r="AM11" s="37" t="s">
        <v>84</v>
      </c>
      <c r="AN11" s="38">
        <f t="shared" si="4"/>
        <v>9625</v>
      </c>
      <c r="AO11" s="39">
        <f t="shared" si="5"/>
        <v>4960</v>
      </c>
      <c r="AP11" s="40">
        <f t="shared" si="3"/>
        <v>3965</v>
      </c>
      <c r="AQ11" s="111"/>
      <c r="AR11" s="37"/>
      <c r="AS11" s="14"/>
      <c r="AT11" s="37" t="s">
        <v>570</v>
      </c>
      <c r="AU11" s="42"/>
      <c r="AV11" s="23" t="s">
        <v>622</v>
      </c>
      <c r="AW11" s="23" t="s">
        <v>572</v>
      </c>
      <c r="AX11" s="52"/>
      <c r="AY11" s="37" t="b">
        <v>1</v>
      </c>
      <c r="AZ11" s="42"/>
    </row>
    <row r="12">
      <c r="A12" s="116" t="s">
        <v>583</v>
      </c>
      <c r="B12" s="116" t="s">
        <v>47</v>
      </c>
      <c r="C12" s="117" t="s">
        <v>650</v>
      </c>
      <c r="D12" s="37" t="s">
        <v>49</v>
      </c>
      <c r="E12" s="37">
        <v>92584.0</v>
      </c>
      <c r="F12" s="37" t="s">
        <v>50</v>
      </c>
      <c r="G12" s="37" t="s">
        <v>171</v>
      </c>
      <c r="H12" s="37" t="s">
        <v>172</v>
      </c>
      <c r="I12" s="37" t="s">
        <v>53</v>
      </c>
      <c r="J12" s="37" t="s">
        <v>185</v>
      </c>
      <c r="K12" s="56" t="s">
        <v>651</v>
      </c>
      <c r="L12" s="49" t="s">
        <v>652</v>
      </c>
      <c r="M12" s="49" t="s">
        <v>653</v>
      </c>
      <c r="N12" s="108" t="s">
        <v>654</v>
      </c>
      <c r="O12" s="37" t="s">
        <v>655</v>
      </c>
      <c r="P12" s="37" t="s">
        <v>197</v>
      </c>
      <c r="Q12" s="37" t="s">
        <v>132</v>
      </c>
      <c r="R12" s="37" t="s">
        <v>79</v>
      </c>
      <c r="S12" s="37" t="s">
        <v>656</v>
      </c>
      <c r="T12" s="37" t="s">
        <v>657</v>
      </c>
      <c r="U12" s="37" t="s">
        <v>605</v>
      </c>
      <c r="V12" s="60">
        <v>45993.0</v>
      </c>
      <c r="W12" s="60">
        <v>46024.0</v>
      </c>
      <c r="X12" s="60">
        <v>46031.0</v>
      </c>
      <c r="Y12" s="37" t="s">
        <v>64</v>
      </c>
      <c r="Z12" s="29"/>
      <c r="AA12" s="54" t="s">
        <v>65</v>
      </c>
      <c r="AB12" s="37" t="s">
        <v>167</v>
      </c>
      <c r="AC12" s="34">
        <v>620000.0</v>
      </c>
      <c r="AD12" s="31">
        <v>0.02</v>
      </c>
      <c r="AE12" s="32">
        <f t="shared" si="1"/>
        <v>12400</v>
      </c>
      <c r="AF12" s="33">
        <v>595.0</v>
      </c>
      <c r="AG12" s="34">
        <v>0.0</v>
      </c>
      <c r="AH12" s="34">
        <v>0.0</v>
      </c>
      <c r="AI12" s="34">
        <v>595.0</v>
      </c>
      <c r="AJ12" s="34">
        <v>0.0</v>
      </c>
      <c r="AK12" s="119">
        <v>0.0</v>
      </c>
      <c r="AL12" s="36">
        <v>0.0</v>
      </c>
      <c r="AM12" s="37" t="s">
        <v>202</v>
      </c>
      <c r="AN12" s="38">
        <f t="shared" si="4"/>
        <v>12995</v>
      </c>
      <c r="AO12" s="39">
        <f t="shared" si="5"/>
        <v>4315</v>
      </c>
      <c r="AP12" s="40">
        <f t="shared" si="3"/>
        <v>8680</v>
      </c>
      <c r="AQ12" s="111"/>
      <c r="AR12" s="37"/>
      <c r="AS12" s="14"/>
      <c r="AT12" s="37" t="s">
        <v>570</v>
      </c>
      <c r="AU12" s="42"/>
      <c r="AV12" s="23" t="s">
        <v>622</v>
      </c>
      <c r="AW12" s="23" t="s">
        <v>572</v>
      </c>
      <c r="AX12" s="52"/>
      <c r="AY12" s="37" t="b">
        <v>1</v>
      </c>
      <c r="AZ12" s="42"/>
    </row>
    <row r="13">
      <c r="A13" s="118" t="s">
        <v>583</v>
      </c>
      <c r="B13" s="116" t="s">
        <v>84</v>
      </c>
      <c r="C13" s="121" t="s">
        <v>658</v>
      </c>
      <c r="D13" s="37" t="s">
        <v>659</v>
      </c>
      <c r="E13" s="37">
        <v>92407.0</v>
      </c>
      <c r="F13" s="37" t="s">
        <v>101</v>
      </c>
      <c r="G13" s="37" t="s">
        <v>214</v>
      </c>
      <c r="H13" s="37" t="s">
        <v>172</v>
      </c>
      <c r="I13" s="37" t="s">
        <v>53</v>
      </c>
      <c r="J13" s="37" t="s">
        <v>54</v>
      </c>
      <c r="K13" s="56" t="s">
        <v>660</v>
      </c>
      <c r="L13" s="49" t="s">
        <v>661</v>
      </c>
      <c r="M13" s="49" t="s">
        <v>662</v>
      </c>
      <c r="N13" s="108" t="s">
        <v>92</v>
      </c>
      <c r="O13" s="37" t="s">
        <v>663</v>
      </c>
      <c r="P13" s="37" t="s">
        <v>664</v>
      </c>
      <c r="Q13" s="37" t="s">
        <v>132</v>
      </c>
      <c r="R13" s="37" t="s">
        <v>94</v>
      </c>
      <c r="S13" s="37" t="s">
        <v>665</v>
      </c>
      <c r="T13" s="37" t="s">
        <v>666</v>
      </c>
      <c r="U13" s="37" t="s">
        <v>605</v>
      </c>
      <c r="V13" s="60">
        <v>45983.0</v>
      </c>
      <c r="W13" s="60">
        <v>46013.0</v>
      </c>
      <c r="X13" s="60">
        <v>46034.0</v>
      </c>
      <c r="Y13" s="37" t="s">
        <v>64</v>
      </c>
      <c r="Z13" s="29"/>
      <c r="AA13" s="54" t="s">
        <v>65</v>
      </c>
      <c r="AB13" s="37" t="s">
        <v>110</v>
      </c>
      <c r="AC13" s="34">
        <v>620000.0</v>
      </c>
      <c r="AD13" s="31">
        <v>0.02</v>
      </c>
      <c r="AE13" s="32">
        <f t="shared" si="1"/>
        <v>12400</v>
      </c>
      <c r="AF13" s="33">
        <v>595.0</v>
      </c>
      <c r="AG13" s="34">
        <v>500.0</v>
      </c>
      <c r="AH13" s="34">
        <v>250.0</v>
      </c>
      <c r="AI13" s="34">
        <v>1350.0</v>
      </c>
      <c r="AJ13" s="34">
        <v>0.0</v>
      </c>
      <c r="AK13" s="35">
        <f>AC13*0.01</f>
        <v>6200</v>
      </c>
      <c r="AL13" s="36">
        <v>0.0</v>
      </c>
      <c r="AM13" s="37" t="s">
        <v>84</v>
      </c>
      <c r="AN13" s="38">
        <f t="shared" si="4"/>
        <v>7550</v>
      </c>
      <c r="AO13" s="39">
        <f t="shared" si="5"/>
        <v>3695</v>
      </c>
      <c r="AP13" s="40">
        <f t="shared" si="3"/>
        <v>3105</v>
      </c>
      <c r="AQ13" s="111"/>
      <c r="AR13" s="37"/>
      <c r="AS13" s="14"/>
      <c r="AT13" s="37" t="s">
        <v>570</v>
      </c>
      <c r="AU13" s="42"/>
      <c r="AV13" s="23" t="s">
        <v>622</v>
      </c>
      <c r="AW13" s="23" t="s">
        <v>572</v>
      </c>
      <c r="AX13" s="52"/>
      <c r="AY13" s="37" t="b">
        <v>1</v>
      </c>
      <c r="AZ13" s="42"/>
    </row>
    <row r="14">
      <c r="A14" s="37" t="s">
        <v>583</v>
      </c>
      <c r="B14" s="37" t="s">
        <v>47</v>
      </c>
      <c r="C14" s="106" t="s">
        <v>667</v>
      </c>
      <c r="D14" s="37" t="s">
        <v>316</v>
      </c>
      <c r="E14" s="37">
        <v>92562.0</v>
      </c>
      <c r="F14" s="37" t="s">
        <v>50</v>
      </c>
      <c r="G14" s="37" t="s">
        <v>633</v>
      </c>
      <c r="H14" s="37" t="s">
        <v>172</v>
      </c>
      <c r="I14" s="37" t="s">
        <v>53</v>
      </c>
      <c r="J14" s="37" t="s">
        <v>103</v>
      </c>
      <c r="K14" s="54" t="s">
        <v>668</v>
      </c>
      <c r="L14" s="54" t="s">
        <v>669</v>
      </c>
      <c r="M14" s="56" t="s">
        <v>670</v>
      </c>
      <c r="N14" s="108" t="s">
        <v>239</v>
      </c>
      <c r="O14" s="37" t="s">
        <v>143</v>
      </c>
      <c r="P14" s="37" t="s">
        <v>558</v>
      </c>
      <c r="Q14" s="37" t="s">
        <v>671</v>
      </c>
      <c r="R14" s="37" t="s">
        <v>672</v>
      </c>
      <c r="S14" s="37" t="s">
        <v>673</v>
      </c>
      <c r="T14" s="37" t="s">
        <v>674</v>
      </c>
      <c r="U14" s="37" t="s">
        <v>64</v>
      </c>
      <c r="V14" s="60">
        <v>46026.0</v>
      </c>
      <c r="W14" s="60">
        <v>46034.0</v>
      </c>
      <c r="X14" s="60">
        <v>46034.0</v>
      </c>
      <c r="Y14" s="37" t="s">
        <v>64</v>
      </c>
      <c r="Z14" s="29"/>
      <c r="AA14" s="54" t="s">
        <v>558</v>
      </c>
      <c r="AB14" s="37" t="s">
        <v>66</v>
      </c>
      <c r="AC14" s="30">
        <v>435000.0</v>
      </c>
      <c r="AD14" s="31">
        <v>0.02</v>
      </c>
      <c r="AE14" s="32">
        <f t="shared" si="1"/>
        <v>8700</v>
      </c>
      <c r="AF14" s="33">
        <v>595.0</v>
      </c>
      <c r="AG14" s="34">
        <v>500.0</v>
      </c>
      <c r="AH14" s="34" t="s">
        <v>82</v>
      </c>
      <c r="AI14" s="34">
        <v>1095.0</v>
      </c>
      <c r="AJ14" s="34">
        <v>0.0</v>
      </c>
      <c r="AK14" s="35">
        <f>sum(AE14,-AJ14)*0.35</f>
        <v>3045</v>
      </c>
      <c r="AL14" s="36">
        <v>0.0</v>
      </c>
      <c r="AM14" s="37" t="s">
        <v>47</v>
      </c>
      <c r="AN14" s="38">
        <f t="shared" si="4"/>
        <v>6750</v>
      </c>
      <c r="AO14" s="39">
        <f t="shared" si="5"/>
        <v>3422.5</v>
      </c>
      <c r="AP14" s="40">
        <f t="shared" si="3"/>
        <v>2827.5</v>
      </c>
      <c r="AQ14" s="111"/>
      <c r="AR14" s="37"/>
      <c r="AS14" s="14"/>
      <c r="AT14" s="37" t="s">
        <v>570</v>
      </c>
      <c r="AU14" s="42"/>
      <c r="AV14" s="23" t="s">
        <v>675</v>
      </c>
      <c r="AW14" s="23" t="s">
        <v>572</v>
      </c>
      <c r="AX14" s="52"/>
      <c r="AY14" s="37" t="b">
        <v>1</v>
      </c>
      <c r="AZ14" s="42"/>
    </row>
    <row r="15">
      <c r="A15" s="116" t="s">
        <v>583</v>
      </c>
      <c r="B15" s="116" t="s">
        <v>84</v>
      </c>
      <c r="C15" s="117" t="s">
        <v>676</v>
      </c>
      <c r="D15" s="37" t="s">
        <v>316</v>
      </c>
      <c r="E15" s="37">
        <v>92563.0</v>
      </c>
      <c r="F15" s="37" t="s">
        <v>50</v>
      </c>
      <c r="G15" s="37" t="s">
        <v>399</v>
      </c>
      <c r="H15" s="37" t="s">
        <v>73</v>
      </c>
      <c r="I15" s="37" t="s">
        <v>53</v>
      </c>
      <c r="J15" s="37" t="s">
        <v>103</v>
      </c>
      <c r="K15" s="122" t="s">
        <v>677</v>
      </c>
      <c r="L15" s="123"/>
      <c r="M15" s="49" t="s">
        <v>678</v>
      </c>
      <c r="N15" s="108" t="s">
        <v>92</v>
      </c>
      <c r="O15" s="37" t="s">
        <v>679</v>
      </c>
      <c r="P15" s="37" t="s">
        <v>60</v>
      </c>
      <c r="Q15" s="37" t="s">
        <v>132</v>
      </c>
      <c r="R15" s="37" t="s">
        <v>94</v>
      </c>
      <c r="S15" s="37" t="s">
        <v>680</v>
      </c>
      <c r="T15" s="37" t="s">
        <v>680</v>
      </c>
      <c r="U15" s="37" t="s">
        <v>605</v>
      </c>
      <c r="V15" s="60">
        <v>46005.0</v>
      </c>
      <c r="W15" s="60">
        <v>46035.0</v>
      </c>
      <c r="X15" s="60">
        <v>46035.0</v>
      </c>
      <c r="Y15" s="37" t="s">
        <v>64</v>
      </c>
      <c r="Z15" s="29"/>
      <c r="AA15" s="54" t="s">
        <v>65</v>
      </c>
      <c r="AB15" s="37" t="s">
        <v>167</v>
      </c>
      <c r="AC15" s="34">
        <v>610000.0</v>
      </c>
      <c r="AD15" s="31">
        <v>0.0225</v>
      </c>
      <c r="AE15" s="32">
        <f t="shared" si="1"/>
        <v>13725</v>
      </c>
      <c r="AF15" s="33">
        <v>695.0</v>
      </c>
      <c r="AG15" s="34">
        <v>0.0</v>
      </c>
      <c r="AH15" s="34">
        <v>0.0</v>
      </c>
      <c r="AI15" s="34">
        <v>695.0</v>
      </c>
      <c r="AJ15" s="34">
        <v>0.0</v>
      </c>
      <c r="AK15" s="119">
        <v>0.0</v>
      </c>
      <c r="AL15" s="36">
        <v>0.0</v>
      </c>
      <c r="AM15" s="37" t="s">
        <v>681</v>
      </c>
      <c r="AN15" s="38">
        <f t="shared" si="4"/>
        <v>14420</v>
      </c>
      <c r="AO15" s="39">
        <f t="shared" si="5"/>
        <v>6185</v>
      </c>
      <c r="AP15" s="40">
        <f t="shared" si="3"/>
        <v>8235</v>
      </c>
      <c r="AQ15" s="111"/>
      <c r="AR15" s="37"/>
      <c r="AS15" s="14"/>
      <c r="AT15" s="37" t="s">
        <v>570</v>
      </c>
      <c r="AU15" s="42"/>
      <c r="AV15" s="23" t="s">
        <v>675</v>
      </c>
      <c r="AW15" s="23" t="s">
        <v>572</v>
      </c>
      <c r="AX15" s="52"/>
      <c r="AY15" s="37" t="b">
        <v>1</v>
      </c>
      <c r="AZ15" s="42"/>
    </row>
    <row r="16">
      <c r="A16" s="116" t="s">
        <v>583</v>
      </c>
      <c r="B16" s="116" t="s">
        <v>47</v>
      </c>
      <c r="C16" s="117" t="s">
        <v>676</v>
      </c>
      <c r="D16" s="37" t="s">
        <v>316</v>
      </c>
      <c r="E16" s="37">
        <v>92563.0</v>
      </c>
      <c r="F16" s="37" t="s">
        <v>50</v>
      </c>
      <c r="G16" s="37" t="s">
        <v>399</v>
      </c>
      <c r="H16" s="37" t="s">
        <v>73</v>
      </c>
      <c r="I16" s="37" t="s">
        <v>53</v>
      </c>
      <c r="J16" s="37" t="s">
        <v>103</v>
      </c>
      <c r="K16" s="122" t="s">
        <v>682</v>
      </c>
      <c r="L16" s="123"/>
      <c r="M16" s="49" t="s">
        <v>683</v>
      </c>
      <c r="N16" s="108" t="s">
        <v>92</v>
      </c>
      <c r="O16" s="37" t="s">
        <v>679</v>
      </c>
      <c r="P16" s="37" t="s">
        <v>60</v>
      </c>
      <c r="Q16" s="37" t="s">
        <v>132</v>
      </c>
      <c r="R16" s="37" t="s">
        <v>94</v>
      </c>
      <c r="S16" s="37" t="s">
        <v>680</v>
      </c>
      <c r="T16" s="37" t="s">
        <v>680</v>
      </c>
      <c r="U16" s="37" t="s">
        <v>605</v>
      </c>
      <c r="V16" s="60">
        <v>46005.0</v>
      </c>
      <c r="W16" s="60">
        <v>46035.0</v>
      </c>
      <c r="X16" s="60">
        <v>46035.0</v>
      </c>
      <c r="Y16" s="37" t="s">
        <v>64</v>
      </c>
      <c r="Z16" s="29"/>
      <c r="AA16" s="54" t="s">
        <v>65</v>
      </c>
      <c r="AB16" s="37" t="s">
        <v>167</v>
      </c>
      <c r="AC16" s="34">
        <v>610000.0</v>
      </c>
      <c r="AD16" s="31">
        <v>0.015</v>
      </c>
      <c r="AE16" s="32">
        <f t="shared" si="1"/>
        <v>9150</v>
      </c>
      <c r="AF16" s="33" t="s">
        <v>684</v>
      </c>
      <c r="AG16" s="34">
        <v>0.0</v>
      </c>
      <c r="AH16" s="34">
        <v>0.0</v>
      </c>
      <c r="AI16" s="34">
        <v>0.0</v>
      </c>
      <c r="AJ16" s="34">
        <v>595.0</v>
      </c>
      <c r="AK16" s="119">
        <v>0.0</v>
      </c>
      <c r="AL16" s="36">
        <v>0.0</v>
      </c>
      <c r="AM16" s="37" t="s">
        <v>212</v>
      </c>
      <c r="AN16" s="38">
        <f>SUM(AE16+AI16-AK16)</f>
        <v>9150</v>
      </c>
      <c r="AO16" s="124">
        <f>if(AM16="Buyer",(-sum(-AN16,AF16))*50%,if(AM16="Seller",(-sum(-AN16,AF16))*50%,(-sum(-AN16,AF16))*(100-right(AM16,2))/100))+if(AF16="Agent Pay",595, sum(AF16))</f>
        <v>2425</v>
      </c>
      <c r="AP16" s="40">
        <f t="shared" si="3"/>
        <v>6725</v>
      </c>
      <c r="AQ16" s="111"/>
      <c r="AR16" s="37"/>
      <c r="AS16" s="14"/>
      <c r="AT16" s="37" t="s">
        <v>570</v>
      </c>
      <c r="AU16" s="42"/>
      <c r="AV16" s="23" t="s">
        <v>675</v>
      </c>
      <c r="AW16" s="23" t="s">
        <v>572</v>
      </c>
      <c r="AX16" s="52"/>
      <c r="AY16" s="37" t="b">
        <v>1</v>
      </c>
      <c r="AZ16" s="42"/>
    </row>
    <row r="17">
      <c r="A17" s="37" t="s">
        <v>583</v>
      </c>
      <c r="B17" s="37" t="s">
        <v>84</v>
      </c>
      <c r="C17" s="106" t="s">
        <v>685</v>
      </c>
      <c r="D17" s="37" t="s">
        <v>686</v>
      </c>
      <c r="E17" s="37">
        <v>92545.0</v>
      </c>
      <c r="F17" s="37" t="s">
        <v>50</v>
      </c>
      <c r="G17" s="37" t="s">
        <v>332</v>
      </c>
      <c r="H17" s="37" t="s">
        <v>73</v>
      </c>
      <c r="I17" s="37" t="s">
        <v>74</v>
      </c>
      <c r="J17" s="37" t="s">
        <v>185</v>
      </c>
      <c r="K17" s="122" t="s">
        <v>687</v>
      </c>
      <c r="L17" s="125" t="s">
        <v>688</v>
      </c>
      <c r="M17" s="49" t="s">
        <v>689</v>
      </c>
      <c r="N17" s="108" t="s">
        <v>690</v>
      </c>
      <c r="O17" s="37"/>
      <c r="P17" s="37" t="s">
        <v>60</v>
      </c>
      <c r="Q17" s="37" t="s">
        <v>132</v>
      </c>
      <c r="R17" s="37" t="s">
        <v>602</v>
      </c>
      <c r="S17" s="37"/>
      <c r="T17" s="37"/>
      <c r="U17" s="37" t="s">
        <v>605</v>
      </c>
      <c r="V17" s="60">
        <v>46021.0</v>
      </c>
      <c r="W17" s="60">
        <v>46036.0</v>
      </c>
      <c r="X17" s="60">
        <v>46036.0</v>
      </c>
      <c r="Y17" s="37" t="s">
        <v>64</v>
      </c>
      <c r="Z17" s="29"/>
      <c r="AA17" s="54"/>
      <c r="AB17" s="37" t="s">
        <v>145</v>
      </c>
      <c r="AC17" s="30">
        <v>44500.0</v>
      </c>
      <c r="AD17" s="31">
        <v>0.04</v>
      </c>
      <c r="AE17" s="32">
        <f t="shared" si="1"/>
        <v>1780</v>
      </c>
      <c r="AF17" s="33">
        <v>595.0</v>
      </c>
      <c r="AG17" s="34">
        <v>0.0</v>
      </c>
      <c r="AH17" s="34" t="s">
        <v>82</v>
      </c>
      <c r="AI17" s="34">
        <v>595.0</v>
      </c>
      <c r="AJ17" s="34">
        <v>0.0</v>
      </c>
      <c r="AK17" s="35">
        <f>sum(AE17,-AJ17)*0.4</f>
        <v>712</v>
      </c>
      <c r="AL17" s="36">
        <v>0.0</v>
      </c>
      <c r="AM17" s="37" t="s">
        <v>84</v>
      </c>
      <c r="AN17" s="38">
        <f t="shared" ref="AN17:AN22" si="6">SUM(AE17+AI17-AK17-AJ17)</f>
        <v>1663</v>
      </c>
      <c r="AO17" s="39">
        <f t="shared" ref="AO17:AO22" si="7">if(AM17="Buyer",-sum((-AE17+AK17+AJ17)*50%),if(AM17="Seller",-sum((-AE17+AK17+AJ17)*50%),-sum(((-AE17+AK17+AJ17)*((100-right(AM17,2))/100)))))+if(AF17="Agent Pay",595, sum(AF17))</f>
        <v>1129</v>
      </c>
      <c r="AP17" s="40">
        <f t="shared" si="3"/>
        <v>534</v>
      </c>
      <c r="AQ17" s="111"/>
      <c r="AR17" s="37"/>
      <c r="AS17" s="14"/>
      <c r="AT17" s="37" t="s">
        <v>570</v>
      </c>
      <c r="AU17" s="42"/>
      <c r="AV17" s="37" t="s">
        <v>691</v>
      </c>
      <c r="AW17" s="37" t="s">
        <v>114</v>
      </c>
      <c r="AX17" s="113"/>
      <c r="AY17" s="37" t="b">
        <v>1</v>
      </c>
      <c r="AZ17" s="42"/>
    </row>
    <row r="18">
      <c r="A18" s="118" t="s">
        <v>583</v>
      </c>
      <c r="B18" s="116" t="s">
        <v>84</v>
      </c>
      <c r="C18" s="117" t="s">
        <v>692</v>
      </c>
      <c r="D18" s="37" t="s">
        <v>693</v>
      </c>
      <c r="E18" s="37">
        <v>92240.0</v>
      </c>
      <c r="F18" s="37" t="s">
        <v>50</v>
      </c>
      <c r="G18" s="37" t="s">
        <v>139</v>
      </c>
      <c r="H18" s="37" t="s">
        <v>73</v>
      </c>
      <c r="I18" s="37" t="s">
        <v>53</v>
      </c>
      <c r="J18" s="37" t="s">
        <v>103</v>
      </c>
      <c r="K18" s="122" t="s">
        <v>694</v>
      </c>
      <c r="L18" s="125" t="s">
        <v>695</v>
      </c>
      <c r="M18" s="49" t="s">
        <v>696</v>
      </c>
      <c r="N18" s="108" t="s">
        <v>92</v>
      </c>
      <c r="O18" s="37" t="s">
        <v>697</v>
      </c>
      <c r="P18" s="37" t="s">
        <v>60</v>
      </c>
      <c r="Q18" s="37" t="s">
        <v>132</v>
      </c>
      <c r="R18" s="37" t="s">
        <v>94</v>
      </c>
      <c r="S18" s="126" t="s">
        <v>698</v>
      </c>
      <c r="T18" s="37" t="s">
        <v>699</v>
      </c>
      <c r="U18" s="37" t="s">
        <v>605</v>
      </c>
      <c r="V18" s="60">
        <v>45972.0</v>
      </c>
      <c r="W18" s="60">
        <v>46017.0</v>
      </c>
      <c r="X18" s="60">
        <v>46037.0</v>
      </c>
      <c r="Y18" s="37" t="s">
        <v>64</v>
      </c>
      <c r="Z18" s="29"/>
      <c r="AA18" s="54" t="s">
        <v>124</v>
      </c>
      <c r="AB18" s="37" t="s">
        <v>700</v>
      </c>
      <c r="AC18" s="34">
        <v>100000.0</v>
      </c>
      <c r="AD18" s="31">
        <v>0.03</v>
      </c>
      <c r="AE18" s="32">
        <f t="shared" si="1"/>
        <v>3000</v>
      </c>
      <c r="AF18" s="33">
        <v>695.0</v>
      </c>
      <c r="AG18" s="34">
        <v>0.0</v>
      </c>
      <c r="AH18" s="34">
        <v>0.0</v>
      </c>
      <c r="AI18" s="34">
        <v>695.0</v>
      </c>
      <c r="AJ18" s="34">
        <v>0.0</v>
      </c>
      <c r="AK18" s="35">
        <f>sum(AE18,-AJ18)*0.35</f>
        <v>1050</v>
      </c>
      <c r="AL18" s="36">
        <v>0.0</v>
      </c>
      <c r="AM18" s="37" t="s">
        <v>681</v>
      </c>
      <c r="AN18" s="38">
        <f t="shared" si="6"/>
        <v>2645</v>
      </c>
      <c r="AO18" s="39">
        <f t="shared" si="7"/>
        <v>1475</v>
      </c>
      <c r="AP18" s="40">
        <f t="shared" si="3"/>
        <v>1170</v>
      </c>
      <c r="AQ18" s="111"/>
      <c r="AR18" s="37"/>
      <c r="AS18" s="14"/>
      <c r="AT18" s="37" t="s">
        <v>570</v>
      </c>
      <c r="AU18" s="42"/>
      <c r="AV18" s="23" t="s">
        <v>675</v>
      </c>
      <c r="AW18" s="23" t="s">
        <v>572</v>
      </c>
      <c r="AX18" s="52"/>
      <c r="AY18" s="37" t="b">
        <v>1</v>
      </c>
      <c r="AZ18" s="42"/>
    </row>
    <row r="19">
      <c r="A19" s="116" t="s">
        <v>583</v>
      </c>
      <c r="B19" s="116" t="s">
        <v>47</v>
      </c>
      <c r="C19" s="117" t="s">
        <v>701</v>
      </c>
      <c r="D19" s="37" t="s">
        <v>702</v>
      </c>
      <c r="E19" s="37">
        <v>92880.0</v>
      </c>
      <c r="F19" s="37" t="s">
        <v>50</v>
      </c>
      <c r="G19" s="37" t="s">
        <v>117</v>
      </c>
      <c r="H19" s="37" t="s">
        <v>172</v>
      </c>
      <c r="I19" s="37" t="s">
        <v>53</v>
      </c>
      <c r="J19" s="37" t="s">
        <v>103</v>
      </c>
      <c r="K19" s="122" t="s">
        <v>703</v>
      </c>
      <c r="L19" s="125" t="s">
        <v>704</v>
      </c>
      <c r="M19" s="108" t="s">
        <v>705</v>
      </c>
      <c r="N19" s="108" t="s">
        <v>706</v>
      </c>
      <c r="O19" s="37" t="s">
        <v>471</v>
      </c>
      <c r="P19" s="37" t="s">
        <v>707</v>
      </c>
      <c r="Q19" s="37" t="s">
        <v>61</v>
      </c>
      <c r="R19" s="37" t="s">
        <v>708</v>
      </c>
      <c r="S19" s="37" t="s">
        <v>709</v>
      </c>
      <c r="T19" s="127" t="s">
        <v>710</v>
      </c>
      <c r="U19" s="37" t="s">
        <v>605</v>
      </c>
      <c r="V19" s="60">
        <v>45988.0</v>
      </c>
      <c r="W19" s="60">
        <v>46020.0</v>
      </c>
      <c r="X19" s="60">
        <v>46037.0</v>
      </c>
      <c r="Y19" s="37" t="s">
        <v>64</v>
      </c>
      <c r="Z19" s="29"/>
      <c r="AA19" s="54" t="s">
        <v>65</v>
      </c>
      <c r="AB19" s="37" t="s">
        <v>167</v>
      </c>
      <c r="AC19" s="34">
        <v>1167500.0</v>
      </c>
      <c r="AD19" s="31">
        <v>0.025</v>
      </c>
      <c r="AE19" s="32">
        <f t="shared" si="1"/>
        <v>29187.5</v>
      </c>
      <c r="AF19" s="33">
        <v>595.0</v>
      </c>
      <c r="AG19" s="34">
        <v>500.0</v>
      </c>
      <c r="AH19" s="34">
        <v>0.0</v>
      </c>
      <c r="AI19" s="34">
        <v>1095.0</v>
      </c>
      <c r="AJ19" s="34">
        <v>0.0</v>
      </c>
      <c r="AK19" s="119">
        <v>0.0</v>
      </c>
      <c r="AL19" s="36">
        <v>0.0</v>
      </c>
      <c r="AM19" s="37" t="s">
        <v>212</v>
      </c>
      <c r="AN19" s="38">
        <f t="shared" si="6"/>
        <v>30282.5</v>
      </c>
      <c r="AO19" s="39">
        <f t="shared" si="7"/>
        <v>6432.5</v>
      </c>
      <c r="AP19" s="40">
        <f t="shared" si="3"/>
        <v>23350</v>
      </c>
      <c r="AQ19" s="111"/>
      <c r="AR19" s="37"/>
      <c r="AS19" s="14"/>
      <c r="AT19" s="37" t="s">
        <v>570</v>
      </c>
      <c r="AU19" s="42"/>
      <c r="AV19" s="23" t="s">
        <v>675</v>
      </c>
      <c r="AW19" s="23" t="s">
        <v>572</v>
      </c>
      <c r="AX19" s="52"/>
      <c r="AY19" s="37" t="b">
        <v>1</v>
      </c>
      <c r="AZ19" s="42"/>
    </row>
    <row r="20">
      <c r="A20" s="118" t="s">
        <v>583</v>
      </c>
      <c r="B20" s="116" t="s">
        <v>84</v>
      </c>
      <c r="C20" s="117" t="s">
        <v>711</v>
      </c>
      <c r="D20" s="37" t="s">
        <v>49</v>
      </c>
      <c r="E20" s="37"/>
      <c r="F20" s="37" t="s">
        <v>50</v>
      </c>
      <c r="G20" s="37" t="s">
        <v>184</v>
      </c>
      <c r="H20" s="37" t="s">
        <v>73</v>
      </c>
      <c r="I20" s="37" t="s">
        <v>53</v>
      </c>
      <c r="J20" s="37" t="s">
        <v>185</v>
      </c>
      <c r="K20" s="122" t="s">
        <v>712</v>
      </c>
      <c r="L20" s="125" t="s">
        <v>713</v>
      </c>
      <c r="M20" s="49" t="s">
        <v>714</v>
      </c>
      <c r="N20" s="108" t="s">
        <v>92</v>
      </c>
      <c r="O20" s="37" t="s">
        <v>715</v>
      </c>
      <c r="P20" s="37" t="s">
        <v>60</v>
      </c>
      <c r="Q20" s="37" t="s">
        <v>621</v>
      </c>
      <c r="R20" s="37" t="s">
        <v>94</v>
      </c>
      <c r="S20" s="37" t="s">
        <v>716</v>
      </c>
      <c r="T20" s="37" t="s">
        <v>717</v>
      </c>
      <c r="U20" s="37" t="s">
        <v>605</v>
      </c>
      <c r="V20" s="60">
        <v>45997.0</v>
      </c>
      <c r="W20" s="60">
        <v>46021.0</v>
      </c>
      <c r="X20" s="60">
        <v>46037.0</v>
      </c>
      <c r="Y20" s="37" t="s">
        <v>64</v>
      </c>
      <c r="Z20" s="29"/>
      <c r="AA20" s="54" t="s">
        <v>65</v>
      </c>
      <c r="AB20" s="37" t="s">
        <v>156</v>
      </c>
      <c r="AC20" s="34">
        <v>515000.0</v>
      </c>
      <c r="AD20" s="31">
        <v>0.04</v>
      </c>
      <c r="AE20" s="32">
        <f t="shared" si="1"/>
        <v>20600</v>
      </c>
      <c r="AF20" s="33">
        <v>595.0</v>
      </c>
      <c r="AG20" s="34">
        <v>0.0</v>
      </c>
      <c r="AH20" s="34">
        <v>0.0</v>
      </c>
      <c r="AI20" s="34">
        <v>595.0</v>
      </c>
      <c r="AJ20" s="34">
        <v>0.0</v>
      </c>
      <c r="AK20" s="35">
        <f t="shared" ref="AK20:AK21" si="8">sum(AE20,-AJ20)*0.4</f>
        <v>8240</v>
      </c>
      <c r="AL20" s="36">
        <v>0.0</v>
      </c>
      <c r="AM20" s="37" t="s">
        <v>84</v>
      </c>
      <c r="AN20" s="38">
        <f t="shared" si="6"/>
        <v>12955</v>
      </c>
      <c r="AO20" s="39">
        <f t="shared" si="7"/>
        <v>6775</v>
      </c>
      <c r="AP20" s="40">
        <f t="shared" si="3"/>
        <v>6180</v>
      </c>
      <c r="AQ20" s="111"/>
      <c r="AR20" s="37"/>
      <c r="AS20" s="14"/>
      <c r="AT20" s="37" t="s">
        <v>570</v>
      </c>
      <c r="AU20" s="42"/>
      <c r="AV20" s="23" t="s">
        <v>675</v>
      </c>
      <c r="AW20" s="23" t="s">
        <v>572</v>
      </c>
      <c r="AX20" s="120" t="s">
        <v>623</v>
      </c>
      <c r="AY20" s="37" t="b">
        <v>1</v>
      </c>
      <c r="AZ20" s="42"/>
    </row>
    <row r="21">
      <c r="A21" s="118" t="s">
        <v>583</v>
      </c>
      <c r="B21" s="116" t="s">
        <v>47</v>
      </c>
      <c r="C21" s="117" t="s">
        <v>718</v>
      </c>
      <c r="D21" s="37" t="s">
        <v>170</v>
      </c>
      <c r="E21" s="37">
        <v>92596.0</v>
      </c>
      <c r="F21" s="37" t="s">
        <v>50</v>
      </c>
      <c r="G21" s="37" t="s">
        <v>719</v>
      </c>
      <c r="H21" s="37" t="s">
        <v>172</v>
      </c>
      <c r="I21" s="37" t="s">
        <v>53</v>
      </c>
      <c r="J21" s="37" t="s">
        <v>54</v>
      </c>
      <c r="K21" s="122" t="s">
        <v>720</v>
      </c>
      <c r="L21" s="125" t="s">
        <v>721</v>
      </c>
      <c r="M21" s="49" t="s">
        <v>722</v>
      </c>
      <c r="N21" s="108" t="s">
        <v>247</v>
      </c>
      <c r="O21" s="37" t="s">
        <v>723</v>
      </c>
      <c r="P21" s="37" t="s">
        <v>343</v>
      </c>
      <c r="Q21" s="37" t="s">
        <v>343</v>
      </c>
      <c r="R21" s="37" t="s">
        <v>164</v>
      </c>
      <c r="S21" s="37" t="s">
        <v>359</v>
      </c>
      <c r="T21" s="37" t="s">
        <v>359</v>
      </c>
      <c r="U21" s="37" t="s">
        <v>605</v>
      </c>
      <c r="V21" s="60">
        <v>45998.0</v>
      </c>
      <c r="W21" s="60">
        <v>46006.0</v>
      </c>
      <c r="X21" s="60">
        <v>46038.0</v>
      </c>
      <c r="Y21" s="37" t="s">
        <v>64</v>
      </c>
      <c r="Z21" s="29"/>
      <c r="AA21" s="54" t="s">
        <v>343</v>
      </c>
      <c r="AB21" s="37" t="s">
        <v>66</v>
      </c>
      <c r="AC21" s="34">
        <v>590000.0</v>
      </c>
      <c r="AD21" s="31">
        <v>0.03</v>
      </c>
      <c r="AE21" s="32">
        <f t="shared" si="1"/>
        <v>17700</v>
      </c>
      <c r="AF21" s="33">
        <v>595.0</v>
      </c>
      <c r="AG21" s="34">
        <v>0.0</v>
      </c>
      <c r="AH21" s="34">
        <v>0.0</v>
      </c>
      <c r="AI21" s="34">
        <v>1345.0</v>
      </c>
      <c r="AJ21" s="34">
        <v>0.0</v>
      </c>
      <c r="AK21" s="35">
        <f t="shared" si="8"/>
        <v>7080</v>
      </c>
      <c r="AL21" s="36">
        <v>0.0</v>
      </c>
      <c r="AM21" s="37" t="s">
        <v>47</v>
      </c>
      <c r="AN21" s="38">
        <f t="shared" si="6"/>
        <v>11965</v>
      </c>
      <c r="AO21" s="39">
        <f t="shared" si="7"/>
        <v>5905</v>
      </c>
      <c r="AP21" s="40">
        <f t="shared" si="3"/>
        <v>6060</v>
      </c>
      <c r="AQ21" s="111"/>
      <c r="AR21" s="37"/>
      <c r="AS21" s="14"/>
      <c r="AT21" s="37" t="s">
        <v>570</v>
      </c>
      <c r="AU21" s="42"/>
      <c r="AV21" s="23" t="s">
        <v>675</v>
      </c>
      <c r="AW21" s="23" t="s">
        <v>572</v>
      </c>
      <c r="AX21" s="52"/>
      <c r="AY21" s="37" t="b">
        <v>1</v>
      </c>
      <c r="AZ21" s="42"/>
    </row>
    <row r="22">
      <c r="A22" s="116" t="s">
        <v>583</v>
      </c>
      <c r="B22" s="116" t="s">
        <v>84</v>
      </c>
      <c r="C22" s="117" t="s">
        <v>724</v>
      </c>
      <c r="D22" s="37" t="s">
        <v>725</v>
      </c>
      <c r="E22" s="37">
        <v>91792.0</v>
      </c>
      <c r="F22" s="37" t="s">
        <v>726</v>
      </c>
      <c r="G22" s="37" t="s">
        <v>72</v>
      </c>
      <c r="H22" s="37" t="s">
        <v>172</v>
      </c>
      <c r="I22" s="37" t="s">
        <v>53</v>
      </c>
      <c r="J22" s="37" t="s">
        <v>54</v>
      </c>
      <c r="K22" s="122" t="s">
        <v>727</v>
      </c>
      <c r="L22" s="125" t="s">
        <v>728</v>
      </c>
      <c r="M22" s="49" t="s">
        <v>729</v>
      </c>
      <c r="N22" s="108" t="s">
        <v>92</v>
      </c>
      <c r="O22" s="37" t="s">
        <v>730</v>
      </c>
      <c r="P22" s="37" t="s">
        <v>60</v>
      </c>
      <c r="Q22" s="37" t="s">
        <v>132</v>
      </c>
      <c r="R22" s="37" t="s">
        <v>94</v>
      </c>
      <c r="S22" s="37" t="s">
        <v>731</v>
      </c>
      <c r="T22" s="37" t="s">
        <v>732</v>
      </c>
      <c r="U22" s="37" t="s">
        <v>605</v>
      </c>
      <c r="V22" s="60">
        <v>46009.0</v>
      </c>
      <c r="W22" s="60">
        <v>46042.0</v>
      </c>
      <c r="X22" s="60">
        <v>46038.0</v>
      </c>
      <c r="Y22" s="37" t="s">
        <v>64</v>
      </c>
      <c r="Z22" s="29"/>
      <c r="AA22" s="54" t="s">
        <v>65</v>
      </c>
      <c r="AB22" s="37" t="s">
        <v>167</v>
      </c>
      <c r="AC22" s="34">
        <v>605000.0</v>
      </c>
      <c r="AD22" s="31">
        <v>0.015</v>
      </c>
      <c r="AE22" s="32">
        <f t="shared" si="1"/>
        <v>9075</v>
      </c>
      <c r="AF22" s="33">
        <v>595.0</v>
      </c>
      <c r="AG22" s="34">
        <v>500.0</v>
      </c>
      <c r="AH22" s="34">
        <v>250.0</v>
      </c>
      <c r="AI22" s="34">
        <v>945.0</v>
      </c>
      <c r="AJ22" s="34">
        <v>0.0</v>
      </c>
      <c r="AK22" s="119">
        <v>0.0</v>
      </c>
      <c r="AL22" s="36">
        <v>0.0</v>
      </c>
      <c r="AM22" s="37" t="s">
        <v>202</v>
      </c>
      <c r="AN22" s="38">
        <f t="shared" si="6"/>
        <v>10020</v>
      </c>
      <c r="AO22" s="128">
        <f t="shared" si="7"/>
        <v>3317.5</v>
      </c>
      <c r="AP22" s="40">
        <f t="shared" si="3"/>
        <v>5952.5</v>
      </c>
      <c r="AQ22" s="111"/>
      <c r="AR22" s="37"/>
      <c r="AS22" s="14"/>
      <c r="AT22" s="37" t="s">
        <v>570</v>
      </c>
      <c r="AU22" s="42"/>
      <c r="AV22" s="23" t="s">
        <v>675</v>
      </c>
      <c r="AW22" s="23" t="s">
        <v>572</v>
      </c>
      <c r="AX22" s="23" t="s">
        <v>607</v>
      </c>
      <c r="AY22" s="37" t="b">
        <v>1</v>
      </c>
      <c r="AZ22" s="42"/>
    </row>
    <row r="23">
      <c r="A23" s="116" t="s">
        <v>583</v>
      </c>
      <c r="B23" s="116" t="s">
        <v>84</v>
      </c>
      <c r="C23" s="117" t="s">
        <v>733</v>
      </c>
      <c r="D23" s="37" t="s">
        <v>138</v>
      </c>
      <c r="E23" s="37">
        <v>92583.0</v>
      </c>
      <c r="F23" s="37" t="s">
        <v>50</v>
      </c>
      <c r="G23" s="37" t="s">
        <v>362</v>
      </c>
      <c r="H23" s="37" t="s">
        <v>172</v>
      </c>
      <c r="I23" s="37" t="s">
        <v>53</v>
      </c>
      <c r="J23" s="37" t="s">
        <v>103</v>
      </c>
      <c r="K23" s="122" t="s">
        <v>734</v>
      </c>
      <c r="L23" s="125" t="s">
        <v>735</v>
      </c>
      <c r="M23" s="49" t="s">
        <v>736</v>
      </c>
      <c r="N23" s="108" t="s">
        <v>92</v>
      </c>
      <c r="O23" s="37"/>
      <c r="P23" s="37" t="s">
        <v>737</v>
      </c>
      <c r="Q23" s="37" t="s">
        <v>132</v>
      </c>
      <c r="R23" s="37" t="s">
        <v>94</v>
      </c>
      <c r="S23" s="37" t="s">
        <v>738</v>
      </c>
      <c r="T23" s="37" t="s">
        <v>739</v>
      </c>
      <c r="U23" s="37" t="s">
        <v>605</v>
      </c>
      <c r="V23" s="60">
        <v>45997.0</v>
      </c>
      <c r="W23" s="60">
        <v>46042.0</v>
      </c>
      <c r="X23" s="60">
        <v>46042.0</v>
      </c>
      <c r="Y23" s="37" t="s">
        <v>64</v>
      </c>
      <c r="Z23" s="29"/>
      <c r="AA23" s="54" t="s">
        <v>65</v>
      </c>
      <c r="AB23" s="37" t="s">
        <v>167</v>
      </c>
      <c r="AC23" s="34">
        <v>249999.0</v>
      </c>
      <c r="AD23" s="31">
        <v>0.03</v>
      </c>
      <c r="AE23" s="32">
        <f t="shared" si="1"/>
        <v>7499.97</v>
      </c>
      <c r="AF23" s="33" t="s">
        <v>684</v>
      </c>
      <c r="AG23" s="34">
        <v>500.0</v>
      </c>
      <c r="AH23" s="34">
        <v>0.0</v>
      </c>
      <c r="AI23" s="34">
        <v>0.0</v>
      </c>
      <c r="AJ23" s="34">
        <v>595.0</v>
      </c>
      <c r="AK23" s="35">
        <f>sum(AE23)*0.3</f>
        <v>2249.991</v>
      </c>
      <c r="AL23" s="36">
        <v>0.0</v>
      </c>
      <c r="AM23" s="37" t="s">
        <v>168</v>
      </c>
      <c r="AN23" s="38">
        <f>SUM(AE23+AI23-AK23)</f>
        <v>5249.979</v>
      </c>
      <c r="AO23" s="124">
        <f>if(AM23="Buyer",(-sum(-AN23,AF23))*50%,if(AM23="Seller",(-sum(-AN23,AF23))*50%,(-sum(-AN23,AF23))*(100-right(AM23,2))/100))+if(AF23="Agent Pay",595, sum(AF23))</f>
        <v>1119.9979</v>
      </c>
      <c r="AP23" s="40">
        <f t="shared" si="3"/>
        <v>3629.9811</v>
      </c>
      <c r="AQ23" s="111"/>
      <c r="AR23" s="37"/>
      <c r="AS23" s="14"/>
      <c r="AT23" s="37" t="s">
        <v>570</v>
      </c>
      <c r="AU23" s="42"/>
      <c r="AV23" s="23" t="s">
        <v>740</v>
      </c>
      <c r="AW23" s="23" t="s">
        <v>572</v>
      </c>
      <c r="AX23" s="52"/>
      <c r="AY23" s="37" t="b">
        <v>1</v>
      </c>
      <c r="AZ23" s="42"/>
    </row>
    <row r="24">
      <c r="A24" s="116" t="s">
        <v>583</v>
      </c>
      <c r="B24" s="116" t="s">
        <v>47</v>
      </c>
      <c r="C24" s="117" t="s">
        <v>741</v>
      </c>
      <c r="D24" s="37" t="s">
        <v>170</v>
      </c>
      <c r="E24" s="37">
        <v>92596.0</v>
      </c>
      <c r="F24" s="37" t="s">
        <v>50</v>
      </c>
      <c r="G24" s="37" t="s">
        <v>742</v>
      </c>
      <c r="H24" s="37" t="s">
        <v>172</v>
      </c>
      <c r="I24" s="37" t="s">
        <v>53</v>
      </c>
      <c r="J24" s="37" t="s">
        <v>103</v>
      </c>
      <c r="K24" s="129" t="s">
        <v>743</v>
      </c>
      <c r="L24" s="125" t="s">
        <v>744</v>
      </c>
      <c r="M24" s="108" t="s">
        <v>745</v>
      </c>
      <c r="N24" s="108" t="s">
        <v>746</v>
      </c>
      <c r="O24" s="37" t="s">
        <v>747</v>
      </c>
      <c r="P24" s="37"/>
      <c r="Q24" s="37" t="s">
        <v>343</v>
      </c>
      <c r="R24" s="37" t="s">
        <v>343</v>
      </c>
      <c r="S24" s="37" t="s">
        <v>748</v>
      </c>
      <c r="T24" s="127" t="s">
        <v>749</v>
      </c>
      <c r="U24" s="37" t="s">
        <v>605</v>
      </c>
      <c r="V24" s="60">
        <v>46008.0</v>
      </c>
      <c r="W24" s="60">
        <v>46044.0</v>
      </c>
      <c r="X24" s="60">
        <v>46044.0</v>
      </c>
      <c r="Y24" s="37" t="s">
        <v>64</v>
      </c>
      <c r="Z24" s="29"/>
      <c r="AA24" s="54" t="s">
        <v>343</v>
      </c>
      <c r="AB24" s="37" t="s">
        <v>66</v>
      </c>
      <c r="AC24" s="34">
        <v>604990.0</v>
      </c>
      <c r="AD24" s="31">
        <v>0.0</v>
      </c>
      <c r="AE24" s="62">
        <v>12100.0</v>
      </c>
      <c r="AF24" s="33" t="s">
        <v>684</v>
      </c>
      <c r="AG24" s="34" t="s">
        <v>111</v>
      </c>
      <c r="AH24" s="34" t="s">
        <v>82</v>
      </c>
      <c r="AI24" s="34">
        <v>0.0</v>
      </c>
      <c r="AJ24" s="34">
        <v>0.0</v>
      </c>
      <c r="AK24" s="35">
        <f t="shared" ref="AK24:AK25" si="9">sum(AE24,-AJ24)*0.4</f>
        <v>4840</v>
      </c>
      <c r="AL24" s="36">
        <v>0.0</v>
      </c>
      <c r="AM24" s="37" t="s">
        <v>47</v>
      </c>
      <c r="AN24" s="38">
        <f t="shared" ref="AN24:AN31" si="10">SUM(AE24+AI24-AK24-AJ24)</f>
        <v>7260</v>
      </c>
      <c r="AO24" s="39">
        <f>if(AM24="Buyer",(-sum(-AN24,AF24))*50%,if(AM24="Seller",(-sum(-AN24,AF24))*50%,(-sum(-AN24,AF24))*(100-right(AM24,2))/100))+sum(AF24)</f>
        <v>3630</v>
      </c>
      <c r="AP24" s="40">
        <f t="shared" si="3"/>
        <v>3630</v>
      </c>
      <c r="AQ24" s="111"/>
      <c r="AR24" s="37"/>
      <c r="AS24" s="14"/>
      <c r="AT24" s="37" t="s">
        <v>570</v>
      </c>
      <c r="AU24" s="42"/>
      <c r="AV24" s="37" t="s">
        <v>750</v>
      </c>
      <c r="AW24" s="37" t="s">
        <v>572</v>
      </c>
      <c r="AX24" s="52"/>
      <c r="AY24" s="37" t="b">
        <v>1</v>
      </c>
      <c r="AZ24" s="42"/>
    </row>
    <row r="25">
      <c r="A25" s="37" t="s">
        <v>583</v>
      </c>
      <c r="B25" s="37" t="s">
        <v>84</v>
      </c>
      <c r="C25" s="106" t="s">
        <v>751</v>
      </c>
      <c r="D25" s="37" t="s">
        <v>752</v>
      </c>
      <c r="E25" s="37">
        <v>91709.0</v>
      </c>
      <c r="F25" s="37" t="s">
        <v>101</v>
      </c>
      <c r="G25" s="37" t="s">
        <v>184</v>
      </c>
      <c r="H25" s="37" t="s">
        <v>73</v>
      </c>
      <c r="I25" s="37" t="s">
        <v>53</v>
      </c>
      <c r="J25" s="37" t="s">
        <v>185</v>
      </c>
      <c r="K25" s="56" t="s">
        <v>753</v>
      </c>
      <c r="L25" s="49" t="s">
        <v>754</v>
      </c>
      <c r="M25" s="49" t="s">
        <v>755</v>
      </c>
      <c r="N25" s="108" t="s">
        <v>92</v>
      </c>
      <c r="O25" s="37" t="s">
        <v>756</v>
      </c>
      <c r="P25" s="37" t="s">
        <v>60</v>
      </c>
      <c r="Q25" s="37" t="s">
        <v>621</v>
      </c>
      <c r="R25" s="37" t="s">
        <v>94</v>
      </c>
      <c r="S25" s="37" t="s">
        <v>757</v>
      </c>
      <c r="T25" s="37" t="s">
        <v>758</v>
      </c>
      <c r="U25" s="37" t="s">
        <v>64</v>
      </c>
      <c r="V25" s="60">
        <v>46013.0</v>
      </c>
      <c r="W25" s="60">
        <v>46044.0</v>
      </c>
      <c r="X25" s="60">
        <v>46044.0</v>
      </c>
      <c r="Y25" s="37" t="s">
        <v>64</v>
      </c>
      <c r="Z25" s="29"/>
      <c r="AA25" s="54"/>
      <c r="AB25" s="37" t="s">
        <v>145</v>
      </c>
      <c r="AC25" s="30">
        <v>660000.0</v>
      </c>
      <c r="AD25" s="31">
        <v>0.03</v>
      </c>
      <c r="AE25" s="32">
        <f t="shared" ref="AE25:AE29" si="11">SUM(AC25*AD25)</f>
        <v>19800</v>
      </c>
      <c r="AF25" s="33">
        <v>595.0</v>
      </c>
      <c r="AG25" s="34">
        <v>0.0</v>
      </c>
      <c r="AH25" s="34" t="s">
        <v>82</v>
      </c>
      <c r="AI25" s="34">
        <v>595.0</v>
      </c>
      <c r="AJ25" s="34">
        <v>2000.0</v>
      </c>
      <c r="AK25" s="35">
        <f t="shared" si="9"/>
        <v>7120</v>
      </c>
      <c r="AL25" s="36">
        <v>0.0</v>
      </c>
      <c r="AM25" s="37" t="s">
        <v>84</v>
      </c>
      <c r="AN25" s="38">
        <f t="shared" si="10"/>
        <v>11275</v>
      </c>
      <c r="AO25" s="39">
        <f t="shared" ref="AO25:AO29" si="12">if(AM25="Buyer",-sum((-AE25+AK25+AJ25)*50%),if(AM25="Seller",-sum((-AE25+AK25+AJ25)*50%),-sum(((-AE25+AK25+AJ25)*((100-right(AM25,2))/100)))))+if(AF25="Agent Pay",595, sum(AF25))</f>
        <v>5935</v>
      </c>
      <c r="AP25" s="40">
        <f t="shared" si="3"/>
        <v>5340</v>
      </c>
      <c r="AQ25" s="111"/>
      <c r="AR25" s="37"/>
      <c r="AS25" s="14"/>
      <c r="AT25" s="37" t="s">
        <v>570</v>
      </c>
      <c r="AU25" s="42"/>
      <c r="AV25" s="23" t="s">
        <v>740</v>
      </c>
      <c r="AW25" s="23" t="s">
        <v>572</v>
      </c>
      <c r="AX25" s="120" t="s">
        <v>623</v>
      </c>
      <c r="AY25" s="37" t="b">
        <v>1</v>
      </c>
      <c r="AZ25" s="42"/>
    </row>
    <row r="26">
      <c r="A26" s="37" t="s">
        <v>583</v>
      </c>
      <c r="B26" s="37" t="s">
        <v>47</v>
      </c>
      <c r="C26" s="106" t="s">
        <v>759</v>
      </c>
      <c r="D26" s="37" t="s">
        <v>760</v>
      </c>
      <c r="E26" s="37">
        <v>92584.0</v>
      </c>
      <c r="F26" s="37" t="s">
        <v>50</v>
      </c>
      <c r="G26" s="37" t="s">
        <v>184</v>
      </c>
      <c r="H26" s="37" t="s">
        <v>73</v>
      </c>
      <c r="I26" s="37" t="s">
        <v>53</v>
      </c>
      <c r="J26" s="37" t="s">
        <v>185</v>
      </c>
      <c r="K26" s="54" t="s">
        <v>761</v>
      </c>
      <c r="L26" s="54" t="s">
        <v>762</v>
      </c>
      <c r="M26" s="54" t="s">
        <v>763</v>
      </c>
      <c r="N26" s="108" t="s">
        <v>92</v>
      </c>
      <c r="O26" s="37" t="s">
        <v>143</v>
      </c>
      <c r="P26" s="37" t="s">
        <v>93</v>
      </c>
      <c r="Q26" s="37" t="s">
        <v>621</v>
      </c>
      <c r="R26" s="37" t="s">
        <v>94</v>
      </c>
      <c r="S26" s="54"/>
      <c r="T26" s="37"/>
      <c r="U26" s="37" t="s">
        <v>64</v>
      </c>
      <c r="V26" s="60">
        <v>46038.0</v>
      </c>
      <c r="W26" s="60">
        <v>46048.0</v>
      </c>
      <c r="X26" s="60">
        <v>46048.0</v>
      </c>
      <c r="Y26" s="37" t="s">
        <v>64</v>
      </c>
      <c r="Z26" s="29"/>
      <c r="AA26" s="54" t="s">
        <v>65</v>
      </c>
      <c r="AB26" s="37" t="s">
        <v>167</v>
      </c>
      <c r="AC26" s="30">
        <v>400000.0</v>
      </c>
      <c r="AD26" s="31">
        <v>0.025</v>
      </c>
      <c r="AE26" s="32">
        <f t="shared" si="11"/>
        <v>10000</v>
      </c>
      <c r="AF26" s="33">
        <v>595.0</v>
      </c>
      <c r="AG26" s="34">
        <v>0.0</v>
      </c>
      <c r="AH26" s="34" t="s">
        <v>82</v>
      </c>
      <c r="AI26" s="34">
        <v>595.0</v>
      </c>
      <c r="AJ26" s="34">
        <v>0.0</v>
      </c>
      <c r="AK26" s="35">
        <v>0.0</v>
      </c>
      <c r="AL26" s="36">
        <v>0.0</v>
      </c>
      <c r="AM26" s="37" t="s">
        <v>168</v>
      </c>
      <c r="AN26" s="38">
        <f t="shared" si="10"/>
        <v>10595</v>
      </c>
      <c r="AO26" s="39">
        <f t="shared" si="12"/>
        <v>1595</v>
      </c>
      <c r="AP26" s="40">
        <f t="shared" si="3"/>
        <v>9000</v>
      </c>
      <c r="AQ26" s="111"/>
      <c r="AR26" s="37"/>
      <c r="AS26" s="14"/>
      <c r="AT26" s="37" t="s">
        <v>570</v>
      </c>
      <c r="AU26" s="42"/>
      <c r="AV26" s="37" t="s">
        <v>764</v>
      </c>
      <c r="AW26" s="37" t="s">
        <v>572</v>
      </c>
      <c r="AX26" s="120" t="s">
        <v>623</v>
      </c>
      <c r="AY26" s="37" t="b">
        <v>1</v>
      </c>
      <c r="AZ26" s="42"/>
    </row>
    <row r="27">
      <c r="A27" s="37" t="s">
        <v>583</v>
      </c>
      <c r="B27" s="37" t="s">
        <v>84</v>
      </c>
      <c r="C27" s="106" t="s">
        <v>759</v>
      </c>
      <c r="D27" s="37" t="s">
        <v>760</v>
      </c>
      <c r="E27" s="37">
        <v>92584.0</v>
      </c>
      <c r="F27" s="37" t="s">
        <v>50</v>
      </c>
      <c r="G27" s="37" t="s">
        <v>184</v>
      </c>
      <c r="H27" s="37" t="s">
        <v>73</v>
      </c>
      <c r="I27" s="37" t="s">
        <v>53</v>
      </c>
      <c r="J27" s="37" t="s">
        <v>185</v>
      </c>
      <c r="K27" s="54" t="s">
        <v>765</v>
      </c>
      <c r="L27" s="54" t="s">
        <v>766</v>
      </c>
      <c r="M27" s="54" t="s">
        <v>767</v>
      </c>
      <c r="N27" s="108" t="s">
        <v>92</v>
      </c>
      <c r="O27" s="37" t="s">
        <v>143</v>
      </c>
      <c r="P27" s="37" t="s">
        <v>93</v>
      </c>
      <c r="Q27" s="37" t="s">
        <v>621</v>
      </c>
      <c r="R27" s="37" t="s">
        <v>94</v>
      </c>
      <c r="S27" s="54"/>
      <c r="T27" s="37"/>
      <c r="U27" s="37" t="s">
        <v>64</v>
      </c>
      <c r="V27" s="60">
        <v>46038.0</v>
      </c>
      <c r="W27" s="60">
        <v>46048.0</v>
      </c>
      <c r="X27" s="60">
        <v>46048.0</v>
      </c>
      <c r="Y27" s="37" t="s">
        <v>64</v>
      </c>
      <c r="Z27" s="29"/>
      <c r="AA27" s="54" t="s">
        <v>65</v>
      </c>
      <c r="AB27" s="37" t="s">
        <v>145</v>
      </c>
      <c r="AC27" s="30">
        <v>400000.0</v>
      </c>
      <c r="AD27" s="31">
        <v>0.025</v>
      </c>
      <c r="AE27" s="32">
        <f t="shared" si="11"/>
        <v>10000</v>
      </c>
      <c r="AF27" s="33">
        <v>595.0</v>
      </c>
      <c r="AG27" s="34">
        <v>0.0</v>
      </c>
      <c r="AH27" s="34" t="s">
        <v>82</v>
      </c>
      <c r="AI27" s="34">
        <v>595.0</v>
      </c>
      <c r="AJ27" s="34">
        <v>0.0</v>
      </c>
      <c r="AK27" s="35">
        <f t="shared" ref="AK27:AK29" si="13">sum(AE27,-AJ27)*0.4</f>
        <v>4000</v>
      </c>
      <c r="AL27" s="36">
        <v>0.0</v>
      </c>
      <c r="AM27" s="37" t="s">
        <v>84</v>
      </c>
      <c r="AN27" s="38">
        <f t="shared" si="10"/>
        <v>6595</v>
      </c>
      <c r="AO27" s="39">
        <f t="shared" si="12"/>
        <v>3595</v>
      </c>
      <c r="AP27" s="40">
        <f t="shared" si="3"/>
        <v>3000</v>
      </c>
      <c r="AQ27" s="111"/>
      <c r="AR27" s="37"/>
      <c r="AS27" s="14"/>
      <c r="AT27" s="37" t="s">
        <v>570</v>
      </c>
      <c r="AU27" s="42"/>
      <c r="AV27" s="37" t="s">
        <v>750</v>
      </c>
      <c r="AW27" s="37" t="s">
        <v>572</v>
      </c>
      <c r="AX27" s="120" t="s">
        <v>623</v>
      </c>
      <c r="AY27" s="37" t="b">
        <v>1</v>
      </c>
      <c r="AZ27" s="42"/>
    </row>
    <row r="28">
      <c r="A28" s="116" t="s">
        <v>583</v>
      </c>
      <c r="B28" s="116" t="s">
        <v>84</v>
      </c>
      <c r="C28" s="117" t="s">
        <v>768</v>
      </c>
      <c r="D28" s="37" t="s">
        <v>769</v>
      </c>
      <c r="E28" s="37">
        <v>92591.0</v>
      </c>
      <c r="F28" s="37" t="s">
        <v>50</v>
      </c>
      <c r="G28" s="37" t="s">
        <v>184</v>
      </c>
      <c r="H28" s="37" t="s">
        <v>73</v>
      </c>
      <c r="I28" s="37" t="s">
        <v>53</v>
      </c>
      <c r="J28" s="37" t="s">
        <v>103</v>
      </c>
      <c r="K28" s="54" t="s">
        <v>770</v>
      </c>
      <c r="L28" s="54" t="s">
        <v>771</v>
      </c>
      <c r="M28" s="56" t="s">
        <v>772</v>
      </c>
      <c r="N28" s="108" t="s">
        <v>92</v>
      </c>
      <c r="O28" s="37" t="s">
        <v>773</v>
      </c>
      <c r="P28" s="37" t="s">
        <v>60</v>
      </c>
      <c r="Q28" s="37" t="s">
        <v>132</v>
      </c>
      <c r="R28" s="37" t="s">
        <v>94</v>
      </c>
      <c r="S28" s="37" t="s">
        <v>774</v>
      </c>
      <c r="T28" s="127" t="s">
        <v>775</v>
      </c>
      <c r="U28" s="37" t="s">
        <v>605</v>
      </c>
      <c r="V28" s="60">
        <v>46013.0</v>
      </c>
      <c r="W28" s="60">
        <v>46043.0</v>
      </c>
      <c r="X28" s="60">
        <v>46049.0</v>
      </c>
      <c r="Y28" s="37" t="s">
        <v>64</v>
      </c>
      <c r="Z28" s="29"/>
      <c r="AA28" s="54" t="s">
        <v>65</v>
      </c>
      <c r="AB28" s="37" t="s">
        <v>110</v>
      </c>
      <c r="AC28" s="34">
        <v>705000.0</v>
      </c>
      <c r="AD28" s="31">
        <v>0.03</v>
      </c>
      <c r="AE28" s="32">
        <f t="shared" si="11"/>
        <v>21150</v>
      </c>
      <c r="AF28" s="33">
        <v>595.0</v>
      </c>
      <c r="AG28" s="34">
        <v>0.0</v>
      </c>
      <c r="AH28" s="34" t="s">
        <v>82</v>
      </c>
      <c r="AI28" s="34">
        <v>695.0</v>
      </c>
      <c r="AJ28" s="34">
        <v>0.0</v>
      </c>
      <c r="AK28" s="35">
        <f t="shared" si="13"/>
        <v>8460</v>
      </c>
      <c r="AL28" s="36">
        <v>0.0</v>
      </c>
      <c r="AM28" s="37" t="s">
        <v>84</v>
      </c>
      <c r="AN28" s="38">
        <f t="shared" si="10"/>
        <v>13385</v>
      </c>
      <c r="AO28" s="39">
        <f t="shared" si="12"/>
        <v>6940</v>
      </c>
      <c r="AP28" s="40">
        <f t="shared" si="3"/>
        <v>6445</v>
      </c>
      <c r="AQ28" s="111"/>
      <c r="AR28" s="37"/>
      <c r="AS28" s="14"/>
      <c r="AT28" s="37" t="s">
        <v>570</v>
      </c>
      <c r="AU28" s="42"/>
      <c r="AV28" s="37" t="s">
        <v>750</v>
      </c>
      <c r="AW28" s="37" t="s">
        <v>572</v>
      </c>
      <c r="AX28" s="23" t="s">
        <v>776</v>
      </c>
      <c r="AY28" s="37" t="b">
        <v>1</v>
      </c>
      <c r="AZ28" s="42"/>
    </row>
    <row r="29">
      <c r="A29" s="116" t="s">
        <v>583</v>
      </c>
      <c r="B29" s="116" t="s">
        <v>84</v>
      </c>
      <c r="C29" s="117" t="s">
        <v>777</v>
      </c>
      <c r="D29" s="37" t="s">
        <v>49</v>
      </c>
      <c r="E29" s="37">
        <v>92585.0</v>
      </c>
      <c r="F29" s="37" t="s">
        <v>50</v>
      </c>
      <c r="G29" s="37" t="s">
        <v>139</v>
      </c>
      <c r="H29" s="37" t="s">
        <v>73</v>
      </c>
      <c r="I29" s="37" t="s">
        <v>53</v>
      </c>
      <c r="J29" s="37" t="s">
        <v>103</v>
      </c>
      <c r="K29" s="54" t="s">
        <v>778</v>
      </c>
      <c r="L29" s="54" t="s">
        <v>779</v>
      </c>
      <c r="M29" s="54" t="s">
        <v>780</v>
      </c>
      <c r="N29" s="108" t="s">
        <v>92</v>
      </c>
      <c r="O29" s="37" t="s">
        <v>781</v>
      </c>
      <c r="P29" s="37" t="s">
        <v>60</v>
      </c>
      <c r="Q29" s="37" t="s">
        <v>132</v>
      </c>
      <c r="R29" s="37" t="s">
        <v>94</v>
      </c>
      <c r="S29" s="37" t="s">
        <v>782</v>
      </c>
      <c r="T29" s="37" t="s">
        <v>783</v>
      </c>
      <c r="U29" s="37" t="s">
        <v>605</v>
      </c>
      <c r="V29" s="60">
        <v>45973.0</v>
      </c>
      <c r="W29" s="60">
        <v>46003.0</v>
      </c>
      <c r="X29" s="60">
        <v>46050.0</v>
      </c>
      <c r="Y29" s="37" t="s">
        <v>64</v>
      </c>
      <c r="Z29" s="29"/>
      <c r="AA29" s="54" t="s">
        <v>65</v>
      </c>
      <c r="AB29" s="37" t="s">
        <v>145</v>
      </c>
      <c r="AC29" s="34">
        <v>925000.0</v>
      </c>
      <c r="AD29" s="31">
        <v>0.025</v>
      </c>
      <c r="AE29" s="32">
        <f t="shared" si="11"/>
        <v>23125</v>
      </c>
      <c r="AF29" s="33">
        <v>695.0</v>
      </c>
      <c r="AG29" s="34">
        <v>0.0</v>
      </c>
      <c r="AH29" s="34">
        <v>0.0</v>
      </c>
      <c r="AI29" s="34">
        <v>695.0</v>
      </c>
      <c r="AJ29" s="34">
        <v>0.0</v>
      </c>
      <c r="AK29" s="35">
        <f t="shared" si="13"/>
        <v>9250</v>
      </c>
      <c r="AL29" s="36">
        <v>0.0</v>
      </c>
      <c r="AM29" s="120" t="s">
        <v>784</v>
      </c>
      <c r="AN29" s="38">
        <f t="shared" si="10"/>
        <v>14570</v>
      </c>
      <c r="AO29" s="39">
        <f t="shared" si="12"/>
        <v>9020</v>
      </c>
      <c r="AP29" s="40">
        <f t="shared" si="3"/>
        <v>5550</v>
      </c>
      <c r="AQ29" s="111"/>
      <c r="AR29" s="37"/>
      <c r="AS29" s="14"/>
      <c r="AT29" s="37" t="s">
        <v>570</v>
      </c>
      <c r="AU29" s="42"/>
      <c r="AV29" s="37" t="s">
        <v>750</v>
      </c>
      <c r="AW29" s="37" t="s">
        <v>572</v>
      </c>
      <c r="AX29" s="52"/>
      <c r="AY29" s="37" t="b">
        <v>1</v>
      </c>
      <c r="AZ29" s="42"/>
    </row>
    <row r="30">
      <c r="A30" s="37" t="s">
        <v>583</v>
      </c>
      <c r="B30" s="37" t="s">
        <v>47</v>
      </c>
      <c r="C30" s="106" t="s">
        <v>785</v>
      </c>
      <c r="D30" s="37" t="s">
        <v>659</v>
      </c>
      <c r="E30" s="37">
        <v>92404.0</v>
      </c>
      <c r="F30" s="37" t="s">
        <v>101</v>
      </c>
      <c r="G30" s="37" t="s">
        <v>139</v>
      </c>
      <c r="H30" s="37" t="s">
        <v>73</v>
      </c>
      <c r="I30" s="37" t="s">
        <v>53</v>
      </c>
      <c r="J30" s="37" t="s">
        <v>103</v>
      </c>
      <c r="K30" s="56" t="s">
        <v>786</v>
      </c>
      <c r="L30" s="49" t="s">
        <v>787</v>
      </c>
      <c r="M30" s="49" t="s">
        <v>142</v>
      </c>
      <c r="N30" s="108" t="s">
        <v>92</v>
      </c>
      <c r="O30" s="37" t="s">
        <v>143</v>
      </c>
      <c r="P30" s="37" t="s">
        <v>93</v>
      </c>
      <c r="Q30" s="37" t="s">
        <v>61</v>
      </c>
      <c r="R30" s="37" t="s">
        <v>94</v>
      </c>
      <c r="S30" s="37" t="s">
        <v>788</v>
      </c>
      <c r="T30" s="37" t="s">
        <v>789</v>
      </c>
      <c r="U30" s="37" t="s">
        <v>64</v>
      </c>
      <c r="V30" s="60">
        <v>46024.0</v>
      </c>
      <c r="W30" s="60">
        <v>46037.0</v>
      </c>
      <c r="X30" s="60">
        <v>46051.0</v>
      </c>
      <c r="Y30" s="37" t="s">
        <v>64</v>
      </c>
      <c r="Z30" s="29"/>
      <c r="AA30" s="54" t="s">
        <v>65</v>
      </c>
      <c r="AB30" s="37" t="s">
        <v>790</v>
      </c>
      <c r="AC30" s="30">
        <v>500000.0</v>
      </c>
      <c r="AD30" s="31">
        <v>0.0</v>
      </c>
      <c r="AE30" s="62">
        <v>589.0</v>
      </c>
      <c r="AF30" s="33" t="s">
        <v>93</v>
      </c>
      <c r="AG30" s="34">
        <v>0.0</v>
      </c>
      <c r="AH30" s="34" t="s">
        <v>82</v>
      </c>
      <c r="AI30" s="34">
        <v>0.0</v>
      </c>
      <c r="AJ30" s="34">
        <v>0.0</v>
      </c>
      <c r="AK30" s="119">
        <v>0.0</v>
      </c>
      <c r="AL30" s="36">
        <v>0.0</v>
      </c>
      <c r="AM30" s="37" t="s">
        <v>47</v>
      </c>
      <c r="AN30" s="38">
        <f t="shared" si="10"/>
        <v>589</v>
      </c>
      <c r="AO30" s="110">
        <v>589.0</v>
      </c>
      <c r="AP30" s="40">
        <f t="shared" si="3"/>
        <v>0</v>
      </c>
      <c r="AQ30" s="111"/>
      <c r="AR30" s="37"/>
      <c r="AS30" s="14"/>
      <c r="AT30" s="37" t="s">
        <v>570</v>
      </c>
      <c r="AU30" s="42"/>
      <c r="AV30" s="37" t="s">
        <v>791</v>
      </c>
      <c r="AW30" s="37" t="s">
        <v>114</v>
      </c>
      <c r="AX30" s="52"/>
      <c r="AY30" s="37" t="s">
        <v>792</v>
      </c>
      <c r="AZ30" s="42"/>
    </row>
    <row r="31">
      <c r="A31" s="116" t="s">
        <v>583</v>
      </c>
      <c r="B31" s="116" t="s">
        <v>84</v>
      </c>
      <c r="C31" s="117" t="s">
        <v>793</v>
      </c>
      <c r="D31" s="37" t="s">
        <v>794</v>
      </c>
      <c r="E31" s="37">
        <v>92505.0</v>
      </c>
      <c r="F31" s="37" t="s">
        <v>50</v>
      </c>
      <c r="G31" s="37" t="s">
        <v>300</v>
      </c>
      <c r="H31" s="37" t="s">
        <v>172</v>
      </c>
      <c r="I31" s="37" t="s">
        <v>53</v>
      </c>
      <c r="J31" s="37" t="s">
        <v>103</v>
      </c>
      <c r="K31" s="54" t="s">
        <v>795</v>
      </c>
      <c r="L31" s="54" t="s">
        <v>796</v>
      </c>
      <c r="M31" s="54" t="s">
        <v>797</v>
      </c>
      <c r="N31" s="108" t="s">
        <v>92</v>
      </c>
      <c r="O31" s="37" t="s">
        <v>798</v>
      </c>
      <c r="P31" s="37"/>
      <c r="Q31" s="37" t="s">
        <v>132</v>
      </c>
      <c r="R31" s="37" t="s">
        <v>602</v>
      </c>
      <c r="S31" s="37" t="s">
        <v>799</v>
      </c>
      <c r="T31" s="127" t="s">
        <v>800</v>
      </c>
      <c r="U31" s="37" t="s">
        <v>605</v>
      </c>
      <c r="V31" s="60">
        <v>46008.0</v>
      </c>
      <c r="W31" s="60">
        <v>46048.0</v>
      </c>
      <c r="X31" s="60">
        <v>46052.0</v>
      </c>
      <c r="Y31" s="37" t="s">
        <v>64</v>
      </c>
      <c r="Z31" s="29"/>
      <c r="AA31" s="54" t="s">
        <v>124</v>
      </c>
      <c r="AB31" s="37" t="s">
        <v>801</v>
      </c>
      <c r="AC31" s="34">
        <v>149000.0</v>
      </c>
      <c r="AD31" s="31">
        <v>0.03</v>
      </c>
      <c r="AE31" s="32">
        <f t="shared" ref="AE31:AE45" si="14">SUM(AC31*AD31)</f>
        <v>4470</v>
      </c>
      <c r="AF31" s="33">
        <v>695.0</v>
      </c>
      <c r="AG31" s="34">
        <v>0.0</v>
      </c>
      <c r="AH31" s="34" t="s">
        <v>82</v>
      </c>
      <c r="AI31" s="34">
        <v>695.0</v>
      </c>
      <c r="AJ31" s="34">
        <v>0.0</v>
      </c>
      <c r="AK31" s="119">
        <v>0.0</v>
      </c>
      <c r="AL31" s="36">
        <v>0.0</v>
      </c>
      <c r="AM31" s="120" t="s">
        <v>784</v>
      </c>
      <c r="AN31" s="38">
        <f t="shared" si="10"/>
        <v>5165</v>
      </c>
      <c r="AO31" s="39">
        <f>if(AM31="Buyer",-sum((-AE31+AK31+AJ31)*50%),if(AM31="Seller",-sum((-AE31+AK31+AJ31)*50%),-sum(((-AE31+AK31+AJ31)*((100-right(AM31,2))/100)))))+if(AF31="Agent Pay",595, sum(AF31))</f>
        <v>3377</v>
      </c>
      <c r="AP31" s="40">
        <f t="shared" si="3"/>
        <v>1788</v>
      </c>
      <c r="AQ31" s="111"/>
      <c r="AR31" s="37"/>
      <c r="AS31" s="14"/>
      <c r="AT31" s="37" t="s">
        <v>570</v>
      </c>
      <c r="AU31" s="42"/>
      <c r="AV31" s="37" t="s">
        <v>802</v>
      </c>
      <c r="AW31" s="37" t="s">
        <v>572</v>
      </c>
      <c r="AX31" s="52"/>
      <c r="AY31" s="37" t="b">
        <v>1</v>
      </c>
      <c r="AZ31" s="42"/>
    </row>
    <row r="32">
      <c r="A32" s="37" t="s">
        <v>803</v>
      </c>
      <c r="B32" s="37" t="s">
        <v>84</v>
      </c>
      <c r="C32" s="106" t="s">
        <v>804</v>
      </c>
      <c r="D32" s="37" t="s">
        <v>432</v>
      </c>
      <c r="E32" s="37">
        <v>92571.0</v>
      </c>
      <c r="F32" s="37" t="s">
        <v>50</v>
      </c>
      <c r="G32" s="37" t="s">
        <v>184</v>
      </c>
      <c r="H32" s="37" t="s">
        <v>73</v>
      </c>
      <c r="I32" s="37" t="s">
        <v>346</v>
      </c>
      <c r="J32" s="37" t="s">
        <v>185</v>
      </c>
      <c r="K32" s="49" t="s">
        <v>805</v>
      </c>
      <c r="L32" s="49" t="s">
        <v>806</v>
      </c>
      <c r="M32" s="107"/>
      <c r="N32" s="108" t="s">
        <v>92</v>
      </c>
      <c r="O32" s="37" t="s">
        <v>807</v>
      </c>
      <c r="P32" s="37" t="s">
        <v>351</v>
      </c>
      <c r="Q32" s="37" t="s">
        <v>621</v>
      </c>
      <c r="R32" s="37" t="s">
        <v>94</v>
      </c>
      <c r="S32" s="37" t="s">
        <v>808</v>
      </c>
      <c r="T32" s="37" t="s">
        <v>809</v>
      </c>
      <c r="U32" s="37" t="s">
        <v>64</v>
      </c>
      <c r="V32" s="60">
        <v>46024.0</v>
      </c>
      <c r="W32" s="60">
        <v>46056.0</v>
      </c>
      <c r="X32" s="60">
        <v>46055.0</v>
      </c>
      <c r="Y32" s="37" t="s">
        <v>64</v>
      </c>
      <c r="Z32" s="29"/>
      <c r="AA32" s="54" t="s">
        <v>65</v>
      </c>
      <c r="AB32" s="37" t="s">
        <v>110</v>
      </c>
      <c r="AC32" s="30">
        <v>505000.0</v>
      </c>
      <c r="AD32" s="31">
        <v>0.03</v>
      </c>
      <c r="AE32" s="32">
        <f t="shared" si="14"/>
        <v>15150</v>
      </c>
      <c r="AF32" s="33">
        <v>595.0</v>
      </c>
      <c r="AG32" s="34" t="s">
        <v>82</v>
      </c>
      <c r="AH32" s="34" t="s">
        <v>82</v>
      </c>
      <c r="AI32" s="34">
        <v>595.0</v>
      </c>
      <c r="AJ32" s="34">
        <v>0.0</v>
      </c>
      <c r="AK32" s="34">
        <f>AE32*0.4</f>
        <v>6060</v>
      </c>
      <c r="AL32" s="36">
        <v>0.0</v>
      </c>
      <c r="AM32" s="37" t="s">
        <v>84</v>
      </c>
      <c r="AN32" s="38">
        <f>if(AF32=595, SUM(AE32+AI32-AK32-AJ32),sum(AE32,595))</f>
        <v>9685</v>
      </c>
      <c r="AO32" s="39">
        <f>if(AM32="Buyer",-sum((-AE32+AK32+AJ32)*50%),if(AM32="Seller",-sum((-AE32+AK32+AJ32)*50%),-sum(((-AE32+AK32+AJ32)*((100-right(AM32,2))/100)))))+if(AF32&lt;&gt;595,595, sum(AF32))</f>
        <v>5140</v>
      </c>
      <c r="AP32" s="40">
        <f t="shared" si="3"/>
        <v>4545</v>
      </c>
      <c r="AQ32" s="111"/>
      <c r="AR32" s="37"/>
      <c r="AS32" s="14"/>
      <c r="AT32" s="37" t="s">
        <v>570</v>
      </c>
      <c r="AU32" s="42"/>
      <c r="AV32" s="130" t="s">
        <v>810</v>
      </c>
      <c r="AW32" s="130" t="s">
        <v>114</v>
      </c>
      <c r="AX32" s="113"/>
      <c r="AY32" s="37" t="b">
        <v>1</v>
      </c>
      <c r="AZ32" s="42"/>
    </row>
    <row r="33" ht="15.0" customHeight="1">
      <c r="A33" s="118" t="s">
        <v>803</v>
      </c>
      <c r="B33" s="116" t="s">
        <v>84</v>
      </c>
      <c r="C33" s="117" t="s">
        <v>811</v>
      </c>
      <c r="D33" s="37" t="s">
        <v>170</v>
      </c>
      <c r="E33" s="37">
        <v>92596.0</v>
      </c>
      <c r="F33" s="37" t="s">
        <v>50</v>
      </c>
      <c r="G33" s="37" t="s">
        <v>812</v>
      </c>
      <c r="H33" s="37" t="s">
        <v>73</v>
      </c>
      <c r="I33" s="37" t="s">
        <v>53</v>
      </c>
      <c r="J33" s="37" t="s">
        <v>103</v>
      </c>
      <c r="K33" s="56" t="s">
        <v>813</v>
      </c>
      <c r="L33" s="49" t="s">
        <v>814</v>
      </c>
      <c r="M33" s="108" t="s">
        <v>815</v>
      </c>
      <c r="N33" s="108" t="s">
        <v>92</v>
      </c>
      <c r="O33" s="37" t="s">
        <v>816</v>
      </c>
      <c r="P33" s="37" t="s">
        <v>93</v>
      </c>
      <c r="Q33" s="37" t="s">
        <v>132</v>
      </c>
      <c r="R33" s="37" t="s">
        <v>94</v>
      </c>
      <c r="S33" s="37" t="s">
        <v>817</v>
      </c>
      <c r="T33" s="127" t="s">
        <v>818</v>
      </c>
      <c r="U33" s="37" t="s">
        <v>605</v>
      </c>
      <c r="V33" s="60">
        <v>46007.0</v>
      </c>
      <c r="W33" s="60">
        <v>46037.0</v>
      </c>
      <c r="X33" s="60">
        <v>46059.0</v>
      </c>
      <c r="Y33" s="37" t="s">
        <v>64</v>
      </c>
      <c r="Z33" s="29"/>
      <c r="AA33" s="54" t="s">
        <v>65</v>
      </c>
      <c r="AB33" s="37" t="s">
        <v>145</v>
      </c>
      <c r="AC33" s="34">
        <v>660000.0</v>
      </c>
      <c r="AD33" s="31">
        <v>0.02</v>
      </c>
      <c r="AE33" s="32">
        <f t="shared" si="14"/>
        <v>13200</v>
      </c>
      <c r="AF33" s="33">
        <v>695.0</v>
      </c>
      <c r="AG33" s="34">
        <v>0.0</v>
      </c>
      <c r="AH33" s="34" t="s">
        <v>82</v>
      </c>
      <c r="AI33" s="34">
        <v>695.0</v>
      </c>
      <c r="AJ33" s="34">
        <v>200.0</v>
      </c>
      <c r="AK33" s="35">
        <f t="shared" ref="AK33:AK34" si="15">sum(AE33,-AJ33)*0.4</f>
        <v>5200</v>
      </c>
      <c r="AL33" s="131">
        <v>30334.65</v>
      </c>
      <c r="AM33" s="120" t="s">
        <v>784</v>
      </c>
      <c r="AN33" s="38">
        <f>if(AF33=595, SUM(AE33+AI33-AK33-AJ33),sum(AE33-AJ33-AK33,695))</f>
        <v>8495</v>
      </c>
      <c r="AO33" s="39">
        <f>if(AM33="Buyer",-sum((-AE33+AK33+AJ33)*50%),if(AM33="Seller",-sum((-AE33+AK33+AJ33)*50%),-sum(((-AE33+AK33+AJ33)*((100-right(AM33,2))/100)))))+if(AF33&lt;&gt;595,695, sum(AF33))</f>
        <v>5375</v>
      </c>
      <c r="AP33" s="40">
        <f t="shared" si="3"/>
        <v>3120</v>
      </c>
      <c r="AQ33" s="111"/>
      <c r="AR33" s="37"/>
      <c r="AS33" s="14"/>
      <c r="AT33" s="37" t="s">
        <v>570</v>
      </c>
      <c r="AU33" s="42"/>
      <c r="AV33" s="130" t="s">
        <v>819</v>
      </c>
      <c r="AW33" s="130" t="s">
        <v>114</v>
      </c>
      <c r="AX33" s="23" t="s">
        <v>776</v>
      </c>
      <c r="AY33" s="37" t="b">
        <v>1</v>
      </c>
      <c r="AZ33" s="42"/>
    </row>
    <row r="34">
      <c r="A34" s="37" t="s">
        <v>803</v>
      </c>
      <c r="B34" s="37" t="s">
        <v>47</v>
      </c>
      <c r="C34" s="106" t="s">
        <v>820</v>
      </c>
      <c r="D34" s="37" t="s">
        <v>821</v>
      </c>
      <c r="E34" s="37">
        <v>91762.0</v>
      </c>
      <c r="F34" s="37" t="s">
        <v>101</v>
      </c>
      <c r="G34" s="37" t="s">
        <v>332</v>
      </c>
      <c r="H34" s="37" t="s">
        <v>73</v>
      </c>
      <c r="I34" s="37" t="s">
        <v>53</v>
      </c>
      <c r="J34" s="37" t="s">
        <v>103</v>
      </c>
      <c r="K34" s="56" t="s">
        <v>822</v>
      </c>
      <c r="L34" s="49" t="s">
        <v>823</v>
      </c>
      <c r="M34" s="108" t="s">
        <v>824</v>
      </c>
      <c r="N34" s="108" t="s">
        <v>825</v>
      </c>
      <c r="O34" s="37" t="s">
        <v>826</v>
      </c>
      <c r="P34" s="37"/>
      <c r="Q34" s="37" t="s">
        <v>61</v>
      </c>
      <c r="R34" s="37"/>
      <c r="S34" s="37" t="s">
        <v>827</v>
      </c>
      <c r="T34" s="127" t="s">
        <v>828</v>
      </c>
      <c r="U34" s="37" t="s">
        <v>605</v>
      </c>
      <c r="V34" s="60">
        <v>46022.0</v>
      </c>
      <c r="W34" s="60">
        <v>46043.0</v>
      </c>
      <c r="X34" s="60">
        <v>46059.0</v>
      </c>
      <c r="Y34" s="37" t="s">
        <v>64</v>
      </c>
      <c r="Z34" s="29"/>
      <c r="AA34" s="54" t="s">
        <v>65</v>
      </c>
      <c r="AB34" s="37" t="s">
        <v>66</v>
      </c>
      <c r="AC34" s="30">
        <v>930000.0</v>
      </c>
      <c r="AD34" s="31">
        <v>0.02</v>
      </c>
      <c r="AE34" s="32">
        <f t="shared" si="14"/>
        <v>18600</v>
      </c>
      <c r="AF34" s="33">
        <v>595.0</v>
      </c>
      <c r="AG34" s="34">
        <v>500.0</v>
      </c>
      <c r="AH34" s="34" t="s">
        <v>82</v>
      </c>
      <c r="AI34" s="34">
        <v>1095.0</v>
      </c>
      <c r="AJ34" s="34">
        <v>0.0</v>
      </c>
      <c r="AK34" s="35">
        <f t="shared" si="15"/>
        <v>7440</v>
      </c>
      <c r="AL34" s="36">
        <v>0.0</v>
      </c>
      <c r="AM34" s="37" t="s">
        <v>47</v>
      </c>
      <c r="AN34" s="38">
        <f t="shared" ref="AN34:AN43" si="16">if(AF34=595, SUM(AE34+AI34-AK34-AJ34),sum(AE34-AJ34-AK34,595))</f>
        <v>12255</v>
      </c>
      <c r="AO34" s="39">
        <f t="shared" ref="AO34:AO43" si="17">if(AM34="Buyer",-sum((-AE34+AK34+AJ34)*50%),if(AM34="Seller",-sum((-AE34+AK34+AJ34)*50%),-sum(((-AE34+AK34+AJ34)*((100-right(AM34,2))/100)))))+if(AF34&lt;&gt;595,595, sum(AF34))</f>
        <v>6175</v>
      </c>
      <c r="AP34" s="40">
        <f t="shared" si="3"/>
        <v>5580</v>
      </c>
      <c r="AQ34" s="111"/>
      <c r="AR34" s="37"/>
      <c r="AS34" s="14"/>
      <c r="AT34" s="37" t="s">
        <v>570</v>
      </c>
      <c r="AU34" s="42"/>
      <c r="AV34" s="37" t="s">
        <v>829</v>
      </c>
      <c r="AW34" s="37" t="s">
        <v>572</v>
      </c>
      <c r="AX34" s="113"/>
      <c r="AY34" s="113" t="b">
        <v>1</v>
      </c>
      <c r="AZ34" s="42"/>
    </row>
    <row r="35">
      <c r="A35" s="118" t="s">
        <v>803</v>
      </c>
      <c r="B35" s="116" t="s">
        <v>84</v>
      </c>
      <c r="C35" s="132" t="s">
        <v>830</v>
      </c>
      <c r="D35" s="37" t="s">
        <v>71</v>
      </c>
      <c r="E35" s="37">
        <v>92544.0</v>
      </c>
      <c r="F35" s="37" t="s">
        <v>50</v>
      </c>
      <c r="G35" s="37" t="s">
        <v>184</v>
      </c>
      <c r="H35" s="37" t="s">
        <v>73</v>
      </c>
      <c r="I35" s="37" t="s">
        <v>53</v>
      </c>
      <c r="J35" s="37" t="s">
        <v>185</v>
      </c>
      <c r="K35" s="56" t="s">
        <v>831</v>
      </c>
      <c r="L35" s="49"/>
      <c r="M35" s="49"/>
      <c r="N35" s="108" t="s">
        <v>92</v>
      </c>
      <c r="O35" s="37" t="s">
        <v>832</v>
      </c>
      <c r="P35" s="37" t="s">
        <v>60</v>
      </c>
      <c r="Q35" s="37" t="s">
        <v>132</v>
      </c>
      <c r="R35" s="37" t="s">
        <v>94</v>
      </c>
      <c r="S35" s="127" t="s">
        <v>833</v>
      </c>
      <c r="T35" s="49"/>
      <c r="U35" s="37" t="s">
        <v>605</v>
      </c>
      <c r="V35" s="60">
        <v>46022.0</v>
      </c>
      <c r="W35" s="60">
        <v>46052.0</v>
      </c>
      <c r="X35" s="60">
        <v>46059.0</v>
      </c>
      <c r="Y35" s="37" t="s">
        <v>64</v>
      </c>
      <c r="Z35" s="29"/>
      <c r="AA35" s="54" t="s">
        <v>65</v>
      </c>
      <c r="AB35" s="37" t="s">
        <v>167</v>
      </c>
      <c r="AC35" s="34">
        <v>205000.0</v>
      </c>
      <c r="AD35" s="31">
        <v>0.035</v>
      </c>
      <c r="AE35" s="32">
        <f t="shared" si="14"/>
        <v>7175</v>
      </c>
      <c r="AF35" s="33">
        <v>595.0</v>
      </c>
      <c r="AG35" s="34">
        <v>0.0</v>
      </c>
      <c r="AH35" s="34">
        <v>0.0</v>
      </c>
      <c r="AI35" s="34">
        <v>595.0</v>
      </c>
      <c r="AJ35" s="34">
        <v>0.0</v>
      </c>
      <c r="AK35" s="119">
        <v>0.0</v>
      </c>
      <c r="AL35" s="36">
        <v>0.0</v>
      </c>
      <c r="AM35" s="37" t="s">
        <v>168</v>
      </c>
      <c r="AN35" s="38">
        <f t="shared" si="16"/>
        <v>7770</v>
      </c>
      <c r="AO35" s="39">
        <f t="shared" si="17"/>
        <v>1312.5</v>
      </c>
      <c r="AP35" s="40">
        <f t="shared" si="3"/>
        <v>6457.5</v>
      </c>
      <c r="AQ35" s="111"/>
      <c r="AR35" s="37"/>
      <c r="AS35" s="14"/>
      <c r="AT35" s="37" t="s">
        <v>570</v>
      </c>
      <c r="AU35" s="42"/>
      <c r="AV35" s="133" t="s">
        <v>834</v>
      </c>
      <c r="AW35" s="133" t="s">
        <v>114</v>
      </c>
      <c r="AX35" s="112"/>
      <c r="AY35" s="113" t="s">
        <v>792</v>
      </c>
      <c r="AZ35" s="42"/>
    </row>
    <row r="36">
      <c r="A36" s="37" t="s">
        <v>803</v>
      </c>
      <c r="B36" s="37" t="s">
        <v>47</v>
      </c>
      <c r="C36" s="106" t="s">
        <v>835</v>
      </c>
      <c r="D36" s="37" t="s">
        <v>836</v>
      </c>
      <c r="E36" s="37">
        <v>92509.0</v>
      </c>
      <c r="F36" s="37" t="s">
        <v>50</v>
      </c>
      <c r="G36" s="37" t="s">
        <v>641</v>
      </c>
      <c r="H36" s="37" t="s">
        <v>172</v>
      </c>
      <c r="I36" s="37" t="s">
        <v>53</v>
      </c>
      <c r="J36" s="37" t="s">
        <v>103</v>
      </c>
      <c r="K36" s="56" t="s">
        <v>786</v>
      </c>
      <c r="L36" s="49" t="s">
        <v>787</v>
      </c>
      <c r="M36" s="49" t="s">
        <v>837</v>
      </c>
      <c r="N36" s="108" t="s">
        <v>92</v>
      </c>
      <c r="O36" s="134" t="s">
        <v>143</v>
      </c>
      <c r="P36" s="37" t="s">
        <v>93</v>
      </c>
      <c r="Q36" s="37" t="s">
        <v>132</v>
      </c>
      <c r="R36" s="37" t="s">
        <v>94</v>
      </c>
      <c r="S36" s="37" t="s">
        <v>144</v>
      </c>
      <c r="T36" s="37" t="s">
        <v>144</v>
      </c>
      <c r="U36" s="37" t="s">
        <v>64</v>
      </c>
      <c r="V36" s="60">
        <v>46049.0</v>
      </c>
      <c r="W36" s="60">
        <v>46064.0</v>
      </c>
      <c r="X36" s="60">
        <v>46059.0</v>
      </c>
      <c r="Y36" s="37" t="s">
        <v>64</v>
      </c>
      <c r="Z36" s="29"/>
      <c r="AA36" s="54" t="s">
        <v>65</v>
      </c>
      <c r="AB36" s="37" t="s">
        <v>167</v>
      </c>
      <c r="AC36" s="30">
        <v>400000.0</v>
      </c>
      <c r="AD36" s="31">
        <v>0.03</v>
      </c>
      <c r="AE36" s="32">
        <f t="shared" si="14"/>
        <v>12000</v>
      </c>
      <c r="AF36" s="33" t="s">
        <v>82</v>
      </c>
      <c r="AG36" s="34">
        <v>0.0</v>
      </c>
      <c r="AH36" s="34" t="s">
        <v>82</v>
      </c>
      <c r="AI36" s="34">
        <v>0.0</v>
      </c>
      <c r="AJ36" s="34">
        <v>0.0</v>
      </c>
      <c r="AK36" s="34">
        <v>0.0</v>
      </c>
      <c r="AL36" s="36">
        <v>0.0</v>
      </c>
      <c r="AM36" s="37" t="s">
        <v>168</v>
      </c>
      <c r="AN36" s="38">
        <f t="shared" si="16"/>
        <v>12595</v>
      </c>
      <c r="AO36" s="39">
        <f t="shared" si="17"/>
        <v>1795</v>
      </c>
      <c r="AP36" s="40">
        <f t="shared" si="3"/>
        <v>10800</v>
      </c>
      <c r="AQ36" s="111"/>
      <c r="AR36" s="37"/>
      <c r="AS36" s="14"/>
      <c r="AT36" s="37" t="s">
        <v>570</v>
      </c>
      <c r="AU36" s="42"/>
      <c r="AV36" s="37" t="s">
        <v>838</v>
      </c>
      <c r="AW36" s="37" t="s">
        <v>53</v>
      </c>
      <c r="AX36" s="112"/>
      <c r="AY36" s="113" t="s">
        <v>792</v>
      </c>
      <c r="AZ36" s="42"/>
    </row>
    <row r="37">
      <c r="A37" s="37" t="s">
        <v>803</v>
      </c>
      <c r="B37" s="37" t="s">
        <v>47</v>
      </c>
      <c r="C37" s="106" t="s">
        <v>839</v>
      </c>
      <c r="D37" s="37" t="s">
        <v>769</v>
      </c>
      <c r="E37" s="37">
        <v>92591.0</v>
      </c>
      <c r="F37" s="37" t="s">
        <v>50</v>
      </c>
      <c r="G37" s="37" t="s">
        <v>840</v>
      </c>
      <c r="H37" s="37" t="s">
        <v>172</v>
      </c>
      <c r="I37" s="37" t="s">
        <v>53</v>
      </c>
      <c r="J37" s="37" t="s">
        <v>103</v>
      </c>
      <c r="K37" s="56" t="s">
        <v>841</v>
      </c>
      <c r="L37" s="49" t="s">
        <v>842</v>
      </c>
      <c r="M37" s="49" t="s">
        <v>843</v>
      </c>
      <c r="N37" s="108" t="s">
        <v>844</v>
      </c>
      <c r="O37" s="37" t="s">
        <v>482</v>
      </c>
      <c r="P37" s="37" t="s">
        <v>60</v>
      </c>
      <c r="Q37" s="37" t="s">
        <v>61</v>
      </c>
      <c r="R37" s="37" t="s">
        <v>579</v>
      </c>
      <c r="S37" s="37" t="s">
        <v>845</v>
      </c>
      <c r="T37" s="37" t="s">
        <v>846</v>
      </c>
      <c r="U37" s="37" t="s">
        <v>64</v>
      </c>
      <c r="V37" s="60">
        <v>46035.0</v>
      </c>
      <c r="W37" s="60">
        <v>46056.0</v>
      </c>
      <c r="X37" s="60">
        <v>46062.0</v>
      </c>
      <c r="Y37" s="37" t="s">
        <v>64</v>
      </c>
      <c r="Z37" s="29"/>
      <c r="AA37" s="54" t="s">
        <v>65</v>
      </c>
      <c r="AB37" s="37" t="s">
        <v>167</v>
      </c>
      <c r="AC37" s="30">
        <v>570000.0</v>
      </c>
      <c r="AD37" s="31">
        <v>0.025</v>
      </c>
      <c r="AE37" s="32">
        <f t="shared" si="14"/>
        <v>14250</v>
      </c>
      <c r="AF37" s="33">
        <v>595.0</v>
      </c>
      <c r="AG37" s="34">
        <v>500.0</v>
      </c>
      <c r="AH37" s="34">
        <v>0.0</v>
      </c>
      <c r="AI37" s="34">
        <v>1095.0</v>
      </c>
      <c r="AJ37" s="34">
        <v>0.0</v>
      </c>
      <c r="AK37" s="34">
        <v>0.0</v>
      </c>
      <c r="AL37" s="36">
        <v>0.0</v>
      </c>
      <c r="AM37" s="37" t="s">
        <v>202</v>
      </c>
      <c r="AN37" s="38">
        <f t="shared" si="16"/>
        <v>15345</v>
      </c>
      <c r="AO37" s="39">
        <f t="shared" si="17"/>
        <v>4870</v>
      </c>
      <c r="AP37" s="40">
        <f t="shared" si="3"/>
        <v>9975</v>
      </c>
      <c r="AQ37" s="111"/>
      <c r="AR37" s="37"/>
      <c r="AS37" s="14"/>
      <c r="AT37" s="37" t="s">
        <v>570</v>
      </c>
      <c r="AU37" s="42"/>
      <c r="AV37" s="37" t="s">
        <v>829</v>
      </c>
      <c r="AW37" s="37" t="s">
        <v>572</v>
      </c>
      <c r="AX37" s="112"/>
      <c r="AY37" s="113" t="b">
        <v>1</v>
      </c>
      <c r="AZ37" s="42"/>
    </row>
    <row r="38">
      <c r="A38" s="118" t="s">
        <v>803</v>
      </c>
      <c r="B38" s="116" t="s">
        <v>84</v>
      </c>
      <c r="C38" s="117" t="s">
        <v>847</v>
      </c>
      <c r="D38" s="37" t="s">
        <v>158</v>
      </c>
      <c r="E38" s="37">
        <v>92530.0</v>
      </c>
      <c r="F38" s="37" t="s">
        <v>50</v>
      </c>
      <c r="G38" s="37" t="s">
        <v>72</v>
      </c>
      <c r="H38" s="37" t="s">
        <v>172</v>
      </c>
      <c r="I38" s="37" t="s">
        <v>53</v>
      </c>
      <c r="J38" s="37" t="s">
        <v>54</v>
      </c>
      <c r="K38" s="56" t="s">
        <v>848</v>
      </c>
      <c r="L38" s="49" t="s">
        <v>849</v>
      </c>
      <c r="M38" s="49" t="s">
        <v>850</v>
      </c>
      <c r="N38" s="108" t="s">
        <v>92</v>
      </c>
      <c r="O38" s="37" t="s">
        <v>851</v>
      </c>
      <c r="P38" s="37" t="s">
        <v>60</v>
      </c>
      <c r="Q38" s="37" t="s">
        <v>132</v>
      </c>
      <c r="R38" s="37" t="s">
        <v>94</v>
      </c>
      <c r="S38" s="37" t="s">
        <v>852</v>
      </c>
      <c r="T38" s="37" t="s">
        <v>853</v>
      </c>
      <c r="U38" s="37" t="s">
        <v>605</v>
      </c>
      <c r="V38" s="60">
        <v>45989.0</v>
      </c>
      <c r="W38" s="60">
        <v>46010.0</v>
      </c>
      <c r="X38" s="60">
        <v>46063.0</v>
      </c>
      <c r="Y38" s="37" t="s">
        <v>64</v>
      </c>
      <c r="Z38" s="29"/>
      <c r="AA38" s="54" t="s">
        <v>65</v>
      </c>
      <c r="AB38" s="37" t="s">
        <v>66</v>
      </c>
      <c r="AC38" s="34">
        <v>410000.0</v>
      </c>
      <c r="AD38" s="31">
        <v>0.03</v>
      </c>
      <c r="AE38" s="32">
        <f t="shared" si="14"/>
        <v>12300</v>
      </c>
      <c r="AF38" s="33">
        <v>595.0</v>
      </c>
      <c r="AG38" s="34">
        <v>500.0</v>
      </c>
      <c r="AH38" s="34">
        <v>250.0</v>
      </c>
      <c r="AI38" s="34">
        <v>1350.0</v>
      </c>
      <c r="AJ38" s="34">
        <v>0.0</v>
      </c>
      <c r="AK38" s="35">
        <f>sum(AE38,-AJ38)*0.35</f>
        <v>4305</v>
      </c>
      <c r="AL38" s="36">
        <v>0.0</v>
      </c>
      <c r="AM38" s="37" t="s">
        <v>84</v>
      </c>
      <c r="AN38" s="38">
        <f t="shared" si="16"/>
        <v>9345</v>
      </c>
      <c r="AO38" s="39">
        <f t="shared" si="17"/>
        <v>4592.5</v>
      </c>
      <c r="AP38" s="40">
        <f t="shared" si="3"/>
        <v>4002.5</v>
      </c>
      <c r="AQ38" s="111"/>
      <c r="AR38" s="37"/>
      <c r="AS38" s="14"/>
      <c r="AT38" s="37" t="s">
        <v>570</v>
      </c>
      <c r="AU38" s="42"/>
      <c r="AV38" s="37" t="s">
        <v>829</v>
      </c>
      <c r="AW38" s="37" t="s">
        <v>572</v>
      </c>
      <c r="AX38" s="112"/>
      <c r="AY38" s="113" t="b">
        <v>1</v>
      </c>
      <c r="AZ38" s="42"/>
    </row>
    <row r="39">
      <c r="A39" s="37" t="s">
        <v>803</v>
      </c>
      <c r="B39" s="37" t="s">
        <v>47</v>
      </c>
      <c r="C39" s="106" t="s">
        <v>854</v>
      </c>
      <c r="D39" s="37" t="s">
        <v>855</v>
      </c>
      <c r="E39" s="37">
        <v>92256.0</v>
      </c>
      <c r="F39" s="37" t="s">
        <v>101</v>
      </c>
      <c r="G39" s="37" t="s">
        <v>300</v>
      </c>
      <c r="H39" s="37" t="s">
        <v>172</v>
      </c>
      <c r="I39" s="37" t="s">
        <v>53</v>
      </c>
      <c r="J39" s="37" t="s">
        <v>103</v>
      </c>
      <c r="K39" s="56" t="s">
        <v>856</v>
      </c>
      <c r="L39" s="49" t="s">
        <v>857</v>
      </c>
      <c r="M39" s="108" t="s">
        <v>858</v>
      </c>
      <c r="N39" s="108" t="s">
        <v>304</v>
      </c>
      <c r="O39" s="37" t="s">
        <v>482</v>
      </c>
      <c r="P39" s="37" t="s">
        <v>60</v>
      </c>
      <c r="Q39" s="37" t="s">
        <v>61</v>
      </c>
      <c r="R39" s="37" t="s">
        <v>859</v>
      </c>
      <c r="S39" s="37" t="s">
        <v>860</v>
      </c>
      <c r="T39" s="127" t="s">
        <v>861</v>
      </c>
      <c r="U39" s="37" t="s">
        <v>64</v>
      </c>
      <c r="V39" s="60">
        <v>46033.0</v>
      </c>
      <c r="W39" s="60">
        <v>46063.0</v>
      </c>
      <c r="X39" s="60">
        <v>46063.0</v>
      </c>
      <c r="Y39" s="37" t="s">
        <v>64</v>
      </c>
      <c r="Z39" s="29"/>
      <c r="AA39" s="54" t="s">
        <v>65</v>
      </c>
      <c r="AB39" s="37" t="s">
        <v>167</v>
      </c>
      <c r="AC39" s="30">
        <v>600000.0</v>
      </c>
      <c r="AD39" s="31">
        <v>0.025</v>
      </c>
      <c r="AE39" s="32">
        <f t="shared" si="14"/>
        <v>15000</v>
      </c>
      <c r="AF39" s="33">
        <v>595.0</v>
      </c>
      <c r="AG39" s="34">
        <v>500.0</v>
      </c>
      <c r="AH39" s="34">
        <v>0.0</v>
      </c>
      <c r="AI39" s="34">
        <v>1095.0</v>
      </c>
      <c r="AJ39" s="34">
        <v>0.0</v>
      </c>
      <c r="AK39" s="34">
        <v>0.0</v>
      </c>
      <c r="AL39" s="36">
        <v>0.0</v>
      </c>
      <c r="AM39" s="37" t="s">
        <v>202</v>
      </c>
      <c r="AN39" s="38">
        <f t="shared" si="16"/>
        <v>16095</v>
      </c>
      <c r="AO39" s="39">
        <f t="shared" si="17"/>
        <v>5095</v>
      </c>
      <c r="AP39" s="40">
        <f t="shared" si="3"/>
        <v>10500</v>
      </c>
      <c r="AQ39" s="111"/>
      <c r="AR39" s="37"/>
      <c r="AS39" s="14"/>
      <c r="AT39" s="37" t="s">
        <v>570</v>
      </c>
      <c r="AU39" s="42"/>
      <c r="AV39" s="37" t="s">
        <v>829</v>
      </c>
      <c r="AW39" s="37" t="s">
        <v>572</v>
      </c>
      <c r="AX39" s="112"/>
      <c r="AY39" s="113" t="b">
        <v>1</v>
      </c>
      <c r="AZ39" s="42"/>
    </row>
    <row r="40">
      <c r="A40" s="37" t="s">
        <v>803</v>
      </c>
      <c r="B40" s="37" t="s">
        <v>47</v>
      </c>
      <c r="C40" s="106" t="s">
        <v>862</v>
      </c>
      <c r="D40" s="37" t="s">
        <v>863</v>
      </c>
      <c r="E40" s="37">
        <v>93446.0</v>
      </c>
      <c r="F40" s="37" t="s">
        <v>864</v>
      </c>
      <c r="G40" s="37" t="s">
        <v>840</v>
      </c>
      <c r="H40" s="37" t="s">
        <v>172</v>
      </c>
      <c r="I40" s="37" t="s">
        <v>53</v>
      </c>
      <c r="J40" s="37" t="s">
        <v>103</v>
      </c>
      <c r="K40" s="56" t="s">
        <v>865</v>
      </c>
      <c r="L40" s="107"/>
      <c r="M40" s="108" t="s">
        <v>866</v>
      </c>
      <c r="N40" s="108" t="s">
        <v>859</v>
      </c>
      <c r="O40" s="37" t="s">
        <v>482</v>
      </c>
      <c r="P40" s="37" t="s">
        <v>93</v>
      </c>
      <c r="Q40" s="37" t="s">
        <v>61</v>
      </c>
      <c r="R40" s="37" t="s">
        <v>859</v>
      </c>
      <c r="S40" s="37" t="s">
        <v>867</v>
      </c>
      <c r="T40" s="37" t="s">
        <v>868</v>
      </c>
      <c r="U40" s="37" t="s">
        <v>64</v>
      </c>
      <c r="V40" s="60">
        <v>46037.0</v>
      </c>
      <c r="W40" s="60">
        <v>46069.0</v>
      </c>
      <c r="X40" s="28">
        <v>46063.0</v>
      </c>
      <c r="Y40" s="37" t="s">
        <v>64</v>
      </c>
      <c r="Z40" s="29"/>
      <c r="AA40" s="54" t="s">
        <v>65</v>
      </c>
      <c r="AB40" s="37" t="s">
        <v>167</v>
      </c>
      <c r="AC40" s="30">
        <v>560000.0</v>
      </c>
      <c r="AD40" s="31">
        <v>0.015</v>
      </c>
      <c r="AE40" s="32">
        <f t="shared" si="14"/>
        <v>8400</v>
      </c>
      <c r="AF40" s="33">
        <v>595.0</v>
      </c>
      <c r="AG40" s="34">
        <v>500.0</v>
      </c>
      <c r="AH40" s="34">
        <v>0.0</v>
      </c>
      <c r="AI40" s="34">
        <v>1095.0</v>
      </c>
      <c r="AJ40" s="34">
        <v>547.5</v>
      </c>
      <c r="AK40" s="34">
        <v>0.0</v>
      </c>
      <c r="AL40" s="36">
        <v>0.0</v>
      </c>
      <c r="AM40" s="37" t="s">
        <v>202</v>
      </c>
      <c r="AN40" s="38">
        <f t="shared" si="16"/>
        <v>8947.5</v>
      </c>
      <c r="AO40" s="39">
        <f t="shared" si="17"/>
        <v>2950.75</v>
      </c>
      <c r="AP40" s="40">
        <f t="shared" si="3"/>
        <v>5496.75</v>
      </c>
      <c r="AQ40" s="111"/>
      <c r="AR40" s="37"/>
      <c r="AS40" s="14"/>
      <c r="AT40" s="37" t="s">
        <v>570</v>
      </c>
      <c r="AU40" s="42"/>
      <c r="AV40" s="37" t="s">
        <v>869</v>
      </c>
      <c r="AW40" s="37" t="s">
        <v>572</v>
      </c>
      <c r="AX40" s="112"/>
      <c r="AY40" s="113" t="b">
        <v>1</v>
      </c>
      <c r="AZ40" s="42"/>
    </row>
    <row r="41">
      <c r="A41" s="37" t="s">
        <v>803</v>
      </c>
      <c r="B41" s="37" t="s">
        <v>84</v>
      </c>
      <c r="C41" s="106" t="s">
        <v>870</v>
      </c>
      <c r="D41" s="37" t="s">
        <v>760</v>
      </c>
      <c r="E41" s="37">
        <v>92584.0</v>
      </c>
      <c r="F41" s="37" t="s">
        <v>50</v>
      </c>
      <c r="G41" s="37" t="s">
        <v>102</v>
      </c>
      <c r="H41" s="37" t="s">
        <v>172</v>
      </c>
      <c r="I41" s="37" t="s">
        <v>53</v>
      </c>
      <c r="J41" s="37" t="s">
        <v>103</v>
      </c>
      <c r="K41" s="54" t="s">
        <v>871</v>
      </c>
      <c r="L41" s="54" t="s">
        <v>872</v>
      </c>
      <c r="M41" s="56" t="s">
        <v>873</v>
      </c>
      <c r="N41" s="108" t="s">
        <v>92</v>
      </c>
      <c r="O41" s="37" t="s">
        <v>874</v>
      </c>
      <c r="P41" s="37" t="s">
        <v>60</v>
      </c>
      <c r="Q41" s="37" t="s">
        <v>132</v>
      </c>
      <c r="R41" s="37" t="s">
        <v>94</v>
      </c>
      <c r="S41" s="37" t="s">
        <v>875</v>
      </c>
      <c r="T41" s="37" t="s">
        <v>876</v>
      </c>
      <c r="U41" s="37" t="s">
        <v>64</v>
      </c>
      <c r="V41" s="60">
        <v>46037.0</v>
      </c>
      <c r="W41" s="60">
        <v>46052.0</v>
      </c>
      <c r="X41" s="60">
        <v>46064.0</v>
      </c>
      <c r="Y41" s="37" t="s">
        <v>64</v>
      </c>
      <c r="Z41" s="29"/>
      <c r="AA41" s="54" t="s">
        <v>65</v>
      </c>
      <c r="AB41" s="37" t="s">
        <v>66</v>
      </c>
      <c r="AC41" s="30">
        <v>720000.0</v>
      </c>
      <c r="AD41" s="31">
        <v>0.035</v>
      </c>
      <c r="AE41" s="32">
        <f t="shared" si="14"/>
        <v>25200</v>
      </c>
      <c r="AF41" s="33">
        <v>695.0</v>
      </c>
      <c r="AG41" s="34" t="s">
        <v>111</v>
      </c>
      <c r="AH41" s="34" t="s">
        <v>111</v>
      </c>
      <c r="AI41" s="34">
        <v>1000.0</v>
      </c>
      <c r="AJ41" s="34">
        <v>862.0</v>
      </c>
      <c r="AK41" s="35">
        <f>sum(AE41)*0.4</f>
        <v>10080</v>
      </c>
      <c r="AL41" s="36">
        <v>0.0</v>
      </c>
      <c r="AM41" s="37" t="s">
        <v>84</v>
      </c>
      <c r="AN41" s="38">
        <f t="shared" si="16"/>
        <v>14853</v>
      </c>
      <c r="AO41" s="39">
        <f t="shared" si="17"/>
        <v>7724</v>
      </c>
      <c r="AP41" s="40">
        <f t="shared" si="3"/>
        <v>7129</v>
      </c>
      <c r="AQ41" s="111"/>
      <c r="AR41" s="37"/>
      <c r="AS41" s="14"/>
      <c r="AT41" s="37" t="s">
        <v>570</v>
      </c>
      <c r="AU41" s="42"/>
      <c r="AV41" s="37" t="s">
        <v>869</v>
      </c>
      <c r="AW41" s="37" t="s">
        <v>572</v>
      </c>
      <c r="AX41" s="112"/>
      <c r="AY41" s="113" t="b">
        <v>1</v>
      </c>
      <c r="AZ41" s="42"/>
    </row>
    <row r="42">
      <c r="A42" s="37" t="s">
        <v>803</v>
      </c>
      <c r="B42" s="37" t="s">
        <v>47</v>
      </c>
      <c r="C42" s="106" t="s">
        <v>877</v>
      </c>
      <c r="D42" s="37" t="s">
        <v>316</v>
      </c>
      <c r="E42" s="37">
        <v>92563.0</v>
      </c>
      <c r="F42" s="37" t="s">
        <v>50</v>
      </c>
      <c r="G42" s="120" t="s">
        <v>742</v>
      </c>
      <c r="H42" s="37" t="s">
        <v>172</v>
      </c>
      <c r="I42" s="37" t="s">
        <v>53</v>
      </c>
      <c r="J42" s="37" t="s">
        <v>103</v>
      </c>
      <c r="K42" s="135" t="s">
        <v>878</v>
      </c>
      <c r="L42" s="49" t="s">
        <v>879</v>
      </c>
      <c r="M42" s="108" t="s">
        <v>880</v>
      </c>
      <c r="N42" s="108" t="s">
        <v>881</v>
      </c>
      <c r="O42" s="37" t="s">
        <v>645</v>
      </c>
      <c r="P42" s="37" t="s">
        <v>93</v>
      </c>
      <c r="Q42" s="37" t="s">
        <v>61</v>
      </c>
      <c r="R42" s="37" t="s">
        <v>672</v>
      </c>
      <c r="S42" s="37" t="s">
        <v>882</v>
      </c>
      <c r="T42" s="37" t="s">
        <v>883</v>
      </c>
      <c r="U42" s="37" t="s">
        <v>64</v>
      </c>
      <c r="V42" s="60">
        <v>46043.0</v>
      </c>
      <c r="W42" s="60">
        <v>46064.0</v>
      </c>
      <c r="X42" s="60">
        <v>46064.0</v>
      </c>
      <c r="Y42" s="37" t="s">
        <v>64</v>
      </c>
      <c r="Z42" s="29"/>
      <c r="AA42" s="54" t="s">
        <v>414</v>
      </c>
      <c r="AB42" s="37" t="s">
        <v>167</v>
      </c>
      <c r="AC42" s="30">
        <v>520000.0</v>
      </c>
      <c r="AD42" s="31">
        <v>0.02</v>
      </c>
      <c r="AE42" s="32">
        <f t="shared" si="14"/>
        <v>10400</v>
      </c>
      <c r="AF42" s="33">
        <v>595.0</v>
      </c>
      <c r="AG42" s="34" t="s">
        <v>111</v>
      </c>
      <c r="AH42" s="34">
        <v>0.0</v>
      </c>
      <c r="AI42" s="34">
        <v>595.0</v>
      </c>
      <c r="AJ42" s="34">
        <v>0.0</v>
      </c>
      <c r="AK42" s="34">
        <v>0.0</v>
      </c>
      <c r="AL42" s="36">
        <v>0.0</v>
      </c>
      <c r="AM42" s="37" t="s">
        <v>202</v>
      </c>
      <c r="AN42" s="38">
        <f t="shared" si="16"/>
        <v>10995</v>
      </c>
      <c r="AO42" s="39">
        <f t="shared" si="17"/>
        <v>3715</v>
      </c>
      <c r="AP42" s="40">
        <f t="shared" si="3"/>
        <v>7280</v>
      </c>
      <c r="AQ42" s="111"/>
      <c r="AR42" s="37"/>
      <c r="AS42" s="14"/>
      <c r="AT42" s="37" t="s">
        <v>570</v>
      </c>
      <c r="AU42" s="42"/>
      <c r="AV42" s="37" t="s">
        <v>884</v>
      </c>
      <c r="AW42" s="37" t="s">
        <v>572</v>
      </c>
      <c r="AX42" s="112"/>
      <c r="AY42" s="113" t="b">
        <v>1</v>
      </c>
      <c r="AZ42" s="42"/>
    </row>
    <row r="43">
      <c r="A43" s="37" t="s">
        <v>803</v>
      </c>
      <c r="B43" s="37" t="s">
        <v>47</v>
      </c>
      <c r="C43" s="106" t="s">
        <v>885</v>
      </c>
      <c r="D43" s="37" t="s">
        <v>71</v>
      </c>
      <c r="E43" s="37">
        <v>92543.0</v>
      </c>
      <c r="F43" s="37" t="s">
        <v>50</v>
      </c>
      <c r="G43" s="37" t="s">
        <v>719</v>
      </c>
      <c r="H43" s="37" t="s">
        <v>172</v>
      </c>
      <c r="I43" s="37" t="s">
        <v>53</v>
      </c>
      <c r="J43" s="37" t="s">
        <v>54</v>
      </c>
      <c r="K43" s="56" t="s">
        <v>886</v>
      </c>
      <c r="L43" s="49" t="s">
        <v>887</v>
      </c>
      <c r="M43" s="136" t="s">
        <v>888</v>
      </c>
      <c r="N43" s="108" t="s">
        <v>889</v>
      </c>
      <c r="O43" s="37" t="s">
        <v>890</v>
      </c>
      <c r="P43" s="37" t="s">
        <v>197</v>
      </c>
      <c r="Q43" s="37" t="s">
        <v>61</v>
      </c>
      <c r="R43" s="37" t="s">
        <v>79</v>
      </c>
      <c r="S43" s="37" t="s">
        <v>891</v>
      </c>
      <c r="T43" s="37" t="s">
        <v>892</v>
      </c>
      <c r="U43" s="37" t="s">
        <v>64</v>
      </c>
      <c r="V43" s="60">
        <v>46046.0</v>
      </c>
      <c r="W43" s="60">
        <v>46063.0</v>
      </c>
      <c r="X43" s="60">
        <v>46064.0</v>
      </c>
      <c r="Y43" s="37" t="s">
        <v>64</v>
      </c>
      <c r="Z43" s="29"/>
      <c r="AA43" s="54" t="s">
        <v>65</v>
      </c>
      <c r="AB43" s="37" t="s">
        <v>66</v>
      </c>
      <c r="AC43" s="30">
        <v>650000.0</v>
      </c>
      <c r="AD43" s="31">
        <v>0.02</v>
      </c>
      <c r="AE43" s="32">
        <f t="shared" si="14"/>
        <v>13000</v>
      </c>
      <c r="AF43" s="33">
        <v>595.0</v>
      </c>
      <c r="AG43" s="34">
        <v>500.0</v>
      </c>
      <c r="AH43" s="34">
        <v>0.0</v>
      </c>
      <c r="AI43" s="34">
        <v>1095.0</v>
      </c>
      <c r="AJ43" s="34">
        <v>0.0</v>
      </c>
      <c r="AK43" s="35">
        <f>sum(AE43,-AJ43)*0.4</f>
        <v>5200</v>
      </c>
      <c r="AL43" s="36">
        <v>0.0</v>
      </c>
      <c r="AM43" s="37" t="s">
        <v>47</v>
      </c>
      <c r="AN43" s="38">
        <f t="shared" si="16"/>
        <v>8895</v>
      </c>
      <c r="AO43" s="39">
        <f t="shared" si="17"/>
        <v>4495</v>
      </c>
      <c r="AP43" s="40">
        <f t="shared" si="3"/>
        <v>3900</v>
      </c>
      <c r="AQ43" s="111"/>
      <c r="AR43" s="37"/>
      <c r="AS43" s="14"/>
      <c r="AT43" s="37" t="s">
        <v>570</v>
      </c>
      <c r="AU43" s="42"/>
      <c r="AV43" s="37" t="s">
        <v>571</v>
      </c>
      <c r="AW43" s="37" t="s">
        <v>572</v>
      </c>
      <c r="AX43" s="112"/>
      <c r="AY43" s="113" t="b">
        <v>1</v>
      </c>
      <c r="AZ43" s="42"/>
    </row>
    <row r="44">
      <c r="A44" s="37" t="s">
        <v>803</v>
      </c>
      <c r="B44" s="37" t="s">
        <v>84</v>
      </c>
      <c r="C44" s="106" t="s">
        <v>893</v>
      </c>
      <c r="D44" s="37" t="s">
        <v>894</v>
      </c>
      <c r="E44" s="37">
        <v>92024.0</v>
      </c>
      <c r="F44" s="37" t="s">
        <v>87</v>
      </c>
      <c r="G44" s="37" t="s">
        <v>184</v>
      </c>
      <c r="H44" s="37" t="s">
        <v>73</v>
      </c>
      <c r="I44" s="37" t="s">
        <v>53</v>
      </c>
      <c r="J44" s="37" t="s">
        <v>103</v>
      </c>
      <c r="K44" s="54" t="s">
        <v>895</v>
      </c>
      <c r="L44" s="54" t="s">
        <v>896</v>
      </c>
      <c r="M44" s="54" t="s">
        <v>897</v>
      </c>
      <c r="N44" s="108" t="s">
        <v>92</v>
      </c>
      <c r="O44" s="134" t="s">
        <v>143</v>
      </c>
      <c r="P44" s="37" t="s">
        <v>898</v>
      </c>
      <c r="Q44" s="37" t="s">
        <v>132</v>
      </c>
      <c r="R44" s="37" t="s">
        <v>602</v>
      </c>
      <c r="S44" s="37" t="s">
        <v>899</v>
      </c>
      <c r="T44" s="37" t="s">
        <v>900</v>
      </c>
      <c r="U44" s="37" t="s">
        <v>64</v>
      </c>
      <c r="V44" s="60">
        <v>46039.0</v>
      </c>
      <c r="W44" s="60">
        <v>46049.0</v>
      </c>
      <c r="X44" s="60">
        <v>46065.0</v>
      </c>
      <c r="Y44" s="37" t="s">
        <v>64</v>
      </c>
      <c r="Z44" s="29"/>
      <c r="AA44" s="54" t="s">
        <v>124</v>
      </c>
      <c r="AB44" s="37" t="s">
        <v>901</v>
      </c>
      <c r="AC44" s="30">
        <v>399999.0</v>
      </c>
      <c r="AD44" s="31">
        <v>0.03</v>
      </c>
      <c r="AE44" s="32">
        <f t="shared" si="14"/>
        <v>11999.97</v>
      </c>
      <c r="AF44" s="33">
        <v>695.0</v>
      </c>
      <c r="AG44" s="34">
        <v>0.0</v>
      </c>
      <c r="AH44" s="34" t="s">
        <v>53</v>
      </c>
      <c r="AI44" s="34">
        <v>0.0</v>
      </c>
      <c r="AJ44" s="34">
        <v>6000.0</v>
      </c>
      <c r="AK44" s="34">
        <v>0.0</v>
      </c>
      <c r="AL44" s="36">
        <v>0.0</v>
      </c>
      <c r="AM44" s="37" t="s">
        <v>681</v>
      </c>
      <c r="AN44" s="38">
        <f>if(AF44=595, SUM(AE44+AI44-AK44-AJ44),sum(AE44-AJ44-AK44,695))</f>
        <v>6694.97</v>
      </c>
      <c r="AO44" s="39">
        <f>if(AM44="Buyer",-sum((-AE44+AK44+AJ44)*50%),if(AM44="Seller",-sum((-AE44+AK44+AJ44)*50%),-sum(((-AE44+AK44+AJ44)*((100-right(AM44,2))/100)))))+if(AF44&lt;&gt;595,695, sum(AF44))</f>
        <v>3094.988</v>
      </c>
      <c r="AP44" s="40">
        <f t="shared" si="3"/>
        <v>3599.982</v>
      </c>
      <c r="AQ44" s="111"/>
      <c r="AR44" s="37"/>
      <c r="AS44" s="14"/>
      <c r="AT44" s="37" t="s">
        <v>570</v>
      </c>
      <c r="AU44" s="42"/>
      <c r="AV44" s="37" t="s">
        <v>902</v>
      </c>
      <c r="AW44" s="37" t="s">
        <v>572</v>
      </c>
      <c r="AX44" s="113" t="s">
        <v>903</v>
      </c>
      <c r="AY44" s="113" t="b">
        <v>1</v>
      </c>
      <c r="AZ44" s="42"/>
    </row>
    <row r="45">
      <c r="A45" s="37" t="s">
        <v>803</v>
      </c>
      <c r="B45" s="37" t="s">
        <v>84</v>
      </c>
      <c r="C45" s="106" t="s">
        <v>904</v>
      </c>
      <c r="D45" s="37" t="s">
        <v>769</v>
      </c>
      <c r="E45" s="37">
        <v>92592.0</v>
      </c>
      <c r="F45" s="37" t="s">
        <v>50</v>
      </c>
      <c r="G45" s="37" t="s">
        <v>139</v>
      </c>
      <c r="H45" s="37" t="s">
        <v>73</v>
      </c>
      <c r="I45" s="37" t="s">
        <v>371</v>
      </c>
      <c r="J45" s="37" t="s">
        <v>103</v>
      </c>
      <c r="K45" s="56" t="s">
        <v>905</v>
      </c>
      <c r="L45" s="49" t="s">
        <v>906</v>
      </c>
      <c r="M45" s="127" t="s">
        <v>907</v>
      </c>
      <c r="N45" s="108" t="s">
        <v>92</v>
      </c>
      <c r="O45" s="37" t="s">
        <v>908</v>
      </c>
      <c r="P45" s="37" t="s">
        <v>60</v>
      </c>
      <c r="Q45" s="37" t="s">
        <v>132</v>
      </c>
      <c r="R45" s="37" t="s">
        <v>94</v>
      </c>
      <c r="S45" s="37" t="s">
        <v>909</v>
      </c>
      <c r="T45" s="37" t="s">
        <v>910</v>
      </c>
      <c r="U45" s="37" t="s">
        <v>64</v>
      </c>
      <c r="V45" s="60">
        <v>46031.0</v>
      </c>
      <c r="W45" s="60">
        <v>46069.0</v>
      </c>
      <c r="X45" s="60">
        <v>46066.0</v>
      </c>
      <c r="Y45" s="37" t="s">
        <v>64</v>
      </c>
      <c r="Z45" s="29"/>
      <c r="AA45" s="54" t="s">
        <v>65</v>
      </c>
      <c r="AB45" s="37" t="s">
        <v>145</v>
      </c>
      <c r="AC45" s="30">
        <v>685000.0</v>
      </c>
      <c r="AD45" s="31">
        <v>0.015</v>
      </c>
      <c r="AE45" s="32">
        <f t="shared" si="14"/>
        <v>10275</v>
      </c>
      <c r="AF45" s="33">
        <v>595.0</v>
      </c>
      <c r="AG45" s="34">
        <v>500.0</v>
      </c>
      <c r="AH45" s="34">
        <v>250.0</v>
      </c>
      <c r="AI45" s="34">
        <v>695.0</v>
      </c>
      <c r="AJ45" s="34">
        <v>400.0</v>
      </c>
      <c r="AK45" s="35">
        <f>sum(AE45,-AJ45)*0.4</f>
        <v>3950</v>
      </c>
      <c r="AL45" s="36">
        <v>0.0</v>
      </c>
      <c r="AM45" s="37" t="s">
        <v>84</v>
      </c>
      <c r="AN45" s="38">
        <f>if(AF45=595, SUM(AE45+AI45-AK45-AJ45),sum(AE45-AJ45-AK45,595))</f>
        <v>6620</v>
      </c>
      <c r="AO45" s="39">
        <f>if(AM45="Buyer",-sum((-AE45+AK45+AJ45)*50%),if(AM45="Seller",-sum((-AE45+AK45+AJ45)*50%),-sum(((-AE45+AK45+AJ45)*((100-right(AM45,2))/100)))))+if(AF45&lt;&gt;595,595, sum(AF45))</f>
        <v>3557.5</v>
      </c>
      <c r="AP45" s="40">
        <f t="shared" si="3"/>
        <v>2312.5</v>
      </c>
      <c r="AQ45" s="111"/>
      <c r="AR45" s="37"/>
      <c r="AS45" s="14"/>
      <c r="AT45" s="37" t="s">
        <v>570</v>
      </c>
      <c r="AU45" s="42"/>
      <c r="AV45" s="130" t="s">
        <v>911</v>
      </c>
      <c r="AW45" s="37" t="s">
        <v>572</v>
      </c>
      <c r="AX45" s="113"/>
      <c r="AY45" s="113" t="b">
        <v>1</v>
      </c>
      <c r="AZ45" s="42"/>
    </row>
    <row r="46">
      <c r="A46" s="37" t="s">
        <v>803</v>
      </c>
      <c r="B46" s="37" t="s">
        <v>84</v>
      </c>
      <c r="C46" s="106" t="s">
        <v>912</v>
      </c>
      <c r="D46" s="37" t="s">
        <v>659</v>
      </c>
      <c r="E46" s="37">
        <v>92407.0</v>
      </c>
      <c r="F46" s="37" t="s">
        <v>101</v>
      </c>
      <c r="G46" s="37" t="s">
        <v>376</v>
      </c>
      <c r="H46" s="37" t="s">
        <v>52</v>
      </c>
      <c r="I46" s="37" t="s">
        <v>53</v>
      </c>
      <c r="J46" s="37" t="s">
        <v>103</v>
      </c>
      <c r="K46" s="56" t="s">
        <v>786</v>
      </c>
      <c r="L46" s="107"/>
      <c r="M46" s="49" t="s">
        <v>913</v>
      </c>
      <c r="N46" s="108" t="s">
        <v>92</v>
      </c>
      <c r="O46" s="37" t="s">
        <v>914</v>
      </c>
      <c r="P46" s="37" t="s">
        <v>60</v>
      </c>
      <c r="Q46" s="37" t="s">
        <v>132</v>
      </c>
      <c r="R46" s="37" t="s">
        <v>94</v>
      </c>
      <c r="S46" s="37" t="s">
        <v>915</v>
      </c>
      <c r="T46" s="37" t="s">
        <v>916</v>
      </c>
      <c r="U46" s="37" t="s">
        <v>64</v>
      </c>
      <c r="V46" s="60">
        <v>46045.0</v>
      </c>
      <c r="W46" s="60">
        <v>46066.0</v>
      </c>
      <c r="X46" s="60">
        <v>46066.0</v>
      </c>
      <c r="Y46" s="37" t="s">
        <v>64</v>
      </c>
      <c r="Z46" s="29"/>
      <c r="AA46" s="54" t="s">
        <v>65</v>
      </c>
      <c r="AB46" s="37" t="s">
        <v>262</v>
      </c>
      <c r="AC46" s="30">
        <v>530000.0</v>
      </c>
      <c r="AD46" s="51">
        <v>0.0</v>
      </c>
      <c r="AE46" s="62">
        <v>589.0</v>
      </c>
      <c r="AF46" s="33" t="s">
        <v>93</v>
      </c>
      <c r="AG46" s="34">
        <v>0.0</v>
      </c>
      <c r="AH46" s="34" t="s">
        <v>53</v>
      </c>
      <c r="AI46" s="34">
        <v>0.0</v>
      </c>
      <c r="AJ46" s="34">
        <v>0.0</v>
      </c>
      <c r="AK46" s="34">
        <v>0.0</v>
      </c>
      <c r="AL46" s="36">
        <v>0.0</v>
      </c>
      <c r="AM46" s="37" t="s">
        <v>84</v>
      </c>
      <c r="AN46" s="30">
        <v>589.0</v>
      </c>
      <c r="AO46" s="110">
        <v>589.0</v>
      </c>
      <c r="AP46" s="40">
        <f t="shared" si="3"/>
        <v>0</v>
      </c>
      <c r="AQ46" s="111"/>
      <c r="AR46" s="37"/>
      <c r="AS46" s="14"/>
      <c r="AT46" s="37" t="s">
        <v>570</v>
      </c>
      <c r="AU46" s="42"/>
      <c r="AV46" s="37" t="s">
        <v>917</v>
      </c>
      <c r="AW46" s="37" t="s">
        <v>53</v>
      </c>
      <c r="AX46" s="112"/>
      <c r="AY46" s="113" t="s">
        <v>792</v>
      </c>
      <c r="AZ46" s="42"/>
    </row>
    <row r="47">
      <c r="A47" s="37" t="s">
        <v>803</v>
      </c>
      <c r="B47" s="37" t="s">
        <v>84</v>
      </c>
      <c r="C47" s="106" t="s">
        <v>918</v>
      </c>
      <c r="D47" s="37" t="s">
        <v>794</v>
      </c>
      <c r="E47" s="37">
        <v>92506.0</v>
      </c>
      <c r="F47" s="37" t="s">
        <v>50</v>
      </c>
      <c r="G47" s="37" t="s">
        <v>399</v>
      </c>
      <c r="H47" s="37" t="s">
        <v>73</v>
      </c>
      <c r="I47" s="37" t="s">
        <v>371</v>
      </c>
      <c r="J47" s="37" t="s">
        <v>103</v>
      </c>
      <c r="K47" s="137" t="s">
        <v>919</v>
      </c>
      <c r="L47" s="137" t="s">
        <v>920</v>
      </c>
      <c r="M47" s="137" t="s">
        <v>921</v>
      </c>
      <c r="N47" s="108" t="s">
        <v>92</v>
      </c>
      <c r="O47" s="37" t="s">
        <v>922</v>
      </c>
      <c r="P47" s="37"/>
      <c r="Q47" s="37" t="s">
        <v>132</v>
      </c>
      <c r="R47" s="37" t="s">
        <v>94</v>
      </c>
      <c r="S47" s="37" t="s">
        <v>923</v>
      </c>
      <c r="T47" s="37" t="s">
        <v>924</v>
      </c>
      <c r="U47" s="37" t="s">
        <v>64</v>
      </c>
      <c r="V47" s="60">
        <v>46028.0</v>
      </c>
      <c r="W47" s="60">
        <v>46072.0</v>
      </c>
      <c r="X47" s="60">
        <v>46070.0</v>
      </c>
      <c r="Y47" s="37" t="s">
        <v>64</v>
      </c>
      <c r="Z47" s="29"/>
      <c r="AA47" s="54" t="s">
        <v>65</v>
      </c>
      <c r="AB47" s="37" t="s">
        <v>110</v>
      </c>
      <c r="AC47" s="30">
        <v>525000.0</v>
      </c>
      <c r="AD47" s="31">
        <v>0.02</v>
      </c>
      <c r="AE47" s="32">
        <f>SUM(AC47*AD47)</f>
        <v>10500</v>
      </c>
      <c r="AF47" s="33">
        <v>695.0</v>
      </c>
      <c r="AG47" s="34">
        <v>0.0</v>
      </c>
      <c r="AH47" s="34" t="s">
        <v>53</v>
      </c>
      <c r="AI47" s="34">
        <v>0.0</v>
      </c>
      <c r="AJ47" s="34">
        <v>0.0</v>
      </c>
      <c r="AK47" s="34">
        <f>AC47*0.01</f>
        <v>5250</v>
      </c>
      <c r="AL47" s="36">
        <v>0.0</v>
      </c>
      <c r="AM47" s="120" t="s">
        <v>784</v>
      </c>
      <c r="AN47" s="38">
        <f>if(AF47=595, SUM(AE47+AI47-AK47-AJ47),sum(AE47-AJ47-AK47,695))</f>
        <v>5945</v>
      </c>
      <c r="AO47" s="39">
        <f>if(AM47="Buyer",-sum((-AE47+AK47+AJ47)*50%),if(AM47="Seller",-sum((-AE47+AK47+AJ47)*50%),-sum(((-AE47+AK47+AJ47)*((100-right(AM47,2))/100)))))+if(AF47&lt;&gt;595,695, sum(AF47))</f>
        <v>3845</v>
      </c>
      <c r="AP47" s="40">
        <f t="shared" si="3"/>
        <v>2100</v>
      </c>
      <c r="AQ47" s="111"/>
      <c r="AR47" s="37"/>
      <c r="AS47" s="14"/>
      <c r="AT47" s="37" t="s">
        <v>570</v>
      </c>
      <c r="AU47" s="42"/>
      <c r="AV47" s="37" t="s">
        <v>925</v>
      </c>
      <c r="AW47" s="37" t="s">
        <v>572</v>
      </c>
      <c r="AX47" s="112"/>
      <c r="AY47" s="113" t="b">
        <v>1</v>
      </c>
      <c r="AZ47" s="42"/>
    </row>
    <row r="48">
      <c r="A48" s="37" t="s">
        <v>803</v>
      </c>
      <c r="B48" s="37" t="s">
        <v>84</v>
      </c>
      <c r="C48" s="106" t="s">
        <v>926</v>
      </c>
      <c r="D48" s="37" t="s">
        <v>927</v>
      </c>
      <c r="E48" s="37">
        <v>92211.0</v>
      </c>
      <c r="F48" s="37" t="s">
        <v>50</v>
      </c>
      <c r="G48" s="37" t="s">
        <v>928</v>
      </c>
      <c r="H48" s="37" t="s">
        <v>52</v>
      </c>
      <c r="I48" s="37" t="s">
        <v>53</v>
      </c>
      <c r="J48" s="37" t="s">
        <v>54</v>
      </c>
      <c r="K48" s="56" t="s">
        <v>929</v>
      </c>
      <c r="L48" s="49" t="s">
        <v>930</v>
      </c>
      <c r="M48" s="49" t="s">
        <v>931</v>
      </c>
      <c r="N48" s="108" t="s">
        <v>92</v>
      </c>
      <c r="O48" s="134" t="s">
        <v>143</v>
      </c>
      <c r="P48" s="37" t="s">
        <v>898</v>
      </c>
      <c r="Q48" s="37" t="s">
        <v>132</v>
      </c>
      <c r="R48" s="37" t="s">
        <v>94</v>
      </c>
      <c r="S48" s="37" t="s">
        <v>932</v>
      </c>
      <c r="T48" s="37" t="s">
        <v>933</v>
      </c>
      <c r="U48" s="37" t="s">
        <v>64</v>
      </c>
      <c r="V48" s="60">
        <v>46038.0</v>
      </c>
      <c r="W48" s="60">
        <v>46070.0</v>
      </c>
      <c r="X48" s="60">
        <v>46070.0</v>
      </c>
      <c r="Y48" s="37" t="s">
        <v>64</v>
      </c>
      <c r="Z48" s="29"/>
      <c r="AA48" s="54" t="s">
        <v>65</v>
      </c>
      <c r="AB48" s="37" t="s">
        <v>167</v>
      </c>
      <c r="AC48" s="30">
        <v>480000.0</v>
      </c>
      <c r="AD48" s="51">
        <v>0.0</v>
      </c>
      <c r="AE48" s="62">
        <v>1500.0</v>
      </c>
      <c r="AF48" s="33" t="s">
        <v>82</v>
      </c>
      <c r="AG48" s="34">
        <v>0.0</v>
      </c>
      <c r="AH48" s="34" t="s">
        <v>82</v>
      </c>
      <c r="AI48" s="34">
        <v>0.0</v>
      </c>
      <c r="AJ48" s="34">
        <v>0.0</v>
      </c>
      <c r="AK48" s="34">
        <v>0.0</v>
      </c>
      <c r="AL48" s="36">
        <v>0.0</v>
      </c>
      <c r="AM48" s="37" t="s">
        <v>212</v>
      </c>
      <c r="AN48" s="30">
        <v>1500.0</v>
      </c>
      <c r="AO48" s="110">
        <v>1500.0</v>
      </c>
      <c r="AP48" s="40">
        <f t="shared" si="3"/>
        <v>0</v>
      </c>
      <c r="AQ48" s="111"/>
      <c r="AR48" s="37"/>
      <c r="AS48" s="14"/>
      <c r="AT48" s="37" t="s">
        <v>570</v>
      </c>
      <c r="AU48" s="42"/>
      <c r="AV48" s="37" t="s">
        <v>934</v>
      </c>
      <c r="AW48" s="37" t="s">
        <v>572</v>
      </c>
      <c r="AX48" s="112"/>
      <c r="AY48" s="113" t="s">
        <v>792</v>
      </c>
      <c r="AZ48" s="42"/>
    </row>
    <row r="49">
      <c r="A49" s="37" t="s">
        <v>803</v>
      </c>
      <c r="B49" s="37" t="s">
        <v>47</v>
      </c>
      <c r="C49" s="106" t="s">
        <v>935</v>
      </c>
      <c r="D49" s="37" t="s">
        <v>86</v>
      </c>
      <c r="E49" s="37">
        <v>92054.0</v>
      </c>
      <c r="F49" s="37" t="s">
        <v>87</v>
      </c>
      <c r="G49" s="37" t="s">
        <v>719</v>
      </c>
      <c r="H49" s="37" t="s">
        <v>172</v>
      </c>
      <c r="I49" s="37" t="s">
        <v>53</v>
      </c>
      <c r="J49" s="37" t="s">
        <v>54</v>
      </c>
      <c r="K49" s="56" t="s">
        <v>936</v>
      </c>
      <c r="L49" s="49" t="s">
        <v>937</v>
      </c>
      <c r="M49" s="108" t="s">
        <v>938</v>
      </c>
      <c r="N49" s="108" t="s">
        <v>939</v>
      </c>
      <c r="O49" s="37" t="s">
        <v>940</v>
      </c>
      <c r="P49" s="37" t="s">
        <v>60</v>
      </c>
      <c r="Q49" s="37" t="s">
        <v>61</v>
      </c>
      <c r="R49" s="37" t="s">
        <v>672</v>
      </c>
      <c r="S49" s="37" t="s">
        <v>941</v>
      </c>
      <c r="T49" s="37" t="s">
        <v>942</v>
      </c>
      <c r="U49" s="37" t="s">
        <v>64</v>
      </c>
      <c r="V49" s="60">
        <v>46038.0</v>
      </c>
      <c r="W49" s="60">
        <v>46070.0</v>
      </c>
      <c r="X49" s="60">
        <v>46070.0</v>
      </c>
      <c r="Y49" s="37" t="s">
        <v>64</v>
      </c>
      <c r="Z49" s="29"/>
      <c r="AA49" s="54" t="s">
        <v>65</v>
      </c>
      <c r="AB49" s="37" t="s">
        <v>66</v>
      </c>
      <c r="AC49" s="30">
        <v>829000.0</v>
      </c>
      <c r="AD49" s="31">
        <v>0.025</v>
      </c>
      <c r="AE49" s="32">
        <f>SUM(AC49*AD49)</f>
        <v>20725</v>
      </c>
      <c r="AF49" s="33">
        <v>595.0</v>
      </c>
      <c r="AG49" s="34">
        <v>500.0</v>
      </c>
      <c r="AH49" s="34">
        <v>0.0</v>
      </c>
      <c r="AI49" s="34">
        <v>1380.0</v>
      </c>
      <c r="AJ49" s="34">
        <v>300.0</v>
      </c>
      <c r="AK49" s="35">
        <f>sum(AE49)*0.35</f>
        <v>7253.75</v>
      </c>
      <c r="AL49" s="36">
        <v>0.0</v>
      </c>
      <c r="AM49" s="37" t="s">
        <v>47</v>
      </c>
      <c r="AN49" s="38">
        <f>if(AF49=595, SUM(AE49+AI49-AK49),sum(AE49-AJ49-AK49,595))</f>
        <v>14851.25</v>
      </c>
      <c r="AO49" s="39">
        <f>if(AM49="Buyer",-sum((-AE49+AK49)*50%),if(AM49="Seller",-sum((-AE49+AK49+AJ49)*50%),-sum(((-AE49+AK49+AJ49)*((100-right(AM49,2))/100)))))+if(AF49&lt;&gt;595,595, sum(AF49))</f>
        <v>7330.625</v>
      </c>
      <c r="AP49" s="40">
        <f>sum(AN49-AO49)+-sum(AG49:AH49)-AJ49</f>
        <v>6720.625</v>
      </c>
      <c r="AQ49" s="111"/>
      <c r="AR49" s="37"/>
      <c r="AS49" s="14"/>
      <c r="AT49" s="37" t="s">
        <v>570</v>
      </c>
      <c r="AU49" s="42"/>
      <c r="AV49" s="37" t="s">
        <v>571</v>
      </c>
      <c r="AW49" s="37" t="s">
        <v>572</v>
      </c>
      <c r="AX49" s="112"/>
      <c r="AY49" s="113" t="b">
        <v>1</v>
      </c>
      <c r="AZ49" s="42"/>
    </row>
    <row r="50">
      <c r="A50" s="37" t="s">
        <v>803</v>
      </c>
      <c r="B50" s="37" t="s">
        <v>47</v>
      </c>
      <c r="C50" s="106" t="s">
        <v>943</v>
      </c>
      <c r="D50" s="37" t="s">
        <v>432</v>
      </c>
      <c r="E50" s="37">
        <v>92571.0</v>
      </c>
      <c r="F50" s="37" t="s">
        <v>50</v>
      </c>
      <c r="G50" s="120" t="s">
        <v>944</v>
      </c>
      <c r="H50" s="37" t="s">
        <v>52</v>
      </c>
      <c r="I50" s="37" t="s">
        <v>53</v>
      </c>
      <c r="J50" s="37" t="s">
        <v>103</v>
      </c>
      <c r="K50" s="56" t="s">
        <v>945</v>
      </c>
      <c r="L50" s="107"/>
      <c r="M50" s="49" t="s">
        <v>946</v>
      </c>
      <c r="N50" s="108" t="s">
        <v>947</v>
      </c>
      <c r="O50" s="134" t="s">
        <v>143</v>
      </c>
      <c r="P50" s="37" t="s">
        <v>197</v>
      </c>
      <c r="Q50" s="37" t="s">
        <v>61</v>
      </c>
      <c r="R50" s="37" t="s">
        <v>602</v>
      </c>
      <c r="S50" s="37" t="s">
        <v>948</v>
      </c>
      <c r="T50" s="37" t="s">
        <v>949</v>
      </c>
      <c r="U50" s="37" t="s">
        <v>64</v>
      </c>
      <c r="V50" s="60">
        <v>46042.0</v>
      </c>
      <c r="W50" s="60">
        <v>46071.0</v>
      </c>
      <c r="X50" s="60">
        <v>46071.0</v>
      </c>
      <c r="Y50" s="37" t="s">
        <v>64</v>
      </c>
      <c r="Z50" s="29"/>
      <c r="AA50" s="54" t="s">
        <v>124</v>
      </c>
      <c r="AB50" s="37" t="s">
        <v>66</v>
      </c>
      <c r="AC50" s="30">
        <v>230000.0</v>
      </c>
      <c r="AD50" s="31">
        <v>0.025</v>
      </c>
      <c r="AE50" s="62">
        <v>8750.0</v>
      </c>
      <c r="AF50" s="33">
        <v>595.0</v>
      </c>
      <c r="AG50" s="34">
        <v>500.0</v>
      </c>
      <c r="AH50" s="34">
        <v>0.0</v>
      </c>
      <c r="AI50" s="34">
        <v>1095.0</v>
      </c>
      <c r="AJ50" s="34">
        <v>0.0</v>
      </c>
      <c r="AK50" s="35">
        <f>sum(AE50,-AJ50)*0.25</f>
        <v>2187.5</v>
      </c>
      <c r="AL50" s="36">
        <v>0.0</v>
      </c>
      <c r="AM50" s="37" t="s">
        <v>47</v>
      </c>
      <c r="AN50" s="38">
        <f t="shared" ref="AN50:AN57" si="18">if(AF50=595, SUM(AE50+AI50-AK50-AJ50),sum(AE50-AJ50-AK50,595))</f>
        <v>7657.5</v>
      </c>
      <c r="AO50" s="39">
        <f t="shared" ref="AO50:AO57" si="19">if(AM50="Buyer",-sum((-AE50+AK50+AJ50)*50%),if(AM50="Seller",-sum((-AE50+AK50+AJ50)*50%),-sum(((-AE50+AK50+AJ50)*((100-right(AM50,2))/100)))))+if(AF50&lt;&gt;595,595, sum(AF50))</f>
        <v>3876.25</v>
      </c>
      <c r="AP50" s="40">
        <f t="shared" ref="AP50:AP73" si="20">sum(AN50-AO50)+-sum(AG50:AH50)</f>
        <v>3281.25</v>
      </c>
      <c r="AQ50" s="111"/>
      <c r="AR50" s="37"/>
      <c r="AS50" s="14"/>
      <c r="AT50" s="37" t="s">
        <v>570</v>
      </c>
      <c r="AU50" s="42"/>
      <c r="AV50" s="37" t="s">
        <v>571</v>
      </c>
      <c r="AW50" s="37" t="s">
        <v>572</v>
      </c>
      <c r="AX50" s="112"/>
      <c r="AY50" s="113" t="b">
        <v>1</v>
      </c>
      <c r="AZ50" s="42"/>
    </row>
    <row r="51">
      <c r="A51" s="37" t="s">
        <v>803</v>
      </c>
      <c r="B51" s="23" t="s">
        <v>47</v>
      </c>
      <c r="C51" s="106" t="s">
        <v>950</v>
      </c>
      <c r="D51" s="138" t="s">
        <v>49</v>
      </c>
      <c r="E51" s="23">
        <v>92584.0</v>
      </c>
      <c r="F51" s="23" t="s">
        <v>50</v>
      </c>
      <c r="G51" s="23" t="s">
        <v>288</v>
      </c>
      <c r="H51" s="23" t="s">
        <v>73</v>
      </c>
      <c r="I51" s="23" t="s">
        <v>53</v>
      </c>
      <c r="J51" s="23" t="s">
        <v>103</v>
      </c>
      <c r="K51" s="25" t="s">
        <v>951</v>
      </c>
      <c r="L51" s="26" t="s">
        <v>952</v>
      </c>
      <c r="M51" s="26" t="s">
        <v>953</v>
      </c>
      <c r="N51" s="27" t="s">
        <v>954</v>
      </c>
      <c r="O51" s="23" t="s">
        <v>826</v>
      </c>
      <c r="P51" s="23" t="s">
        <v>60</v>
      </c>
      <c r="Q51" s="23" t="s">
        <v>61</v>
      </c>
      <c r="R51" s="23" t="s">
        <v>178</v>
      </c>
      <c r="S51" s="23" t="s">
        <v>955</v>
      </c>
      <c r="T51" s="23" t="s">
        <v>956</v>
      </c>
      <c r="U51" s="23" t="s">
        <v>64</v>
      </c>
      <c r="V51" s="28">
        <v>46051.0</v>
      </c>
      <c r="W51" s="60">
        <v>46072.0</v>
      </c>
      <c r="X51" s="60">
        <v>46072.0</v>
      </c>
      <c r="Y51" s="23" t="s">
        <v>64</v>
      </c>
      <c r="Z51" s="29"/>
      <c r="AA51" s="24" t="s">
        <v>65</v>
      </c>
      <c r="AB51" s="23" t="s">
        <v>66</v>
      </c>
      <c r="AC51" s="30">
        <v>530000.0</v>
      </c>
      <c r="AD51" s="31">
        <v>0.03</v>
      </c>
      <c r="AE51" s="32">
        <f t="shared" ref="AE51:AE58" si="21">SUM(AC51*AD51)</f>
        <v>15900</v>
      </c>
      <c r="AF51" s="33">
        <v>595.0</v>
      </c>
      <c r="AG51" s="34">
        <v>500.0</v>
      </c>
      <c r="AH51" s="34">
        <v>0.0</v>
      </c>
      <c r="AI51" s="34">
        <v>1095.0</v>
      </c>
      <c r="AJ51" s="34">
        <v>0.0</v>
      </c>
      <c r="AK51" s="35">
        <f>sum(AE51,-AJ51)*0.4</f>
        <v>6360</v>
      </c>
      <c r="AL51" s="36">
        <v>0.0</v>
      </c>
      <c r="AM51" s="37" t="s">
        <v>47</v>
      </c>
      <c r="AN51" s="38">
        <f t="shared" si="18"/>
        <v>10635</v>
      </c>
      <c r="AO51" s="39">
        <f t="shared" si="19"/>
        <v>5365</v>
      </c>
      <c r="AP51" s="40">
        <f t="shared" si="20"/>
        <v>4770</v>
      </c>
      <c r="AQ51" s="111"/>
      <c r="AR51" s="37"/>
      <c r="AS51" s="14"/>
      <c r="AT51" s="23" t="s">
        <v>570</v>
      </c>
      <c r="AU51" s="42"/>
      <c r="AV51" s="37" t="s">
        <v>819</v>
      </c>
      <c r="AW51" s="37" t="s">
        <v>572</v>
      </c>
      <c r="AX51" s="112"/>
      <c r="AY51" s="113" t="b">
        <v>1</v>
      </c>
      <c r="AZ51" s="42"/>
    </row>
    <row r="52">
      <c r="A52" s="37" t="s">
        <v>803</v>
      </c>
      <c r="B52" s="37" t="s">
        <v>47</v>
      </c>
      <c r="C52" s="106" t="s">
        <v>957</v>
      </c>
      <c r="D52" s="37" t="s">
        <v>71</v>
      </c>
      <c r="E52" s="37">
        <v>92545.0</v>
      </c>
      <c r="F52" s="37" t="s">
        <v>50</v>
      </c>
      <c r="G52" s="120" t="s">
        <v>742</v>
      </c>
      <c r="H52" s="37" t="s">
        <v>172</v>
      </c>
      <c r="I52" s="37" t="s">
        <v>53</v>
      </c>
      <c r="J52" s="37" t="s">
        <v>103</v>
      </c>
      <c r="K52" s="139" t="s">
        <v>958</v>
      </c>
      <c r="L52" s="139" t="s">
        <v>959</v>
      </c>
      <c r="M52" s="108" t="s">
        <v>960</v>
      </c>
      <c r="N52" s="58" t="s">
        <v>961</v>
      </c>
      <c r="O52" s="37" t="s">
        <v>962</v>
      </c>
      <c r="P52" s="37" t="s">
        <v>93</v>
      </c>
      <c r="Q52" s="37" t="s">
        <v>61</v>
      </c>
      <c r="R52" s="37" t="s">
        <v>963</v>
      </c>
      <c r="S52" s="37" t="s">
        <v>964</v>
      </c>
      <c r="T52" s="127" t="s">
        <v>965</v>
      </c>
      <c r="U52" s="37" t="s">
        <v>64</v>
      </c>
      <c r="V52" s="60">
        <v>46034.0</v>
      </c>
      <c r="W52" s="60">
        <v>46064.0</v>
      </c>
      <c r="X52" s="60">
        <v>46073.0</v>
      </c>
      <c r="Y52" s="37" t="s">
        <v>64</v>
      </c>
      <c r="Z52" s="29"/>
      <c r="AA52" s="54" t="s">
        <v>124</v>
      </c>
      <c r="AB52" s="37" t="s">
        <v>66</v>
      </c>
      <c r="AC52" s="30">
        <v>165000.0</v>
      </c>
      <c r="AD52" s="31">
        <v>0.02</v>
      </c>
      <c r="AE52" s="32">
        <f t="shared" si="21"/>
        <v>3300</v>
      </c>
      <c r="AF52" s="33">
        <v>595.0</v>
      </c>
      <c r="AG52" s="34" t="s">
        <v>111</v>
      </c>
      <c r="AH52" s="34">
        <v>0.0</v>
      </c>
      <c r="AI52" s="34">
        <v>0.0</v>
      </c>
      <c r="AJ52" s="34">
        <v>0.0</v>
      </c>
      <c r="AK52" s="35">
        <f>sum(AE52,-AJ52)*0.25</f>
        <v>825</v>
      </c>
      <c r="AL52" s="36">
        <v>0.0</v>
      </c>
      <c r="AM52" s="37" t="s">
        <v>47</v>
      </c>
      <c r="AN52" s="38">
        <f t="shared" si="18"/>
        <v>2475</v>
      </c>
      <c r="AO52" s="39">
        <f t="shared" si="19"/>
        <v>1832.5</v>
      </c>
      <c r="AP52" s="40">
        <f t="shared" si="20"/>
        <v>642.5</v>
      </c>
      <c r="AQ52" s="111"/>
      <c r="AR52" s="37"/>
      <c r="AS52" s="14"/>
      <c r="AT52" s="37" t="s">
        <v>570</v>
      </c>
      <c r="AU52" s="42"/>
      <c r="AV52" s="37" t="s">
        <v>884</v>
      </c>
      <c r="AW52" s="37" t="s">
        <v>572</v>
      </c>
      <c r="AX52" s="112"/>
      <c r="AY52" s="113" t="b">
        <v>1</v>
      </c>
      <c r="AZ52" s="42"/>
    </row>
    <row r="53">
      <c r="A53" s="23" t="s">
        <v>803</v>
      </c>
      <c r="B53" s="23" t="s">
        <v>84</v>
      </c>
      <c r="C53" s="106" t="s">
        <v>966</v>
      </c>
      <c r="D53" s="37" t="s">
        <v>316</v>
      </c>
      <c r="E53" s="37">
        <v>92562.0</v>
      </c>
      <c r="F53" s="23" t="s">
        <v>50</v>
      </c>
      <c r="G53" s="23" t="s">
        <v>574</v>
      </c>
      <c r="H53" s="23" t="s">
        <v>52</v>
      </c>
      <c r="I53" s="23" t="s">
        <v>53</v>
      </c>
      <c r="J53" s="23" t="s">
        <v>103</v>
      </c>
      <c r="K53" s="25" t="s">
        <v>967</v>
      </c>
      <c r="L53" s="26" t="s">
        <v>968</v>
      </c>
      <c r="M53" s="26" t="s">
        <v>969</v>
      </c>
      <c r="N53" s="108" t="s">
        <v>92</v>
      </c>
      <c r="O53" s="23"/>
      <c r="P53" s="23" t="s">
        <v>898</v>
      </c>
      <c r="Q53" s="23" t="s">
        <v>132</v>
      </c>
      <c r="R53" s="23" t="s">
        <v>94</v>
      </c>
      <c r="S53" s="23" t="s">
        <v>970</v>
      </c>
      <c r="T53" s="23" t="s">
        <v>971</v>
      </c>
      <c r="U53" s="23" t="s">
        <v>64</v>
      </c>
      <c r="V53" s="28">
        <v>46056.0</v>
      </c>
      <c r="W53" s="28">
        <v>46077.0</v>
      </c>
      <c r="X53" s="28">
        <v>46073.0</v>
      </c>
      <c r="Y53" s="23" t="s">
        <v>64</v>
      </c>
      <c r="Z53" s="29"/>
      <c r="AA53" s="24" t="s">
        <v>65</v>
      </c>
      <c r="AB53" s="23" t="s">
        <v>167</v>
      </c>
      <c r="AC53" s="30">
        <v>650000.0</v>
      </c>
      <c r="AD53" s="31">
        <v>0.02</v>
      </c>
      <c r="AE53" s="32">
        <f t="shared" si="21"/>
        <v>13000</v>
      </c>
      <c r="AF53" s="33">
        <v>595.0</v>
      </c>
      <c r="AG53" s="34" t="s">
        <v>111</v>
      </c>
      <c r="AH53" s="34" t="s">
        <v>111</v>
      </c>
      <c r="AI53" s="34">
        <v>850.0</v>
      </c>
      <c r="AJ53" s="34">
        <v>0.0</v>
      </c>
      <c r="AK53" s="34">
        <v>0.0</v>
      </c>
      <c r="AL53" s="36">
        <v>0.0</v>
      </c>
      <c r="AM53" s="37" t="s">
        <v>552</v>
      </c>
      <c r="AN53" s="38">
        <f t="shared" si="18"/>
        <v>13850</v>
      </c>
      <c r="AO53" s="39">
        <f t="shared" si="19"/>
        <v>2545</v>
      </c>
      <c r="AP53" s="40">
        <f t="shared" si="20"/>
        <v>11305</v>
      </c>
      <c r="AQ53" s="111"/>
      <c r="AR53" s="37"/>
      <c r="AS53" s="14"/>
      <c r="AT53" s="23" t="s">
        <v>570</v>
      </c>
      <c r="AU53" s="42"/>
      <c r="AV53" s="37" t="s">
        <v>819</v>
      </c>
      <c r="AW53" s="37" t="s">
        <v>572</v>
      </c>
      <c r="AX53" s="112"/>
      <c r="AY53" s="113" t="b">
        <v>1</v>
      </c>
      <c r="AZ53" s="42"/>
    </row>
    <row r="54">
      <c r="A54" s="37" t="s">
        <v>803</v>
      </c>
      <c r="B54" s="37" t="s">
        <v>47</v>
      </c>
      <c r="C54" s="106" t="s">
        <v>972</v>
      </c>
      <c r="D54" s="37" t="s">
        <v>86</v>
      </c>
      <c r="E54" s="37">
        <v>92056.0</v>
      </c>
      <c r="F54" s="37" t="s">
        <v>87</v>
      </c>
      <c r="G54" s="37" t="s">
        <v>102</v>
      </c>
      <c r="H54" s="37" t="s">
        <v>172</v>
      </c>
      <c r="I54" s="37" t="s">
        <v>53</v>
      </c>
      <c r="J54" s="37" t="s">
        <v>103</v>
      </c>
      <c r="K54" s="56" t="s">
        <v>973</v>
      </c>
      <c r="L54" s="49" t="s">
        <v>974</v>
      </c>
      <c r="M54" s="49" t="s">
        <v>975</v>
      </c>
      <c r="N54" s="140" t="s">
        <v>976</v>
      </c>
      <c r="O54" s="37" t="s">
        <v>826</v>
      </c>
      <c r="P54" s="37" t="s">
        <v>60</v>
      </c>
      <c r="Q54" s="37" t="s">
        <v>61</v>
      </c>
      <c r="R54" s="37"/>
      <c r="S54" s="37" t="s">
        <v>977</v>
      </c>
      <c r="T54" s="37" t="s">
        <v>978</v>
      </c>
      <c r="U54" s="37" t="s">
        <v>64</v>
      </c>
      <c r="V54" s="60">
        <v>46050.0</v>
      </c>
      <c r="W54" s="60">
        <v>46073.0</v>
      </c>
      <c r="X54" s="60">
        <v>46073.0</v>
      </c>
      <c r="Y54" s="37" t="s">
        <v>64</v>
      </c>
      <c r="Z54" s="29"/>
      <c r="AA54" s="54" t="s">
        <v>65</v>
      </c>
      <c r="AB54" s="37" t="s">
        <v>66</v>
      </c>
      <c r="AC54" s="30">
        <v>785000.0</v>
      </c>
      <c r="AD54" s="31">
        <v>0.025</v>
      </c>
      <c r="AE54" s="32">
        <f t="shared" si="21"/>
        <v>19625</v>
      </c>
      <c r="AF54" s="33">
        <v>595.0</v>
      </c>
      <c r="AG54" s="34" t="s">
        <v>111</v>
      </c>
      <c r="AH54" s="34">
        <v>0.0</v>
      </c>
      <c r="AI54" s="34">
        <v>1095.0</v>
      </c>
      <c r="AJ54" s="34">
        <v>0.0</v>
      </c>
      <c r="AK54" s="35">
        <f>sum(AE54,-AJ54)*0.35</f>
        <v>6868.75</v>
      </c>
      <c r="AL54" s="36">
        <v>0.0</v>
      </c>
      <c r="AM54" s="37" t="s">
        <v>47</v>
      </c>
      <c r="AN54" s="38">
        <f t="shared" si="18"/>
        <v>13851.25</v>
      </c>
      <c r="AO54" s="39">
        <f t="shared" si="19"/>
        <v>6973.125</v>
      </c>
      <c r="AP54" s="40">
        <f t="shared" si="20"/>
        <v>6878.125</v>
      </c>
      <c r="AQ54" s="111"/>
      <c r="AR54" s="37"/>
      <c r="AS54" s="14"/>
      <c r="AT54" s="37" t="s">
        <v>570</v>
      </c>
      <c r="AU54" s="42"/>
      <c r="AV54" s="37" t="s">
        <v>819</v>
      </c>
      <c r="AW54" s="37" t="s">
        <v>572</v>
      </c>
      <c r="AX54" s="112"/>
      <c r="AY54" s="113" t="b">
        <v>1</v>
      </c>
      <c r="AZ54" s="42"/>
    </row>
    <row r="55">
      <c r="A55" s="23" t="s">
        <v>803</v>
      </c>
      <c r="B55" s="23" t="s">
        <v>47</v>
      </c>
      <c r="C55" s="106" t="s">
        <v>979</v>
      </c>
      <c r="D55" s="23" t="s">
        <v>980</v>
      </c>
      <c r="E55" s="23">
        <v>92064.0</v>
      </c>
      <c r="F55" s="23" t="s">
        <v>87</v>
      </c>
      <c r="G55" s="23" t="s">
        <v>981</v>
      </c>
      <c r="H55" s="23" t="s">
        <v>52</v>
      </c>
      <c r="I55" s="23" t="s">
        <v>53</v>
      </c>
      <c r="J55" s="23" t="s">
        <v>54</v>
      </c>
      <c r="K55" s="25" t="s">
        <v>982</v>
      </c>
      <c r="L55" s="26" t="s">
        <v>983</v>
      </c>
      <c r="M55" s="26" t="s">
        <v>984</v>
      </c>
      <c r="N55" s="27" t="s">
        <v>985</v>
      </c>
      <c r="O55" s="23" t="s">
        <v>59</v>
      </c>
      <c r="P55" s="23" t="s">
        <v>60</v>
      </c>
      <c r="Q55" s="23" t="s">
        <v>61</v>
      </c>
      <c r="R55" s="23" t="s">
        <v>672</v>
      </c>
      <c r="S55" s="23" t="s">
        <v>986</v>
      </c>
      <c r="T55" s="23" t="s">
        <v>987</v>
      </c>
      <c r="U55" s="23" t="s">
        <v>64</v>
      </c>
      <c r="V55" s="28">
        <v>46059.0</v>
      </c>
      <c r="W55" s="28">
        <v>46073.0</v>
      </c>
      <c r="X55" s="28">
        <v>46073.0</v>
      </c>
      <c r="Y55" s="23" t="s">
        <v>64</v>
      </c>
      <c r="Z55" s="29"/>
      <c r="AA55" s="24" t="s">
        <v>65</v>
      </c>
      <c r="AB55" s="23" t="s">
        <v>167</v>
      </c>
      <c r="AC55" s="30">
        <v>1115000.0</v>
      </c>
      <c r="AD55" s="31">
        <v>0.025</v>
      </c>
      <c r="AE55" s="32">
        <f t="shared" si="21"/>
        <v>27875</v>
      </c>
      <c r="AF55" s="33">
        <v>595.0</v>
      </c>
      <c r="AG55" s="34">
        <v>500.0</v>
      </c>
      <c r="AH55" s="34">
        <v>0.0</v>
      </c>
      <c r="AI55" s="34">
        <v>1095.0</v>
      </c>
      <c r="AJ55" s="34">
        <v>0.0</v>
      </c>
      <c r="AK55" s="34">
        <v>0.0</v>
      </c>
      <c r="AL55" s="36">
        <v>0.0</v>
      </c>
      <c r="AM55" s="37" t="s">
        <v>202</v>
      </c>
      <c r="AN55" s="38">
        <f t="shared" si="18"/>
        <v>28970</v>
      </c>
      <c r="AO55" s="39">
        <f t="shared" si="19"/>
        <v>8957.5</v>
      </c>
      <c r="AP55" s="40">
        <f t="shared" si="20"/>
        <v>19512.5</v>
      </c>
      <c r="AQ55" s="111"/>
      <c r="AR55" s="37"/>
      <c r="AS55" s="14"/>
      <c r="AT55" s="23" t="s">
        <v>570</v>
      </c>
      <c r="AU55" s="42"/>
      <c r="AV55" s="37" t="s">
        <v>819</v>
      </c>
      <c r="AW55" s="37" t="s">
        <v>572</v>
      </c>
      <c r="AX55" s="112"/>
      <c r="AY55" s="113" t="b">
        <v>1</v>
      </c>
      <c r="AZ55" s="42"/>
    </row>
    <row r="56">
      <c r="A56" s="37" t="s">
        <v>803</v>
      </c>
      <c r="B56" s="37" t="s">
        <v>47</v>
      </c>
      <c r="C56" s="106" t="s">
        <v>988</v>
      </c>
      <c r="D56" s="37" t="s">
        <v>138</v>
      </c>
      <c r="E56" s="37">
        <v>92582.0</v>
      </c>
      <c r="F56" s="37" t="s">
        <v>50</v>
      </c>
      <c r="G56" s="37" t="s">
        <v>88</v>
      </c>
      <c r="H56" s="37" t="s">
        <v>52</v>
      </c>
      <c r="I56" s="37" t="s">
        <v>215</v>
      </c>
      <c r="J56" s="37" t="s">
        <v>54</v>
      </c>
      <c r="K56" s="54" t="s">
        <v>989</v>
      </c>
      <c r="L56" s="54" t="s">
        <v>990</v>
      </c>
      <c r="M56" s="54" t="s">
        <v>991</v>
      </c>
      <c r="N56" s="108" t="s">
        <v>79</v>
      </c>
      <c r="O56" s="37" t="s">
        <v>436</v>
      </c>
      <c r="P56" s="37" t="s">
        <v>60</v>
      </c>
      <c r="Q56" s="37" t="s">
        <v>61</v>
      </c>
      <c r="R56" s="37" t="s">
        <v>79</v>
      </c>
      <c r="S56" s="37" t="s">
        <v>992</v>
      </c>
      <c r="T56" s="37" t="s">
        <v>993</v>
      </c>
      <c r="U56" s="37" t="s">
        <v>64</v>
      </c>
      <c r="V56" s="60">
        <v>46033.0</v>
      </c>
      <c r="W56" s="60">
        <v>46063.0</v>
      </c>
      <c r="X56" s="60">
        <v>46073.0</v>
      </c>
      <c r="Y56" s="37" t="s">
        <v>64</v>
      </c>
      <c r="Z56" s="29"/>
      <c r="AA56" s="54" t="s">
        <v>124</v>
      </c>
      <c r="AB56" s="37" t="s">
        <v>156</v>
      </c>
      <c r="AC56" s="30">
        <v>137000.0</v>
      </c>
      <c r="AD56" s="31">
        <v>0.04</v>
      </c>
      <c r="AE56" s="32">
        <f t="shared" si="21"/>
        <v>5480</v>
      </c>
      <c r="AF56" s="33">
        <v>595.0</v>
      </c>
      <c r="AG56" s="34" t="s">
        <v>111</v>
      </c>
      <c r="AH56" s="34">
        <v>0.0</v>
      </c>
      <c r="AI56" s="34">
        <v>1895.0</v>
      </c>
      <c r="AJ56" s="34">
        <v>0.0</v>
      </c>
      <c r="AK56" s="34">
        <v>0.0</v>
      </c>
      <c r="AL56" s="36">
        <v>0.0</v>
      </c>
      <c r="AM56" s="37" t="s">
        <v>47</v>
      </c>
      <c r="AN56" s="38">
        <f t="shared" si="18"/>
        <v>7375</v>
      </c>
      <c r="AO56" s="39">
        <f t="shared" si="19"/>
        <v>3335</v>
      </c>
      <c r="AP56" s="40">
        <f t="shared" si="20"/>
        <v>4040</v>
      </c>
      <c r="AQ56" s="111"/>
      <c r="AR56" s="37"/>
      <c r="AS56" s="14"/>
      <c r="AT56" s="37" t="s">
        <v>570</v>
      </c>
      <c r="AU56" s="42"/>
      <c r="AV56" s="37" t="s">
        <v>994</v>
      </c>
      <c r="AW56" s="37" t="s">
        <v>572</v>
      </c>
      <c r="AX56" s="112"/>
      <c r="AY56" s="113" t="b">
        <v>1</v>
      </c>
      <c r="AZ56" s="42"/>
    </row>
    <row r="57">
      <c r="A57" s="23" t="s">
        <v>803</v>
      </c>
      <c r="B57" s="23" t="s">
        <v>47</v>
      </c>
      <c r="C57" s="106" t="s">
        <v>995</v>
      </c>
      <c r="D57" s="23" t="s">
        <v>316</v>
      </c>
      <c r="E57" s="23">
        <v>92562.0</v>
      </c>
      <c r="F57" s="23" t="s">
        <v>50</v>
      </c>
      <c r="G57" s="23" t="s">
        <v>399</v>
      </c>
      <c r="H57" s="23" t="s">
        <v>73</v>
      </c>
      <c r="I57" s="23" t="s">
        <v>53</v>
      </c>
      <c r="J57" s="23" t="s">
        <v>103</v>
      </c>
      <c r="K57" s="25" t="s">
        <v>996</v>
      </c>
      <c r="L57" s="26" t="s">
        <v>997</v>
      </c>
      <c r="M57" s="26" t="s">
        <v>998</v>
      </c>
      <c r="N57" s="27" t="s">
        <v>999</v>
      </c>
      <c r="O57" s="23" t="s">
        <v>482</v>
      </c>
      <c r="P57" s="23" t="s">
        <v>60</v>
      </c>
      <c r="Q57" s="23" t="s">
        <v>61</v>
      </c>
      <c r="R57" s="23"/>
      <c r="S57" s="23" t="s">
        <v>1000</v>
      </c>
      <c r="T57" s="23" t="s">
        <v>1001</v>
      </c>
      <c r="U57" s="23" t="s">
        <v>64</v>
      </c>
      <c r="V57" s="28">
        <v>46052.0</v>
      </c>
      <c r="W57" s="28">
        <v>46083.0</v>
      </c>
      <c r="X57" s="28">
        <v>46076.0</v>
      </c>
      <c r="Y57" s="23" t="s">
        <v>64</v>
      </c>
      <c r="Z57" s="29"/>
      <c r="AA57" s="24" t="s">
        <v>65</v>
      </c>
      <c r="AB57" s="48" t="s">
        <v>66</v>
      </c>
      <c r="AC57" s="30">
        <v>700000.0</v>
      </c>
      <c r="AD57" s="31">
        <v>0.02</v>
      </c>
      <c r="AE57" s="32">
        <f t="shared" si="21"/>
        <v>14000</v>
      </c>
      <c r="AF57" s="33">
        <v>595.0</v>
      </c>
      <c r="AG57" s="34">
        <v>500.0</v>
      </c>
      <c r="AH57" s="34">
        <v>0.0</v>
      </c>
      <c r="AI57" s="34">
        <v>1095.0</v>
      </c>
      <c r="AJ57" s="34">
        <v>0.0</v>
      </c>
      <c r="AK57" s="35">
        <f>sum(AE57,-AJ57)*0.4</f>
        <v>5600</v>
      </c>
      <c r="AL57" s="36">
        <v>0.0</v>
      </c>
      <c r="AM57" s="37" t="s">
        <v>47</v>
      </c>
      <c r="AN57" s="38">
        <f t="shared" si="18"/>
        <v>9495</v>
      </c>
      <c r="AO57" s="39">
        <f t="shared" si="19"/>
        <v>4795</v>
      </c>
      <c r="AP57" s="40">
        <f t="shared" si="20"/>
        <v>4200</v>
      </c>
      <c r="AQ57" s="111"/>
      <c r="AR57" s="37"/>
      <c r="AS57" s="14"/>
      <c r="AT57" s="23" t="s">
        <v>570</v>
      </c>
      <c r="AU57" s="42"/>
      <c r="AV57" s="23" t="s">
        <v>1002</v>
      </c>
      <c r="AW57" s="23" t="s">
        <v>572</v>
      </c>
      <c r="AX57" s="112"/>
      <c r="AY57" s="113" t="b">
        <v>1</v>
      </c>
      <c r="AZ57" s="42"/>
    </row>
    <row r="58">
      <c r="A58" s="37" t="s">
        <v>803</v>
      </c>
      <c r="B58" s="37" t="s">
        <v>84</v>
      </c>
      <c r="C58" s="106" t="s">
        <v>1003</v>
      </c>
      <c r="D58" s="37" t="s">
        <v>398</v>
      </c>
      <c r="E58" s="37">
        <v>92530.0</v>
      </c>
      <c r="F58" s="37" t="s">
        <v>50</v>
      </c>
      <c r="G58" s="37" t="s">
        <v>840</v>
      </c>
      <c r="H58" s="37" t="s">
        <v>172</v>
      </c>
      <c r="I58" s="37" t="s">
        <v>53</v>
      </c>
      <c r="J58" s="37" t="s">
        <v>103</v>
      </c>
      <c r="K58" s="56" t="s">
        <v>1004</v>
      </c>
      <c r="L58" s="49" t="s">
        <v>1005</v>
      </c>
      <c r="M58" s="49" t="s">
        <v>1006</v>
      </c>
      <c r="N58" s="108" t="s">
        <v>92</v>
      </c>
      <c r="O58" s="37" t="s">
        <v>1007</v>
      </c>
      <c r="P58" s="37" t="s">
        <v>60</v>
      </c>
      <c r="Q58" s="37" t="s">
        <v>132</v>
      </c>
      <c r="R58" s="37" t="s">
        <v>94</v>
      </c>
      <c r="S58" s="37" t="s">
        <v>1008</v>
      </c>
      <c r="T58" s="37" t="s">
        <v>1009</v>
      </c>
      <c r="U58" s="37" t="s">
        <v>64</v>
      </c>
      <c r="V58" s="60">
        <v>46049.0</v>
      </c>
      <c r="W58" s="60">
        <v>46076.0</v>
      </c>
      <c r="X58" s="60">
        <v>46076.0</v>
      </c>
      <c r="Y58" s="37" t="s">
        <v>64</v>
      </c>
      <c r="Z58" s="29"/>
      <c r="AA58" s="54" t="s">
        <v>65</v>
      </c>
      <c r="AB58" s="48" t="s">
        <v>167</v>
      </c>
      <c r="AC58" s="30">
        <v>499000.0</v>
      </c>
      <c r="AD58" s="31">
        <v>0.03</v>
      </c>
      <c r="AE58" s="32">
        <f t="shared" si="21"/>
        <v>14970</v>
      </c>
      <c r="AF58" s="33">
        <v>595.0</v>
      </c>
      <c r="AG58" s="34">
        <v>500.0</v>
      </c>
      <c r="AH58" s="34">
        <v>250.0</v>
      </c>
      <c r="AI58" s="34">
        <v>1095.0</v>
      </c>
      <c r="AJ58" s="34">
        <v>75.0</v>
      </c>
      <c r="AK58" s="34">
        <v>0.0</v>
      </c>
      <c r="AL58" s="36">
        <v>0.0</v>
      </c>
      <c r="AM58" s="37" t="s">
        <v>202</v>
      </c>
      <c r="AN58" s="38">
        <f>if(AF58=595, SUM(AE58+AI58-AK58),sum(AE58-AK58,595))</f>
        <v>16065</v>
      </c>
      <c r="AO58" s="39">
        <f>if(AM58="Buyer",-sum((-AE58+AK58+AJ58)*50%),if(AM58="Seller",-sum((-AE58+AK58+AJ58)*50%),-sum(((-AE58+AK58)*((100-right(AM58,2))/100)))))+if(AF58&lt;&gt;595,595, sum(AF58))</f>
        <v>5086</v>
      </c>
      <c r="AP58" s="40">
        <f t="shared" si="20"/>
        <v>10229</v>
      </c>
      <c r="AQ58" s="111"/>
      <c r="AR58" s="37"/>
      <c r="AS58" s="14"/>
      <c r="AT58" s="37" t="s">
        <v>570</v>
      </c>
      <c r="AU58" s="42"/>
      <c r="AV58" s="23" t="s">
        <v>1002</v>
      </c>
      <c r="AW58" s="23" t="s">
        <v>572</v>
      </c>
      <c r="AX58" s="112"/>
      <c r="AY58" s="113" t="b">
        <v>1</v>
      </c>
      <c r="AZ58" s="42"/>
    </row>
    <row r="59">
      <c r="A59" s="37" t="s">
        <v>803</v>
      </c>
      <c r="B59" s="37" t="s">
        <v>84</v>
      </c>
      <c r="C59" s="106" t="s">
        <v>1010</v>
      </c>
      <c r="D59" s="37" t="s">
        <v>316</v>
      </c>
      <c r="E59" s="37">
        <v>92562.0</v>
      </c>
      <c r="F59" s="37" t="s">
        <v>50</v>
      </c>
      <c r="G59" s="37" t="s">
        <v>139</v>
      </c>
      <c r="H59" s="37" t="s">
        <v>73</v>
      </c>
      <c r="I59" s="37" t="s">
        <v>371</v>
      </c>
      <c r="J59" s="37" t="s">
        <v>103</v>
      </c>
      <c r="K59" s="56" t="s">
        <v>1011</v>
      </c>
      <c r="L59" s="49" t="s">
        <v>1012</v>
      </c>
      <c r="M59" s="108" t="s">
        <v>1013</v>
      </c>
      <c r="N59" s="108" t="s">
        <v>92</v>
      </c>
      <c r="O59" s="37" t="s">
        <v>1014</v>
      </c>
      <c r="P59" s="37" t="s">
        <v>249</v>
      </c>
      <c r="Q59" s="37" t="s">
        <v>132</v>
      </c>
      <c r="R59" s="37" t="s">
        <v>94</v>
      </c>
      <c r="S59" s="37" t="s">
        <v>1015</v>
      </c>
      <c r="T59" s="37" t="s">
        <v>1016</v>
      </c>
      <c r="U59" s="37" t="s">
        <v>64</v>
      </c>
      <c r="V59" s="60">
        <v>46048.0</v>
      </c>
      <c r="W59" s="60">
        <v>46070.0</v>
      </c>
      <c r="X59" s="60">
        <v>46077.0</v>
      </c>
      <c r="Y59" s="37" t="s">
        <v>64</v>
      </c>
      <c r="Z59" s="29"/>
      <c r="AA59" s="54" t="s">
        <v>65</v>
      </c>
      <c r="AB59" s="141" t="s">
        <v>1017</v>
      </c>
      <c r="AC59" s="30">
        <v>615000.0</v>
      </c>
      <c r="AD59" s="31">
        <v>0.0225</v>
      </c>
      <c r="AE59" s="62">
        <v>13500.0</v>
      </c>
      <c r="AF59" s="33">
        <v>695.0</v>
      </c>
      <c r="AG59" s="34">
        <v>0.0</v>
      </c>
      <c r="AH59" s="34">
        <v>0.0</v>
      </c>
      <c r="AI59" s="34">
        <v>695.0</v>
      </c>
      <c r="AJ59" s="34">
        <v>0.0</v>
      </c>
      <c r="AK59" s="34">
        <v>0.0</v>
      </c>
      <c r="AL59" s="36">
        <v>0.0</v>
      </c>
      <c r="AM59" s="120" t="s">
        <v>784</v>
      </c>
      <c r="AN59" s="38">
        <f>if(AF59=595, SUM(AE59+AI59-AK59-AJ59),sum(AE59-AJ59-AK59,695))</f>
        <v>14195</v>
      </c>
      <c r="AO59" s="39">
        <f>if(AM59="Buyer",-sum((-AE59+AK59+AJ59)*50%),if(AM59="Seller",-sum((-AE59+AK59+AJ59)*50%),-sum(((-AE59+AK59+AJ59)*((100-right(AM59,2))/100)))))+if(AF59&lt;&gt;595,695, sum(AF59))</f>
        <v>8795</v>
      </c>
      <c r="AP59" s="40">
        <f t="shared" si="20"/>
        <v>5400</v>
      </c>
      <c r="AQ59" s="111"/>
      <c r="AR59" s="37"/>
      <c r="AS59" s="14"/>
      <c r="AT59" s="37" t="s">
        <v>570</v>
      </c>
      <c r="AU59" s="42"/>
      <c r="AV59" s="23" t="s">
        <v>1002</v>
      </c>
      <c r="AW59" s="23" t="s">
        <v>572</v>
      </c>
      <c r="AX59" s="112"/>
      <c r="AY59" s="113" t="b">
        <v>1</v>
      </c>
      <c r="AZ59" s="42"/>
    </row>
    <row r="60">
      <c r="A60" s="37" t="s">
        <v>803</v>
      </c>
      <c r="B60" s="37" t="s">
        <v>84</v>
      </c>
      <c r="C60" s="106" t="s">
        <v>1018</v>
      </c>
      <c r="D60" s="37" t="s">
        <v>316</v>
      </c>
      <c r="E60" s="37">
        <v>92563.0</v>
      </c>
      <c r="F60" s="37" t="s">
        <v>50</v>
      </c>
      <c r="G60" s="48" t="s">
        <v>641</v>
      </c>
      <c r="H60" s="37" t="s">
        <v>172</v>
      </c>
      <c r="I60" s="37" t="s">
        <v>53</v>
      </c>
      <c r="J60" s="37" t="s">
        <v>103</v>
      </c>
      <c r="K60" s="56" t="s">
        <v>1019</v>
      </c>
      <c r="L60" s="49" t="s">
        <v>1020</v>
      </c>
      <c r="M60" s="49" t="s">
        <v>1021</v>
      </c>
      <c r="N60" s="108" t="s">
        <v>92</v>
      </c>
      <c r="O60" s="37"/>
      <c r="P60" s="37" t="s">
        <v>60</v>
      </c>
      <c r="Q60" s="37" t="s">
        <v>132</v>
      </c>
      <c r="R60" s="37" t="s">
        <v>94</v>
      </c>
      <c r="S60" s="37" t="s">
        <v>1022</v>
      </c>
      <c r="T60" s="37" t="s">
        <v>1023</v>
      </c>
      <c r="U60" s="37" t="s">
        <v>64</v>
      </c>
      <c r="V60" s="60">
        <v>46048.0</v>
      </c>
      <c r="W60" s="60">
        <v>46078.0</v>
      </c>
      <c r="X60" s="60">
        <v>46078.0</v>
      </c>
      <c r="Y60" s="37" t="s">
        <v>64</v>
      </c>
      <c r="Z60" s="29"/>
      <c r="AA60" s="54" t="s">
        <v>65</v>
      </c>
      <c r="AB60" s="37" t="s">
        <v>901</v>
      </c>
      <c r="AC60" s="30">
        <v>632000.0</v>
      </c>
      <c r="AD60" s="31">
        <v>0.02</v>
      </c>
      <c r="AE60" s="32">
        <f t="shared" ref="AE60:AE62" si="22">SUM(AC60*AD60)</f>
        <v>12640</v>
      </c>
      <c r="AF60" s="33">
        <v>595.0</v>
      </c>
      <c r="AG60" s="34" t="s">
        <v>111</v>
      </c>
      <c r="AH60" s="34" t="s">
        <v>82</v>
      </c>
      <c r="AI60" s="34">
        <v>695.0</v>
      </c>
      <c r="AJ60" s="34">
        <v>925.0</v>
      </c>
      <c r="AK60" s="34">
        <v>0.0</v>
      </c>
      <c r="AL60" s="36">
        <v>0.0</v>
      </c>
      <c r="AM60" s="37" t="s">
        <v>168</v>
      </c>
      <c r="AN60" s="38">
        <f>if(AF60=595, SUM(AE60+AI60-AK60),sum(AE60-AK60,595))</f>
        <v>13335</v>
      </c>
      <c r="AO60" s="39">
        <f>if(AM60="Buyer",-sum((-AE60+AK60+AJ60)*50%),if(AM60="Seller",-sum((-AE60+AK60)*50%),-sum(((-AE60+AK60)*((100-right(AM60,2))/100)))))+if(AF60&lt;&gt;595,595, sum(AF60))</f>
        <v>1859</v>
      </c>
      <c r="AP60" s="40">
        <f t="shared" si="20"/>
        <v>11476</v>
      </c>
      <c r="AQ60" s="111"/>
      <c r="AR60" s="37"/>
      <c r="AS60" s="14"/>
      <c r="AT60" s="37" t="s">
        <v>570</v>
      </c>
      <c r="AU60" s="42"/>
      <c r="AV60" s="23" t="s">
        <v>1002</v>
      </c>
      <c r="AW60" s="23" t="s">
        <v>572</v>
      </c>
      <c r="AX60" s="112"/>
      <c r="AY60" s="113" t="b">
        <v>1</v>
      </c>
      <c r="AZ60" s="42"/>
    </row>
    <row r="61">
      <c r="A61" s="37" t="s">
        <v>803</v>
      </c>
      <c r="B61" s="37" t="s">
        <v>84</v>
      </c>
      <c r="C61" s="106" t="s">
        <v>1024</v>
      </c>
      <c r="D61" s="37" t="s">
        <v>836</v>
      </c>
      <c r="E61" s="37">
        <v>92509.0</v>
      </c>
      <c r="F61" s="37" t="s">
        <v>50</v>
      </c>
      <c r="G61" s="37" t="s">
        <v>399</v>
      </c>
      <c r="H61" s="37" t="s">
        <v>73</v>
      </c>
      <c r="I61" s="37" t="s">
        <v>53</v>
      </c>
      <c r="J61" s="37" t="s">
        <v>103</v>
      </c>
      <c r="K61" s="54" t="s">
        <v>1025</v>
      </c>
      <c r="L61" s="54" t="s">
        <v>1026</v>
      </c>
      <c r="M61" s="56" t="s">
        <v>1027</v>
      </c>
      <c r="N61" s="108" t="s">
        <v>92</v>
      </c>
      <c r="O61" s="37" t="s">
        <v>1028</v>
      </c>
      <c r="P61" s="37" t="s">
        <v>60</v>
      </c>
      <c r="Q61" s="37" t="s">
        <v>132</v>
      </c>
      <c r="R61" s="37" t="s">
        <v>94</v>
      </c>
      <c r="S61" s="37" t="s">
        <v>1029</v>
      </c>
      <c r="T61" s="37" t="s">
        <v>1030</v>
      </c>
      <c r="U61" s="37" t="s">
        <v>64</v>
      </c>
      <c r="V61" s="60">
        <v>46049.0</v>
      </c>
      <c r="W61" s="60">
        <v>46079.0</v>
      </c>
      <c r="X61" s="60">
        <v>46079.0</v>
      </c>
      <c r="Y61" s="37" t="s">
        <v>64</v>
      </c>
      <c r="Z61" s="29"/>
      <c r="AA61" s="54" t="s">
        <v>65</v>
      </c>
      <c r="AB61" s="37" t="s">
        <v>167</v>
      </c>
      <c r="AC61" s="30">
        <v>720000.0</v>
      </c>
      <c r="AD61" s="31">
        <v>0.02</v>
      </c>
      <c r="AE61" s="32">
        <f t="shared" si="22"/>
        <v>14400</v>
      </c>
      <c r="AF61" s="33">
        <v>595.0</v>
      </c>
      <c r="AG61" s="34">
        <v>500.0</v>
      </c>
      <c r="AH61" s="34">
        <v>250.0</v>
      </c>
      <c r="AI61" s="34">
        <v>1345.0</v>
      </c>
      <c r="AJ61" s="34">
        <v>599.0</v>
      </c>
      <c r="AK61" s="34">
        <v>0.0</v>
      </c>
      <c r="AL61" s="36">
        <v>0.0</v>
      </c>
      <c r="AM61" s="37" t="s">
        <v>212</v>
      </c>
      <c r="AN61" s="38">
        <f t="shared" ref="AN61:AN63" si="23">if(AF61=595, SUM(AE61+AI61-AK61-AJ61),sum(AE61-AJ61-AK61,595))</f>
        <v>15146</v>
      </c>
      <c r="AO61" s="39">
        <f t="shared" ref="AO61:AO64" si="24">if(AM61="Buyer",-sum((-AE61+AK61+AJ61)*50%),if(AM61="Seller",-sum((-AE61+AK61+AJ61)*50%),-sum(((-AE61+AK61+AJ61)*((100-right(AM61,2))/100)))))+if(AF61&lt;&gt;595,595, sum(AF61))</f>
        <v>3355.2</v>
      </c>
      <c r="AP61" s="40">
        <f t="shared" si="20"/>
        <v>11040.8</v>
      </c>
      <c r="AQ61" s="111"/>
      <c r="AR61" s="37"/>
      <c r="AS61" s="14"/>
      <c r="AT61" s="37" t="s">
        <v>570</v>
      </c>
      <c r="AU61" s="42"/>
      <c r="AV61" s="23" t="s">
        <v>1002</v>
      </c>
      <c r="AW61" s="23" t="s">
        <v>572</v>
      </c>
      <c r="AX61" s="112"/>
      <c r="AY61" s="113" t="b">
        <v>1</v>
      </c>
      <c r="AZ61" s="42"/>
    </row>
    <row r="62">
      <c r="A62" s="37" t="s">
        <v>803</v>
      </c>
      <c r="B62" s="37" t="s">
        <v>47</v>
      </c>
      <c r="C62" s="106" t="s">
        <v>1031</v>
      </c>
      <c r="D62" s="37" t="s">
        <v>1032</v>
      </c>
      <c r="E62" s="37">
        <v>92596.0</v>
      </c>
      <c r="F62" s="37" t="s">
        <v>50</v>
      </c>
      <c r="G62" s="48" t="s">
        <v>641</v>
      </c>
      <c r="H62" s="37" t="s">
        <v>172</v>
      </c>
      <c r="I62" s="37" t="s">
        <v>53</v>
      </c>
      <c r="J62" s="37" t="s">
        <v>103</v>
      </c>
      <c r="K62" s="56" t="s">
        <v>1033</v>
      </c>
      <c r="L62" s="49" t="s">
        <v>1034</v>
      </c>
      <c r="M62" s="108" t="s">
        <v>1035</v>
      </c>
      <c r="N62" s="142"/>
      <c r="O62" s="37"/>
      <c r="P62" s="37" t="s">
        <v>343</v>
      </c>
      <c r="Q62" s="37" t="s">
        <v>343</v>
      </c>
      <c r="R62" s="37"/>
      <c r="S62" s="37" t="s">
        <v>1036</v>
      </c>
      <c r="T62" s="37" t="s">
        <v>1037</v>
      </c>
      <c r="U62" s="37" t="s">
        <v>64</v>
      </c>
      <c r="V62" s="60">
        <v>46049.0</v>
      </c>
      <c r="W62" s="60">
        <v>46085.0</v>
      </c>
      <c r="X62" s="60">
        <v>46080.0</v>
      </c>
      <c r="Y62" s="37" t="s">
        <v>64</v>
      </c>
      <c r="Z62" s="29"/>
      <c r="AA62" s="54" t="s">
        <v>343</v>
      </c>
      <c r="AB62" s="37" t="s">
        <v>901</v>
      </c>
      <c r="AC62" s="30">
        <v>682990.0</v>
      </c>
      <c r="AD62" s="31">
        <v>0.03</v>
      </c>
      <c r="AE62" s="32">
        <f t="shared" si="22"/>
        <v>20489.7</v>
      </c>
      <c r="AF62" s="33">
        <v>595.0</v>
      </c>
      <c r="AG62" s="34" t="s">
        <v>111</v>
      </c>
      <c r="AH62" s="34">
        <v>0.0</v>
      </c>
      <c r="AI62" s="34">
        <v>0.0</v>
      </c>
      <c r="AJ62" s="34">
        <v>0.0</v>
      </c>
      <c r="AK62" s="34">
        <v>0.0</v>
      </c>
      <c r="AL62" s="36">
        <v>0.0</v>
      </c>
      <c r="AM62" s="37" t="s">
        <v>168</v>
      </c>
      <c r="AN62" s="38">
        <f t="shared" si="23"/>
        <v>20489.7</v>
      </c>
      <c r="AO62" s="39">
        <f t="shared" si="24"/>
        <v>2643.97</v>
      </c>
      <c r="AP62" s="40">
        <f t="shared" si="20"/>
        <v>17845.73</v>
      </c>
      <c r="AQ62" s="111"/>
      <c r="AR62" s="37"/>
      <c r="AS62" s="14"/>
      <c r="AT62" s="37" t="s">
        <v>570</v>
      </c>
      <c r="AU62" s="42"/>
      <c r="AV62" s="23" t="s">
        <v>1002</v>
      </c>
      <c r="AW62" s="23" t="s">
        <v>572</v>
      </c>
      <c r="AX62" s="112"/>
      <c r="AY62" s="113" t="b">
        <v>1</v>
      </c>
      <c r="AZ62" s="42"/>
    </row>
    <row r="63">
      <c r="A63" s="23" t="s">
        <v>803</v>
      </c>
      <c r="B63" s="23" t="s">
        <v>47</v>
      </c>
      <c r="C63" s="106" t="s">
        <v>1038</v>
      </c>
      <c r="D63" s="23" t="s">
        <v>794</v>
      </c>
      <c r="E63" s="23">
        <v>92750.0</v>
      </c>
      <c r="F63" s="23" t="s">
        <v>50</v>
      </c>
      <c r="G63" s="23" t="s">
        <v>646</v>
      </c>
      <c r="H63" s="23" t="s">
        <v>73</v>
      </c>
      <c r="I63" s="23" t="s">
        <v>371</v>
      </c>
      <c r="J63" s="23" t="s">
        <v>54</v>
      </c>
      <c r="K63" s="25" t="s">
        <v>1039</v>
      </c>
      <c r="L63" s="26" t="s">
        <v>1040</v>
      </c>
      <c r="M63" s="27" t="s">
        <v>1041</v>
      </c>
      <c r="N63" s="27" t="s">
        <v>247</v>
      </c>
      <c r="O63" s="23" t="s">
        <v>1042</v>
      </c>
      <c r="P63" s="23" t="s">
        <v>343</v>
      </c>
      <c r="Q63" s="23" t="s">
        <v>343</v>
      </c>
      <c r="R63" s="23" t="s">
        <v>247</v>
      </c>
      <c r="S63" s="23" t="s">
        <v>343</v>
      </c>
      <c r="T63" s="23" t="s">
        <v>343</v>
      </c>
      <c r="U63" s="23" t="s">
        <v>64</v>
      </c>
      <c r="V63" s="28">
        <v>46064.0</v>
      </c>
      <c r="W63" s="28">
        <v>46080.0</v>
      </c>
      <c r="X63" s="28">
        <v>46080.0</v>
      </c>
      <c r="Y63" s="23" t="s">
        <v>64</v>
      </c>
      <c r="Z63" s="29"/>
      <c r="AA63" s="24" t="s">
        <v>343</v>
      </c>
      <c r="AB63" s="23" t="s">
        <v>66</v>
      </c>
      <c r="AC63" s="30">
        <v>624990.0</v>
      </c>
      <c r="AD63" s="31">
        <f>AE63/AC63</f>
        <v>0.02000032001</v>
      </c>
      <c r="AE63" s="62">
        <v>12500.0</v>
      </c>
      <c r="AF63" s="30">
        <v>595.0</v>
      </c>
      <c r="AG63" s="34">
        <v>0.0</v>
      </c>
      <c r="AH63" s="34">
        <v>0.0</v>
      </c>
      <c r="AI63" s="34">
        <v>0.0</v>
      </c>
      <c r="AJ63" s="34">
        <v>0.0</v>
      </c>
      <c r="AK63" s="35">
        <f t="shared" ref="AK63:AK64" si="25">sum(AE63,-AJ63)*0.4</f>
        <v>5000</v>
      </c>
      <c r="AL63" s="36">
        <v>0.0</v>
      </c>
      <c r="AM63" s="37" t="s">
        <v>47</v>
      </c>
      <c r="AN63" s="38">
        <f t="shared" si="23"/>
        <v>7500</v>
      </c>
      <c r="AO63" s="39">
        <f t="shared" si="24"/>
        <v>4345</v>
      </c>
      <c r="AP63" s="40">
        <f t="shared" si="20"/>
        <v>3155</v>
      </c>
      <c r="AQ63" s="111"/>
      <c r="AR63" s="37"/>
      <c r="AS63" s="14"/>
      <c r="AT63" s="23" t="s">
        <v>570</v>
      </c>
      <c r="AU63" s="42"/>
      <c r="AV63" s="37" t="s">
        <v>802</v>
      </c>
      <c r="AW63" s="37" t="s">
        <v>572</v>
      </c>
      <c r="AX63" s="112"/>
      <c r="AY63" s="113" t="b">
        <v>1</v>
      </c>
      <c r="AZ63" s="42"/>
    </row>
    <row r="64">
      <c r="A64" s="23" t="s">
        <v>803</v>
      </c>
      <c r="B64" s="23" t="s">
        <v>84</v>
      </c>
      <c r="C64" s="106" t="s">
        <v>1043</v>
      </c>
      <c r="D64" s="23" t="s">
        <v>1044</v>
      </c>
      <c r="E64" s="23">
        <v>92325.0</v>
      </c>
      <c r="F64" s="23" t="s">
        <v>101</v>
      </c>
      <c r="G64" s="23" t="s">
        <v>399</v>
      </c>
      <c r="H64" s="23" t="s">
        <v>73</v>
      </c>
      <c r="I64" s="23" t="s">
        <v>53</v>
      </c>
      <c r="J64" s="23" t="s">
        <v>103</v>
      </c>
      <c r="K64" s="25" t="s">
        <v>1045</v>
      </c>
      <c r="L64" s="43"/>
      <c r="M64" s="26" t="s">
        <v>1046</v>
      </c>
      <c r="N64" s="27" t="s">
        <v>108</v>
      </c>
      <c r="O64" s="23"/>
      <c r="P64" s="23" t="s">
        <v>93</v>
      </c>
      <c r="Q64" s="23"/>
      <c r="R64" s="23" t="s">
        <v>108</v>
      </c>
      <c r="S64" s="23" t="s">
        <v>106</v>
      </c>
      <c r="T64" s="23"/>
      <c r="U64" s="23" t="s">
        <v>64</v>
      </c>
      <c r="V64" s="28">
        <v>46062.0</v>
      </c>
      <c r="W64" s="28">
        <v>46080.0</v>
      </c>
      <c r="X64" s="28">
        <v>46080.0</v>
      </c>
      <c r="Y64" s="23" t="s">
        <v>64</v>
      </c>
      <c r="Z64" s="29"/>
      <c r="AA64" s="24" t="s">
        <v>106</v>
      </c>
      <c r="AB64" s="23" t="s">
        <v>66</v>
      </c>
      <c r="AC64" s="30">
        <v>377100.0</v>
      </c>
      <c r="AD64" s="31">
        <v>0.01</v>
      </c>
      <c r="AE64" s="32">
        <f t="shared" ref="AE64:AE74" si="26">SUM(AC64*AD64)</f>
        <v>3771</v>
      </c>
      <c r="AF64" s="33">
        <v>595.0</v>
      </c>
      <c r="AG64" s="34">
        <v>0.0</v>
      </c>
      <c r="AH64" s="34" t="s">
        <v>53</v>
      </c>
      <c r="AI64" s="34">
        <v>0.0</v>
      </c>
      <c r="AJ64" s="34">
        <v>0.0</v>
      </c>
      <c r="AK64" s="35">
        <f t="shared" si="25"/>
        <v>1508.4</v>
      </c>
      <c r="AL64" s="36">
        <v>0.0</v>
      </c>
      <c r="AM64" s="37" t="s">
        <v>84</v>
      </c>
      <c r="AN64" s="38">
        <f>if(AF64=595, SUM(AE64+AI64-AK64-AJ64),sum(AE64-AJ64-AK64))</f>
        <v>2262.6</v>
      </c>
      <c r="AO64" s="39">
        <f t="shared" si="24"/>
        <v>1726.3</v>
      </c>
      <c r="AP64" s="40">
        <f t="shared" si="20"/>
        <v>536.3</v>
      </c>
      <c r="AQ64" s="111"/>
      <c r="AR64" s="37"/>
      <c r="AS64" s="14"/>
      <c r="AT64" s="23" t="s">
        <v>570</v>
      </c>
      <c r="AU64" s="42"/>
      <c r="AV64" s="37" t="s">
        <v>615</v>
      </c>
      <c r="AW64" s="37" t="s">
        <v>114</v>
      </c>
      <c r="AX64" s="112"/>
      <c r="AY64" s="113" t="b">
        <v>1</v>
      </c>
      <c r="AZ64" s="42"/>
    </row>
    <row r="65">
      <c r="A65" s="23" t="s">
        <v>803</v>
      </c>
      <c r="B65" s="23" t="s">
        <v>47</v>
      </c>
      <c r="C65" s="106" t="s">
        <v>1047</v>
      </c>
      <c r="D65" s="23" t="s">
        <v>235</v>
      </c>
      <c r="E65" s="23">
        <v>92027.0</v>
      </c>
      <c r="F65" s="23" t="s">
        <v>87</v>
      </c>
      <c r="G65" s="23" t="s">
        <v>184</v>
      </c>
      <c r="H65" s="23" t="s">
        <v>73</v>
      </c>
      <c r="I65" s="23" t="s">
        <v>53</v>
      </c>
      <c r="J65" s="23" t="s">
        <v>185</v>
      </c>
      <c r="K65" s="25" t="s">
        <v>1048</v>
      </c>
      <c r="L65" s="26" t="s">
        <v>1049</v>
      </c>
      <c r="M65" s="26" t="s">
        <v>1050</v>
      </c>
      <c r="N65" s="27" t="s">
        <v>1051</v>
      </c>
      <c r="O65" s="23" t="s">
        <v>1052</v>
      </c>
      <c r="P65" s="23"/>
      <c r="Q65" s="23"/>
      <c r="R65" s="23" t="s">
        <v>1051</v>
      </c>
      <c r="S65" s="23" t="s">
        <v>1053</v>
      </c>
      <c r="T65" s="23" t="s">
        <v>1054</v>
      </c>
      <c r="U65" s="23" t="s">
        <v>64</v>
      </c>
      <c r="V65" s="28">
        <v>46059.0</v>
      </c>
      <c r="W65" s="28">
        <v>46080.0</v>
      </c>
      <c r="X65" s="28">
        <v>46080.0</v>
      </c>
      <c r="Y65" s="23" t="s">
        <v>64</v>
      </c>
      <c r="Z65" s="29"/>
      <c r="AA65" s="24"/>
      <c r="AB65" s="23" t="s">
        <v>167</v>
      </c>
      <c r="AC65" s="30">
        <v>999000.0</v>
      </c>
      <c r="AD65" s="31">
        <v>0.025</v>
      </c>
      <c r="AE65" s="32">
        <f t="shared" si="26"/>
        <v>24975</v>
      </c>
      <c r="AF65" s="33">
        <v>595.0</v>
      </c>
      <c r="AG65" s="34">
        <v>0.0</v>
      </c>
      <c r="AH65" s="34">
        <v>0.0</v>
      </c>
      <c r="AI65" s="34">
        <v>595.0</v>
      </c>
      <c r="AJ65" s="34">
        <f>750+15</f>
        <v>765</v>
      </c>
      <c r="AK65" s="34">
        <v>0.0</v>
      </c>
      <c r="AL65" s="36">
        <v>0.0</v>
      </c>
      <c r="AM65" s="37" t="s">
        <v>168</v>
      </c>
      <c r="AN65" s="38">
        <f>if(AF65=595, SUM(AE65+AI65-AJ65-AK65),sum(AE65-AK65,595))</f>
        <v>24805</v>
      </c>
      <c r="AO65" s="39">
        <f>if(AM65="Buyer",-sum((-AE65+AK65+AJ65)*50%),if(AM65="Seller",-sum((-AE65+AK65+AJ65)*50%),-sum(((-AE65+AK65)*((100-right(AM65,2))/100)))))+if(AF65&lt;&gt;595,595, sum(AF65))</f>
        <v>3092.5</v>
      </c>
      <c r="AP65" s="40">
        <f t="shared" si="20"/>
        <v>21712.5</v>
      </c>
      <c r="AQ65" s="111"/>
      <c r="AR65" s="37"/>
      <c r="AS65" s="14"/>
      <c r="AT65" s="23" t="s">
        <v>570</v>
      </c>
      <c r="AU65" s="42"/>
      <c r="AV65" s="37" t="s">
        <v>994</v>
      </c>
      <c r="AW65" s="37" t="s">
        <v>572</v>
      </c>
      <c r="AX65" s="112"/>
      <c r="AY65" s="113" t="b">
        <v>1</v>
      </c>
      <c r="AZ65" s="42"/>
    </row>
    <row r="66">
      <c r="A66" s="23" t="s">
        <v>563</v>
      </c>
      <c r="B66" s="23" t="s">
        <v>47</v>
      </c>
      <c r="C66" s="143" t="s">
        <v>1055</v>
      </c>
      <c r="D66" s="23" t="s">
        <v>49</v>
      </c>
      <c r="E66" s="23">
        <v>92586.0</v>
      </c>
      <c r="F66" s="23" t="s">
        <v>50</v>
      </c>
      <c r="G66" s="23" t="s">
        <v>633</v>
      </c>
      <c r="H66" s="23" t="s">
        <v>172</v>
      </c>
      <c r="I66" s="23" t="s">
        <v>215</v>
      </c>
      <c r="J66" s="23" t="s">
        <v>103</v>
      </c>
      <c r="K66" s="25" t="s">
        <v>1056</v>
      </c>
      <c r="L66" s="26" t="s">
        <v>1057</v>
      </c>
      <c r="M66" s="26" t="s">
        <v>1058</v>
      </c>
      <c r="N66" s="27" t="s">
        <v>1059</v>
      </c>
      <c r="O66" s="47" t="s">
        <v>143</v>
      </c>
      <c r="P66" s="23" t="s">
        <v>707</v>
      </c>
      <c r="Q66" s="23" t="s">
        <v>61</v>
      </c>
      <c r="R66" s="23"/>
      <c r="S66" s="23" t="s">
        <v>154</v>
      </c>
      <c r="T66" s="23" t="s">
        <v>1060</v>
      </c>
      <c r="U66" s="23" t="s">
        <v>64</v>
      </c>
      <c r="V66" s="28">
        <v>46055.0</v>
      </c>
      <c r="W66" s="28">
        <v>46079.0</v>
      </c>
      <c r="X66" s="28">
        <v>46083.0</v>
      </c>
      <c r="Y66" s="23" t="s">
        <v>64</v>
      </c>
      <c r="Z66" s="29"/>
      <c r="AA66" s="24" t="s">
        <v>124</v>
      </c>
      <c r="AB66" s="23" t="s">
        <v>1061</v>
      </c>
      <c r="AC66" s="30">
        <v>73000.0</v>
      </c>
      <c r="AD66" s="31">
        <v>0.03</v>
      </c>
      <c r="AE66" s="32">
        <f t="shared" si="26"/>
        <v>2190</v>
      </c>
      <c r="AF66" s="33">
        <v>595.0</v>
      </c>
      <c r="AG66" s="34">
        <v>500.0</v>
      </c>
      <c r="AH66" s="34">
        <v>0.0</v>
      </c>
      <c r="AI66" s="34">
        <v>1095.0</v>
      </c>
      <c r="AJ66" s="34">
        <v>0.0</v>
      </c>
      <c r="AK66" s="34">
        <v>0.0</v>
      </c>
      <c r="AL66" s="36">
        <v>0.0</v>
      </c>
      <c r="AM66" s="37" t="s">
        <v>47</v>
      </c>
      <c r="AN66" s="38">
        <f t="shared" ref="AN66:AN73" si="27">if(AF66=595, SUM(AE66+AI66-AK66-AJ66),sum(AE66-AJ66-AK66,595))</f>
        <v>3285</v>
      </c>
      <c r="AO66" s="39">
        <f t="shared" ref="AO66:AO68" si="28">if(AM66="Buyer",-sum((-AE66+AK66+AJ66)*50%),if(AM66="Seller",-sum((-AE66+AK66+AJ66)*50%),-sum(((-AE66+AK66+AJ66)*((100-right(AM66,2))/100)))))+if(AF66&lt;&gt;595,595, sum(AF66))</f>
        <v>1690</v>
      </c>
      <c r="AP66" s="40">
        <f t="shared" si="20"/>
        <v>1095</v>
      </c>
      <c r="AQ66" s="111"/>
      <c r="AR66" s="37"/>
      <c r="AS66" s="14"/>
      <c r="AT66" s="23" t="s">
        <v>570</v>
      </c>
      <c r="AU66" s="42"/>
      <c r="AV66" s="37" t="s">
        <v>1062</v>
      </c>
      <c r="AW66" s="37" t="s">
        <v>572</v>
      </c>
      <c r="AX66" s="112"/>
      <c r="AY66" s="113" t="b">
        <v>1</v>
      </c>
      <c r="AZ66" s="42"/>
    </row>
    <row r="67">
      <c r="A67" s="23" t="s">
        <v>563</v>
      </c>
      <c r="B67" s="23" t="s">
        <v>47</v>
      </c>
      <c r="C67" s="143" t="s">
        <v>1063</v>
      </c>
      <c r="D67" s="23" t="s">
        <v>1064</v>
      </c>
      <c r="E67" s="23">
        <v>92324.0</v>
      </c>
      <c r="F67" s="23" t="s">
        <v>101</v>
      </c>
      <c r="G67" s="23" t="s">
        <v>1065</v>
      </c>
      <c r="H67" s="23" t="s">
        <v>52</v>
      </c>
      <c r="I67" s="23" t="s">
        <v>53</v>
      </c>
      <c r="J67" s="23" t="s">
        <v>103</v>
      </c>
      <c r="K67" s="25" t="s">
        <v>1066</v>
      </c>
      <c r="L67" s="26" t="s">
        <v>1067</v>
      </c>
      <c r="M67" s="26" t="s">
        <v>1068</v>
      </c>
      <c r="N67" s="27" t="s">
        <v>1069</v>
      </c>
      <c r="O67" s="47" t="s">
        <v>143</v>
      </c>
      <c r="P67" s="23" t="s">
        <v>60</v>
      </c>
      <c r="Q67" s="23" t="s">
        <v>61</v>
      </c>
      <c r="R67" s="23" t="s">
        <v>247</v>
      </c>
      <c r="S67" s="23" t="s">
        <v>1070</v>
      </c>
      <c r="T67" s="23" t="s">
        <v>1071</v>
      </c>
      <c r="U67" s="23" t="s">
        <v>64</v>
      </c>
      <c r="V67" s="28">
        <v>46063.0</v>
      </c>
      <c r="W67" s="28">
        <v>46087.0</v>
      </c>
      <c r="X67" s="28">
        <v>46083.0</v>
      </c>
      <c r="Y67" s="23" t="s">
        <v>64</v>
      </c>
      <c r="Z67" s="29"/>
      <c r="AA67" s="24" t="s">
        <v>65</v>
      </c>
      <c r="AB67" s="23" t="s">
        <v>66</v>
      </c>
      <c r="AC67" s="30">
        <v>800000.0</v>
      </c>
      <c r="AD67" s="31">
        <v>0.03</v>
      </c>
      <c r="AE67" s="32">
        <f t="shared" si="26"/>
        <v>24000</v>
      </c>
      <c r="AF67" s="33">
        <v>595.0</v>
      </c>
      <c r="AG67" s="34">
        <v>500.0</v>
      </c>
      <c r="AH67" s="34">
        <v>0.0</v>
      </c>
      <c r="AI67" s="34">
        <v>1095.0</v>
      </c>
      <c r="AJ67" s="34">
        <v>0.0</v>
      </c>
      <c r="AK67" s="35">
        <f>sum(AE67,-AJ67)*0.4</f>
        <v>9600</v>
      </c>
      <c r="AL67" s="36">
        <v>0.0</v>
      </c>
      <c r="AM67" s="37" t="s">
        <v>47</v>
      </c>
      <c r="AN67" s="38">
        <f t="shared" si="27"/>
        <v>15495</v>
      </c>
      <c r="AO67" s="39">
        <f t="shared" si="28"/>
        <v>7795</v>
      </c>
      <c r="AP67" s="40">
        <f t="shared" si="20"/>
        <v>7200</v>
      </c>
      <c r="AQ67" s="111"/>
      <c r="AR67" s="37"/>
      <c r="AS67" s="14"/>
      <c r="AT67" s="23" t="s">
        <v>570</v>
      </c>
      <c r="AU67" s="42"/>
      <c r="AV67" s="37" t="s">
        <v>1062</v>
      </c>
      <c r="AW67" s="37" t="s">
        <v>572</v>
      </c>
      <c r="AX67" s="112"/>
      <c r="AY67" s="113" t="b">
        <v>1</v>
      </c>
      <c r="AZ67" s="42"/>
    </row>
    <row r="68">
      <c r="A68" s="23" t="s">
        <v>563</v>
      </c>
      <c r="B68" s="23" t="s">
        <v>47</v>
      </c>
      <c r="C68" s="143" t="s">
        <v>1072</v>
      </c>
      <c r="D68" s="23" t="s">
        <v>86</v>
      </c>
      <c r="E68" s="23"/>
      <c r="F68" s="23" t="s">
        <v>87</v>
      </c>
      <c r="G68" s="23" t="s">
        <v>1073</v>
      </c>
      <c r="H68" s="23" t="s">
        <v>52</v>
      </c>
      <c r="I68" s="23" t="s">
        <v>53</v>
      </c>
      <c r="J68" s="23" t="s">
        <v>54</v>
      </c>
      <c r="K68" s="25" t="s">
        <v>1074</v>
      </c>
      <c r="L68" s="26" t="s">
        <v>1075</v>
      </c>
      <c r="M68" s="26" t="s">
        <v>1076</v>
      </c>
      <c r="N68" s="27" t="s">
        <v>1077</v>
      </c>
      <c r="O68" s="47" t="s">
        <v>143</v>
      </c>
      <c r="P68" s="23" t="s">
        <v>197</v>
      </c>
      <c r="Q68" s="23" t="s">
        <v>621</v>
      </c>
      <c r="R68" s="23" t="s">
        <v>602</v>
      </c>
      <c r="S68" s="23" t="s">
        <v>1078</v>
      </c>
      <c r="T68" s="23" t="s">
        <v>1079</v>
      </c>
      <c r="U68" s="23" t="s">
        <v>64</v>
      </c>
      <c r="V68" s="28">
        <v>46067.0</v>
      </c>
      <c r="W68" s="28">
        <v>46083.0</v>
      </c>
      <c r="X68" s="28">
        <v>46083.0</v>
      </c>
      <c r="Y68" s="23" t="s">
        <v>64</v>
      </c>
      <c r="Z68" s="29"/>
      <c r="AA68" s="24" t="s">
        <v>124</v>
      </c>
      <c r="AB68" s="23" t="s">
        <v>66</v>
      </c>
      <c r="AC68" s="30">
        <v>505000.0</v>
      </c>
      <c r="AD68" s="31">
        <v>0.03</v>
      </c>
      <c r="AE68" s="32">
        <f t="shared" si="26"/>
        <v>15150</v>
      </c>
      <c r="AF68" s="33">
        <v>595.0</v>
      </c>
      <c r="AG68" s="34">
        <v>500.0</v>
      </c>
      <c r="AH68" s="34">
        <v>0.0</v>
      </c>
      <c r="AI68" s="34">
        <v>0.0</v>
      </c>
      <c r="AJ68" s="34">
        <v>0.0</v>
      </c>
      <c r="AK68" s="35">
        <f>sum(AE68,-AJ68)*0.3</f>
        <v>4545</v>
      </c>
      <c r="AL68" s="36">
        <v>0.0</v>
      </c>
      <c r="AM68" s="37" t="s">
        <v>47</v>
      </c>
      <c r="AN68" s="38">
        <f t="shared" si="27"/>
        <v>10605</v>
      </c>
      <c r="AO68" s="39">
        <f t="shared" si="28"/>
        <v>5897.5</v>
      </c>
      <c r="AP68" s="40">
        <f t="shared" si="20"/>
        <v>4207.5</v>
      </c>
      <c r="AQ68" s="111"/>
      <c r="AR68" s="37"/>
      <c r="AS68" s="14"/>
      <c r="AT68" s="23" t="s">
        <v>570</v>
      </c>
      <c r="AU68" s="42"/>
      <c r="AV68" s="37" t="s">
        <v>994</v>
      </c>
      <c r="AW68" s="37" t="s">
        <v>572</v>
      </c>
      <c r="AX68" s="112"/>
      <c r="AY68" s="113" t="b">
        <v>1</v>
      </c>
      <c r="AZ68" s="42"/>
    </row>
    <row r="69">
      <c r="A69" s="23" t="s">
        <v>563</v>
      </c>
      <c r="B69" s="23" t="s">
        <v>84</v>
      </c>
      <c r="C69" s="106" t="s">
        <v>1080</v>
      </c>
      <c r="D69" s="23" t="s">
        <v>148</v>
      </c>
      <c r="E69" s="23">
        <v>92880.0</v>
      </c>
      <c r="F69" s="37" t="s">
        <v>50</v>
      </c>
      <c r="G69" s="23" t="s">
        <v>184</v>
      </c>
      <c r="H69" s="23" t="s">
        <v>73</v>
      </c>
      <c r="I69" s="23" t="s">
        <v>53</v>
      </c>
      <c r="J69" s="23" t="s">
        <v>185</v>
      </c>
      <c r="K69" s="25" t="s">
        <v>1081</v>
      </c>
      <c r="L69" s="144" t="s">
        <v>1082</v>
      </c>
      <c r="M69" s="26" t="s">
        <v>1083</v>
      </c>
      <c r="N69" s="108" t="s">
        <v>92</v>
      </c>
      <c r="O69" s="47" t="s">
        <v>143</v>
      </c>
      <c r="P69" s="23" t="s">
        <v>60</v>
      </c>
      <c r="Q69" s="23" t="s">
        <v>132</v>
      </c>
      <c r="R69" s="23" t="s">
        <v>94</v>
      </c>
      <c r="S69" s="23" t="s">
        <v>1084</v>
      </c>
      <c r="T69" s="23" t="s">
        <v>1085</v>
      </c>
      <c r="U69" s="23" t="s">
        <v>64</v>
      </c>
      <c r="V69" s="28">
        <v>46051.0</v>
      </c>
      <c r="W69" s="28">
        <v>46083.0</v>
      </c>
      <c r="X69" s="28">
        <v>46083.0</v>
      </c>
      <c r="Y69" s="23" t="s">
        <v>64</v>
      </c>
      <c r="Z69" s="29"/>
      <c r="AA69" s="24" t="s">
        <v>65</v>
      </c>
      <c r="AB69" s="23" t="s">
        <v>167</v>
      </c>
      <c r="AC69" s="30">
        <v>1120000.0</v>
      </c>
      <c r="AD69" s="31">
        <v>0.03</v>
      </c>
      <c r="AE69" s="32">
        <f t="shared" si="26"/>
        <v>33600</v>
      </c>
      <c r="AF69" s="33">
        <v>595.0</v>
      </c>
      <c r="AG69" s="34">
        <v>0.0</v>
      </c>
      <c r="AH69" s="34" t="s">
        <v>82</v>
      </c>
      <c r="AI69" s="34">
        <v>695.0</v>
      </c>
      <c r="AJ69" s="34">
        <v>750.0</v>
      </c>
      <c r="AK69" s="35">
        <f>sum(AE69)*0.25</f>
        <v>8400</v>
      </c>
      <c r="AL69" s="36">
        <v>0.0</v>
      </c>
      <c r="AM69" s="37" t="s">
        <v>168</v>
      </c>
      <c r="AN69" s="115">
        <f t="shared" si="27"/>
        <v>25145</v>
      </c>
      <c r="AO69" s="39">
        <f>if(AM69="Buyer",-sum((-AE69+AK69+AJ69)*50%),if(AM69="Seller",-sum((-AE69+AK69+AJ69)*50%),-sum(((-AE69+AK69)*((100-right(AM69,2))/100)))))+if(AF69&lt;&gt;595,595, sum(AF69))</f>
        <v>3115</v>
      </c>
      <c r="AP69" s="40">
        <f t="shared" si="20"/>
        <v>22030</v>
      </c>
      <c r="AQ69" s="111"/>
      <c r="AR69" s="37"/>
      <c r="AS69" s="14"/>
      <c r="AT69" s="23" t="s">
        <v>570</v>
      </c>
      <c r="AU69" s="42"/>
      <c r="AV69" s="37" t="s">
        <v>819</v>
      </c>
      <c r="AW69" s="37" t="s">
        <v>572</v>
      </c>
      <c r="AX69" s="112"/>
      <c r="AY69" s="113" t="b">
        <v>1</v>
      </c>
      <c r="AZ69" s="145"/>
    </row>
    <row r="70" ht="15.0" customHeight="1">
      <c r="A70" s="37" t="s">
        <v>563</v>
      </c>
      <c r="B70" s="37" t="s">
        <v>47</v>
      </c>
      <c r="C70" s="106" t="s">
        <v>1086</v>
      </c>
      <c r="D70" s="37" t="s">
        <v>769</v>
      </c>
      <c r="E70" s="37">
        <v>92591.0</v>
      </c>
      <c r="F70" s="37" t="s">
        <v>50</v>
      </c>
      <c r="G70" s="37" t="s">
        <v>1087</v>
      </c>
      <c r="H70" s="37" t="s">
        <v>73</v>
      </c>
      <c r="I70" s="37" t="s">
        <v>53</v>
      </c>
      <c r="J70" s="37" t="s">
        <v>103</v>
      </c>
      <c r="K70" s="56" t="s">
        <v>1088</v>
      </c>
      <c r="L70" s="49" t="s">
        <v>1089</v>
      </c>
      <c r="M70" s="49" t="s">
        <v>1090</v>
      </c>
      <c r="N70" s="108" t="s">
        <v>546</v>
      </c>
      <c r="O70" s="37" t="s">
        <v>1091</v>
      </c>
      <c r="P70" s="37" t="s">
        <v>60</v>
      </c>
      <c r="Q70" s="37" t="s">
        <v>61</v>
      </c>
      <c r="R70" s="37" t="s">
        <v>548</v>
      </c>
      <c r="S70" s="37" t="s">
        <v>1092</v>
      </c>
      <c r="T70" s="37" t="s">
        <v>1093</v>
      </c>
      <c r="U70" s="37" t="s">
        <v>64</v>
      </c>
      <c r="V70" s="60">
        <v>46050.0</v>
      </c>
      <c r="W70" s="60">
        <v>46080.0</v>
      </c>
      <c r="X70" s="60">
        <v>46084.0</v>
      </c>
      <c r="Y70" s="37" t="s">
        <v>64</v>
      </c>
      <c r="Z70" s="29"/>
      <c r="AA70" s="54" t="s">
        <v>65</v>
      </c>
      <c r="AB70" s="37" t="s">
        <v>66</v>
      </c>
      <c r="AC70" s="30">
        <v>1160000.0</v>
      </c>
      <c r="AD70" s="31">
        <v>0.025</v>
      </c>
      <c r="AE70" s="32">
        <f t="shared" si="26"/>
        <v>29000</v>
      </c>
      <c r="AF70" s="33">
        <v>595.0</v>
      </c>
      <c r="AG70" s="34">
        <v>500.0</v>
      </c>
      <c r="AH70" s="34">
        <v>0.0</v>
      </c>
      <c r="AI70" s="34">
        <v>1095.0</v>
      </c>
      <c r="AJ70" s="34">
        <v>0.0</v>
      </c>
      <c r="AK70" s="35">
        <f>sum(AE70,-AJ70)*0.4</f>
        <v>11600</v>
      </c>
      <c r="AL70" s="36">
        <v>0.0</v>
      </c>
      <c r="AM70" s="37" t="s">
        <v>47</v>
      </c>
      <c r="AN70" s="38">
        <f t="shared" si="27"/>
        <v>18495</v>
      </c>
      <c r="AO70" s="39">
        <f>if(AM70="Buyer",-sum((-AE70+AK70+AJ70)*25%),if(AM70="Seller",-sum((-AE70+AK70+AJ70)*50%),-sum(((-AE70+AK70+AJ70)*((100-right(AM70,2))/100)))))+if(AF70&lt;&gt;595,595, sum(AF70))</f>
        <v>4945</v>
      </c>
      <c r="AP70" s="40">
        <f t="shared" si="20"/>
        <v>13050</v>
      </c>
      <c r="AQ70" s="111"/>
      <c r="AR70" s="37"/>
      <c r="AS70" s="14"/>
      <c r="AT70" s="37" t="s">
        <v>570</v>
      </c>
      <c r="AU70" s="42"/>
      <c r="AV70" s="37" t="s">
        <v>994</v>
      </c>
      <c r="AW70" s="37" t="s">
        <v>572</v>
      </c>
      <c r="AX70" s="112"/>
      <c r="AY70" s="113" t="b">
        <v>1</v>
      </c>
      <c r="AZ70" s="42"/>
    </row>
    <row r="71">
      <c r="A71" s="23" t="s">
        <v>563</v>
      </c>
      <c r="B71" s="23" t="s">
        <v>84</v>
      </c>
      <c r="C71" s="106" t="s">
        <v>1094</v>
      </c>
      <c r="D71" s="23" t="s">
        <v>389</v>
      </c>
      <c r="E71" s="23">
        <v>92084.0</v>
      </c>
      <c r="F71" s="23" t="s">
        <v>87</v>
      </c>
      <c r="G71" s="120" t="s">
        <v>184</v>
      </c>
      <c r="H71" s="23" t="s">
        <v>73</v>
      </c>
      <c r="I71" s="23" t="s">
        <v>53</v>
      </c>
      <c r="J71" s="23" t="s">
        <v>185</v>
      </c>
      <c r="K71" s="25" t="s">
        <v>1095</v>
      </c>
      <c r="L71" s="26" t="s">
        <v>1096</v>
      </c>
      <c r="M71" s="26" t="s">
        <v>1097</v>
      </c>
      <c r="N71" s="27" t="s">
        <v>92</v>
      </c>
      <c r="O71" s="23" t="s">
        <v>1098</v>
      </c>
      <c r="P71" s="23" t="s">
        <v>60</v>
      </c>
      <c r="Q71" s="23" t="s">
        <v>132</v>
      </c>
      <c r="R71" s="23" t="s">
        <v>94</v>
      </c>
      <c r="S71" s="23" t="s">
        <v>1099</v>
      </c>
      <c r="T71" s="23" t="s">
        <v>1100</v>
      </c>
      <c r="U71" s="23" t="s">
        <v>64</v>
      </c>
      <c r="V71" s="28">
        <v>46064.0</v>
      </c>
      <c r="W71" s="28">
        <v>46084.0</v>
      </c>
      <c r="X71" s="28">
        <v>46084.0</v>
      </c>
      <c r="Y71" s="23" t="s">
        <v>64</v>
      </c>
      <c r="Z71" s="29"/>
      <c r="AA71" s="24" t="s">
        <v>65</v>
      </c>
      <c r="AB71" s="23" t="s">
        <v>901</v>
      </c>
      <c r="AC71" s="30">
        <v>1300000.0</v>
      </c>
      <c r="AD71" s="31">
        <v>0.02</v>
      </c>
      <c r="AE71" s="32">
        <f t="shared" si="26"/>
        <v>26000</v>
      </c>
      <c r="AF71" s="33">
        <v>595.0</v>
      </c>
      <c r="AG71" s="34">
        <v>0.0</v>
      </c>
      <c r="AH71" s="34">
        <v>0.0</v>
      </c>
      <c r="AI71" s="34">
        <v>0.0</v>
      </c>
      <c r="AJ71" s="34">
        <v>0.0</v>
      </c>
      <c r="AK71" s="34">
        <v>0.0</v>
      </c>
      <c r="AL71" s="36">
        <v>0.0</v>
      </c>
      <c r="AM71" s="37" t="s">
        <v>168</v>
      </c>
      <c r="AN71" s="38">
        <f t="shared" si="27"/>
        <v>26000</v>
      </c>
      <c r="AO71" s="39">
        <f t="shared" ref="AO71:AO73" si="29">if(AM71="Buyer",-sum((-AE71+AK71+AJ71)*50%),if(AM71="Seller",-sum((-AE71+AK71+AJ71)*50%),-sum(((-AE71+AK71+AJ71)*((100-right(AM71,2))/100)))))+if(AF71&lt;&gt;595,595, sum(AF71))</f>
        <v>3195</v>
      </c>
      <c r="AP71" s="40">
        <f t="shared" si="20"/>
        <v>22805</v>
      </c>
      <c r="AQ71" s="111"/>
      <c r="AR71" s="37"/>
      <c r="AS71" s="14"/>
      <c r="AT71" s="23" t="s">
        <v>570</v>
      </c>
      <c r="AU71" s="42"/>
      <c r="AV71" s="37" t="s">
        <v>819</v>
      </c>
      <c r="AW71" s="37" t="s">
        <v>572</v>
      </c>
      <c r="AX71" s="112"/>
      <c r="AY71" s="113" t="b">
        <v>1</v>
      </c>
      <c r="AZ71" s="42"/>
    </row>
    <row r="72">
      <c r="A72" s="23" t="s">
        <v>563</v>
      </c>
      <c r="B72" s="23" t="s">
        <v>47</v>
      </c>
      <c r="C72" s="106" t="s">
        <v>1101</v>
      </c>
      <c r="D72" s="23" t="s">
        <v>71</v>
      </c>
      <c r="E72" s="23">
        <v>92544.0</v>
      </c>
      <c r="F72" s="23" t="s">
        <v>50</v>
      </c>
      <c r="G72" s="23" t="s">
        <v>102</v>
      </c>
      <c r="H72" s="23" t="s">
        <v>172</v>
      </c>
      <c r="I72" s="23" t="s">
        <v>53</v>
      </c>
      <c r="J72" s="23" t="s">
        <v>103</v>
      </c>
      <c r="K72" s="25" t="s">
        <v>1102</v>
      </c>
      <c r="L72" s="43"/>
      <c r="M72" s="146" t="s">
        <v>1103</v>
      </c>
      <c r="N72" s="27" t="s">
        <v>1104</v>
      </c>
      <c r="O72" s="23" t="s">
        <v>436</v>
      </c>
      <c r="P72" s="23" t="s">
        <v>60</v>
      </c>
      <c r="Q72" s="23" t="s">
        <v>61</v>
      </c>
      <c r="R72" s="23" t="s">
        <v>1105</v>
      </c>
      <c r="S72" s="23" t="s">
        <v>1106</v>
      </c>
      <c r="T72" s="23" t="s">
        <v>1107</v>
      </c>
      <c r="U72" s="23" t="s">
        <v>64</v>
      </c>
      <c r="V72" s="28">
        <v>46058.0</v>
      </c>
      <c r="W72" s="28">
        <v>46084.0</v>
      </c>
      <c r="X72" s="28">
        <v>46084.0</v>
      </c>
      <c r="Y72" s="23" t="s">
        <v>64</v>
      </c>
      <c r="Z72" s="29"/>
      <c r="AA72" s="24" t="s">
        <v>65</v>
      </c>
      <c r="AB72" s="23" t="s">
        <v>156</v>
      </c>
      <c r="AC72" s="30">
        <v>460000.0</v>
      </c>
      <c r="AD72" s="31">
        <v>0.02</v>
      </c>
      <c r="AE72" s="32">
        <f t="shared" si="26"/>
        <v>9200</v>
      </c>
      <c r="AF72" s="33">
        <v>595.0</v>
      </c>
      <c r="AG72" s="34">
        <v>500.0</v>
      </c>
      <c r="AH72" s="34">
        <v>0.0</v>
      </c>
      <c r="AI72" s="34">
        <v>695.0</v>
      </c>
      <c r="AJ72" s="34">
        <v>0.0</v>
      </c>
      <c r="AK72" s="35">
        <f>sum(AE72,-AJ72)*0.35</f>
        <v>3220</v>
      </c>
      <c r="AL72" s="36">
        <v>0.0</v>
      </c>
      <c r="AM72" s="37" t="s">
        <v>47</v>
      </c>
      <c r="AN72" s="38">
        <f t="shared" si="27"/>
        <v>6675</v>
      </c>
      <c r="AO72" s="39">
        <f t="shared" si="29"/>
        <v>3585</v>
      </c>
      <c r="AP72" s="40">
        <f t="shared" si="20"/>
        <v>2590</v>
      </c>
      <c r="AQ72" s="111"/>
      <c r="AR72" s="37"/>
      <c r="AS72" s="14"/>
      <c r="AT72" s="23" t="s">
        <v>570</v>
      </c>
      <c r="AU72" s="42"/>
      <c r="AV72" s="37" t="s">
        <v>819</v>
      </c>
      <c r="AW72" s="37" t="s">
        <v>572</v>
      </c>
      <c r="AX72" s="112"/>
      <c r="AY72" s="113" t="b">
        <v>1</v>
      </c>
      <c r="AZ72" s="42"/>
    </row>
    <row r="73">
      <c r="A73" s="23" t="s">
        <v>563</v>
      </c>
      <c r="B73" s="23" t="s">
        <v>84</v>
      </c>
      <c r="C73" s="143" t="s">
        <v>1108</v>
      </c>
      <c r="D73" s="23" t="s">
        <v>235</v>
      </c>
      <c r="E73" s="23">
        <v>92027.0</v>
      </c>
      <c r="F73" s="23" t="s">
        <v>87</v>
      </c>
      <c r="G73" s="23" t="s">
        <v>184</v>
      </c>
      <c r="H73" s="23" t="s">
        <v>73</v>
      </c>
      <c r="I73" s="23" t="s">
        <v>53</v>
      </c>
      <c r="J73" s="23" t="s">
        <v>185</v>
      </c>
      <c r="K73" s="25" t="s">
        <v>1048</v>
      </c>
      <c r="L73" s="26" t="s">
        <v>1049</v>
      </c>
      <c r="M73" s="26" t="s">
        <v>1050</v>
      </c>
      <c r="N73" s="27" t="s">
        <v>92</v>
      </c>
      <c r="O73" s="23" t="s">
        <v>1052</v>
      </c>
      <c r="P73" s="23" t="s">
        <v>60</v>
      </c>
      <c r="Q73" s="23" t="s">
        <v>132</v>
      </c>
      <c r="R73" s="23" t="s">
        <v>94</v>
      </c>
      <c r="S73" s="23" t="s">
        <v>1109</v>
      </c>
      <c r="T73" s="23" t="s">
        <v>1110</v>
      </c>
      <c r="U73" s="23" t="s">
        <v>64</v>
      </c>
      <c r="V73" s="28">
        <v>46057.0</v>
      </c>
      <c r="W73" s="28">
        <v>46078.0</v>
      </c>
      <c r="X73" s="28">
        <v>46085.0</v>
      </c>
      <c r="Y73" s="23" t="s">
        <v>64</v>
      </c>
      <c r="Z73" s="29"/>
      <c r="AA73" s="24" t="s">
        <v>65</v>
      </c>
      <c r="AB73" s="23" t="s">
        <v>167</v>
      </c>
      <c r="AC73" s="30">
        <v>720000.0</v>
      </c>
      <c r="AD73" s="31">
        <v>0.015</v>
      </c>
      <c r="AE73" s="32">
        <f t="shared" si="26"/>
        <v>10800</v>
      </c>
      <c r="AF73" s="33">
        <v>595.0</v>
      </c>
      <c r="AG73" s="34">
        <v>0.0</v>
      </c>
      <c r="AH73" s="34">
        <v>0.0</v>
      </c>
      <c r="AI73" s="34">
        <f>1345-750</f>
        <v>595</v>
      </c>
      <c r="AJ73" s="34">
        <v>0.0</v>
      </c>
      <c r="AK73" s="34">
        <v>0.0</v>
      </c>
      <c r="AL73" s="36">
        <v>0.0</v>
      </c>
      <c r="AM73" s="37" t="s">
        <v>168</v>
      </c>
      <c r="AN73" s="38">
        <f t="shared" si="27"/>
        <v>11395</v>
      </c>
      <c r="AO73" s="39">
        <f t="shared" si="29"/>
        <v>1675</v>
      </c>
      <c r="AP73" s="40">
        <f t="shared" si="20"/>
        <v>9720</v>
      </c>
      <c r="AQ73" s="111"/>
      <c r="AR73" s="37"/>
      <c r="AS73" s="14"/>
      <c r="AT73" s="23" t="s">
        <v>570</v>
      </c>
      <c r="AU73" s="42"/>
      <c r="AV73" s="37" t="s">
        <v>994</v>
      </c>
      <c r="AW73" s="37" t="s">
        <v>572</v>
      </c>
      <c r="AX73" s="112"/>
      <c r="AY73" s="113" t="b">
        <v>1</v>
      </c>
      <c r="AZ73" s="42"/>
    </row>
    <row r="74">
      <c r="A74" s="23" t="s">
        <v>563</v>
      </c>
      <c r="B74" s="23" t="s">
        <v>84</v>
      </c>
      <c r="C74" s="143" t="s">
        <v>1111</v>
      </c>
      <c r="D74" s="23" t="s">
        <v>659</v>
      </c>
      <c r="E74" s="23">
        <v>92407.0</v>
      </c>
      <c r="F74" s="23" t="s">
        <v>101</v>
      </c>
      <c r="G74" s="23" t="s">
        <v>332</v>
      </c>
      <c r="H74" s="23" t="s">
        <v>73</v>
      </c>
      <c r="I74" s="23" t="s">
        <v>346</v>
      </c>
      <c r="J74" s="23" t="s">
        <v>103</v>
      </c>
      <c r="K74" s="49" t="s">
        <v>1112</v>
      </c>
      <c r="L74" s="49" t="s">
        <v>1113</v>
      </c>
      <c r="M74" s="108" t="s">
        <v>1114</v>
      </c>
      <c r="N74" s="27" t="s">
        <v>92</v>
      </c>
      <c r="O74" s="23" t="s">
        <v>471</v>
      </c>
      <c r="P74" s="23" t="s">
        <v>60</v>
      </c>
      <c r="Q74" s="23" t="s">
        <v>132</v>
      </c>
      <c r="R74" s="23" t="s">
        <v>94</v>
      </c>
      <c r="S74" s="23" t="s">
        <v>1115</v>
      </c>
      <c r="T74" s="23" t="s">
        <v>1116</v>
      </c>
      <c r="U74" s="23" t="s">
        <v>64</v>
      </c>
      <c r="V74" s="28">
        <v>46064.0</v>
      </c>
      <c r="W74" s="28">
        <v>46085.0</v>
      </c>
      <c r="X74" s="28">
        <v>46085.0</v>
      </c>
      <c r="Y74" s="23" t="s">
        <v>64</v>
      </c>
      <c r="Z74" s="29"/>
      <c r="AA74" s="24" t="s">
        <v>65</v>
      </c>
      <c r="AB74" s="23" t="s">
        <v>145</v>
      </c>
      <c r="AC74" s="30">
        <v>600000.0</v>
      </c>
      <c r="AD74" s="31">
        <v>0.03</v>
      </c>
      <c r="AE74" s="32">
        <f t="shared" si="26"/>
        <v>18000</v>
      </c>
      <c r="AF74" s="33">
        <v>595.0</v>
      </c>
      <c r="AG74" s="34">
        <v>500.0</v>
      </c>
      <c r="AH74" s="34">
        <v>250.0</v>
      </c>
      <c r="AI74" s="34">
        <v>1345.0</v>
      </c>
      <c r="AJ74" s="34">
        <v>599.0</v>
      </c>
      <c r="AK74" s="35">
        <f>sum(AE74,)*0.4</f>
        <v>7200</v>
      </c>
      <c r="AL74" s="131">
        <v>0.0</v>
      </c>
      <c r="AM74" s="37" t="s">
        <v>84</v>
      </c>
      <c r="AN74" s="38">
        <f>if(AF74=595, SUM(AE74+AI74-AK74-AJ74),sum(AE74-AK74,595))</f>
        <v>11546</v>
      </c>
      <c r="AO74" s="39">
        <f>if(AM74="Buyer",-sum((-AE74+AK74+AJ74)*50%),if(AM74="Seller",-sum((-AE74+AK74)*50%),-sum(((-AE74+AK74+AJ74)*((100-right(AM74,2))/100)))))+if(AF74&lt;&gt;595,595, sum(AF74))</f>
        <v>5995</v>
      </c>
      <c r="AP74" s="40">
        <f>sum(AN74-AO74)+-sum(AG74:AH74,AJ74)</f>
        <v>4202</v>
      </c>
      <c r="AQ74" s="111"/>
      <c r="AR74" s="37"/>
      <c r="AS74" s="14"/>
      <c r="AT74" s="23" t="s">
        <v>570</v>
      </c>
      <c r="AU74" s="42"/>
      <c r="AV74" s="37" t="s">
        <v>994</v>
      </c>
      <c r="AW74" s="37" t="s">
        <v>572</v>
      </c>
      <c r="AX74" s="112"/>
      <c r="AY74" s="113" t="b">
        <v>1</v>
      </c>
      <c r="AZ74" s="42"/>
    </row>
    <row r="75">
      <c r="A75" s="23" t="s">
        <v>563</v>
      </c>
      <c r="B75" s="23" t="s">
        <v>47</v>
      </c>
      <c r="C75" s="106" t="s">
        <v>1117</v>
      </c>
      <c r="D75" s="23" t="s">
        <v>794</v>
      </c>
      <c r="E75" s="23">
        <v>92503.0</v>
      </c>
      <c r="F75" s="23" t="s">
        <v>50</v>
      </c>
      <c r="G75" s="23" t="s">
        <v>1118</v>
      </c>
      <c r="H75" s="23" t="s">
        <v>172</v>
      </c>
      <c r="I75" s="23" t="s">
        <v>215</v>
      </c>
      <c r="J75" s="23" t="s">
        <v>103</v>
      </c>
      <c r="K75" s="25" t="s">
        <v>1119</v>
      </c>
      <c r="L75" s="26" t="s">
        <v>1120</v>
      </c>
      <c r="M75" s="27" t="s">
        <v>1121</v>
      </c>
      <c r="N75" s="59"/>
      <c r="O75" s="23"/>
      <c r="P75" s="23"/>
      <c r="Q75" s="23"/>
      <c r="R75" s="23"/>
      <c r="S75" s="23"/>
      <c r="T75" s="23"/>
      <c r="U75" s="23" t="s">
        <v>64</v>
      </c>
      <c r="V75" s="28">
        <v>46043.0</v>
      </c>
      <c r="W75" s="28">
        <v>46085.0</v>
      </c>
      <c r="X75" s="28">
        <v>46085.0</v>
      </c>
      <c r="Y75" s="23" t="s">
        <v>64</v>
      </c>
      <c r="Z75" s="29"/>
      <c r="AA75" s="24" t="s">
        <v>124</v>
      </c>
      <c r="AB75" s="23" t="s">
        <v>66</v>
      </c>
      <c r="AC75" s="30">
        <v>81095.0</v>
      </c>
      <c r="AD75" s="51">
        <v>0.0</v>
      </c>
      <c r="AE75" s="62">
        <v>1600.0</v>
      </c>
      <c r="AF75" s="33">
        <v>595.0</v>
      </c>
      <c r="AG75" s="147">
        <v>0.0</v>
      </c>
      <c r="AH75" s="34">
        <v>0.0</v>
      </c>
      <c r="AI75" s="34">
        <v>1095.0</v>
      </c>
      <c r="AJ75" s="34">
        <v>0.0</v>
      </c>
      <c r="AK75" s="35">
        <f>sum(AE75,-AJ75)*0.15</f>
        <v>240</v>
      </c>
      <c r="AL75" s="36">
        <v>0.0</v>
      </c>
      <c r="AM75" s="37" t="s">
        <v>47</v>
      </c>
      <c r="AN75" s="38">
        <f>if(AF75=595, SUM(AE75+AI75-AK75-AJ75),sum(AE75-AJ75-AK75,595))</f>
        <v>2455</v>
      </c>
      <c r="AO75" s="39">
        <f>if(AM75="Buyer",-sum((-AE75+AK75+AJ75)*50%),if(AM75="Seller",-sum((-AE75+AK75+AJ75)*50%),-sum(((-AE75+AK75+AJ75)*((100-right(AM75,2))/100)))))+if(AF75&lt;&gt;595,595, sum(AF75))</f>
        <v>1275</v>
      </c>
      <c r="AP75" s="40">
        <f t="shared" ref="AP75:AP127" si="30">sum(AN75-AO75)+-sum(AG75:AH75)</f>
        <v>1180</v>
      </c>
      <c r="AQ75" s="111"/>
      <c r="AR75" s="37"/>
      <c r="AS75" s="14"/>
      <c r="AT75" s="23" t="s">
        <v>570</v>
      </c>
      <c r="AU75" s="42"/>
      <c r="AV75" s="37" t="s">
        <v>819</v>
      </c>
      <c r="AW75" s="37" t="s">
        <v>572</v>
      </c>
      <c r="AX75" s="112"/>
      <c r="AY75" s="113" t="b">
        <v>1</v>
      </c>
      <c r="AZ75" s="42"/>
    </row>
    <row r="76">
      <c r="A76" s="23" t="s">
        <v>563</v>
      </c>
      <c r="B76" s="23" t="s">
        <v>84</v>
      </c>
      <c r="C76" s="143" t="s">
        <v>1122</v>
      </c>
      <c r="D76" s="23" t="s">
        <v>1123</v>
      </c>
      <c r="E76" s="23"/>
      <c r="F76" s="23"/>
      <c r="G76" s="23" t="s">
        <v>332</v>
      </c>
      <c r="H76" s="23" t="s">
        <v>73</v>
      </c>
      <c r="I76" s="148"/>
      <c r="J76" s="23" t="s">
        <v>185</v>
      </c>
      <c r="K76" s="25"/>
      <c r="L76" s="43"/>
      <c r="M76" s="43"/>
      <c r="N76" s="59"/>
      <c r="O76" s="23"/>
      <c r="P76" s="23"/>
      <c r="Q76" s="23"/>
      <c r="R76" s="23"/>
      <c r="S76" s="23"/>
      <c r="T76" s="23"/>
      <c r="U76" s="23" t="s">
        <v>64</v>
      </c>
      <c r="V76" s="149">
        <v>46070.0</v>
      </c>
      <c r="W76" s="28">
        <v>46080.0</v>
      </c>
      <c r="X76" s="28">
        <v>46086.0</v>
      </c>
      <c r="Y76" s="23" t="s">
        <v>64</v>
      </c>
      <c r="Z76" s="29"/>
      <c r="AA76" s="24" t="s">
        <v>65</v>
      </c>
      <c r="AB76" s="23" t="s">
        <v>167</v>
      </c>
      <c r="AC76" s="150">
        <v>1050000.0</v>
      </c>
      <c r="AD76" s="51">
        <v>0.0</v>
      </c>
      <c r="AE76" s="62">
        <v>15750.0</v>
      </c>
      <c r="AF76" s="33" t="s">
        <v>93</v>
      </c>
      <c r="AG76" s="34">
        <v>0.0</v>
      </c>
      <c r="AH76" s="34" t="s">
        <v>82</v>
      </c>
      <c r="AI76" s="34">
        <v>0.0</v>
      </c>
      <c r="AJ76" s="34">
        <v>0.0</v>
      </c>
      <c r="AK76" s="34">
        <v>0.0</v>
      </c>
      <c r="AL76" s="36">
        <v>0.0</v>
      </c>
      <c r="AM76" s="37" t="s">
        <v>168</v>
      </c>
      <c r="AN76" s="38">
        <f>if(AF76=0, SUM(AE76+AI76-AK76-AJ76),sum(AE76-AJ76-AK76,0))</f>
        <v>15750</v>
      </c>
      <c r="AO76" s="39">
        <f>if(AM76="Buyer",-sum((-AE76+AK76+AJ76)*50%),if(AM76="Seller",-sum((-AE76+AK76+AJ76)*50%),-sum(((-AE76+AK76+AJ76)*((100-right(AM76,2))/100)))))+if(AF76&lt;&gt;0,0, sum(AF76))</f>
        <v>1575</v>
      </c>
      <c r="AP76" s="40">
        <f t="shared" si="30"/>
        <v>14175</v>
      </c>
      <c r="AQ76" s="111"/>
      <c r="AR76" s="37"/>
      <c r="AS76" s="14"/>
      <c r="AT76" s="23" t="s">
        <v>570</v>
      </c>
      <c r="AU76" s="42"/>
      <c r="AV76" s="151" t="s">
        <v>1124</v>
      </c>
      <c r="AW76" s="151" t="s">
        <v>114</v>
      </c>
      <c r="AX76" s="152"/>
      <c r="AY76" s="151" t="s">
        <v>792</v>
      </c>
      <c r="AZ76" s="42"/>
    </row>
    <row r="77">
      <c r="A77" s="23" t="s">
        <v>563</v>
      </c>
      <c r="B77" s="23" t="s">
        <v>47</v>
      </c>
      <c r="C77" s="106" t="s">
        <v>1125</v>
      </c>
      <c r="D77" s="23" t="s">
        <v>389</v>
      </c>
      <c r="E77" s="23">
        <v>92084.0</v>
      </c>
      <c r="F77" s="23" t="s">
        <v>87</v>
      </c>
      <c r="G77" s="23" t="s">
        <v>1065</v>
      </c>
      <c r="H77" s="23" t="s">
        <v>52</v>
      </c>
      <c r="I77" s="23" t="s">
        <v>53</v>
      </c>
      <c r="J77" s="23" t="s">
        <v>103</v>
      </c>
      <c r="K77" s="25" t="s">
        <v>1126</v>
      </c>
      <c r="L77" s="26" t="s">
        <v>1127</v>
      </c>
      <c r="M77" s="26" t="s">
        <v>1128</v>
      </c>
      <c r="N77" s="27" t="s">
        <v>239</v>
      </c>
      <c r="O77" s="47" t="s">
        <v>143</v>
      </c>
      <c r="P77" s="23" t="s">
        <v>60</v>
      </c>
      <c r="Q77" s="23" t="s">
        <v>61</v>
      </c>
      <c r="R77" s="23"/>
      <c r="S77" s="23" t="s">
        <v>1129</v>
      </c>
      <c r="T77" s="23" t="s">
        <v>1130</v>
      </c>
      <c r="U77" s="23" t="s">
        <v>64</v>
      </c>
      <c r="V77" s="28">
        <v>46072.0</v>
      </c>
      <c r="W77" s="28">
        <v>46086.0</v>
      </c>
      <c r="X77" s="28">
        <v>46086.0</v>
      </c>
      <c r="Y77" s="23" t="s">
        <v>64</v>
      </c>
      <c r="Z77" s="29"/>
      <c r="AA77" s="24" t="s">
        <v>65</v>
      </c>
      <c r="AB77" s="23" t="s">
        <v>66</v>
      </c>
      <c r="AC77" s="30">
        <v>1200000.0</v>
      </c>
      <c r="AD77" s="31">
        <v>0.02</v>
      </c>
      <c r="AE77" s="32">
        <f t="shared" ref="AE77:AE84" si="31">SUM(AC77*AD77)</f>
        <v>24000</v>
      </c>
      <c r="AF77" s="33">
        <v>595.0</v>
      </c>
      <c r="AG77" s="34">
        <v>500.0</v>
      </c>
      <c r="AH77" s="34">
        <v>0.0</v>
      </c>
      <c r="AI77" s="34">
        <v>1095.0</v>
      </c>
      <c r="AJ77" s="34">
        <v>0.0</v>
      </c>
      <c r="AK77" s="35">
        <f>sum(AE77,-AJ77)*0.4</f>
        <v>9600</v>
      </c>
      <c r="AL77" s="36">
        <v>0.0</v>
      </c>
      <c r="AM77" s="37" t="s">
        <v>47</v>
      </c>
      <c r="AN77" s="38">
        <f t="shared" ref="AN77:AN80" si="32">if(AF77=595, SUM(AE77+AI77-AK77-AJ77),sum(AE77-AJ77-AK77,595))</f>
        <v>15495</v>
      </c>
      <c r="AO77" s="39">
        <f>if(AM77="Buyer",-sum((-AE77+AK77+AJ77)*47.5%),if(AM77="Seller",-sum((-AE77+AK77+AJ77)*50%),-sum(((-AE77+AK77+AJ77)*((100-right(AM77,2))/100)))))+if(AF77&lt;&gt;595,595, sum(AF77))</f>
        <v>7435</v>
      </c>
      <c r="AP77" s="40">
        <f t="shared" si="30"/>
        <v>7560</v>
      </c>
      <c r="AQ77" s="111"/>
      <c r="AR77" s="37"/>
      <c r="AS77" s="14"/>
      <c r="AT77" s="23" t="s">
        <v>570</v>
      </c>
      <c r="AU77" s="42"/>
      <c r="AV77" s="37" t="s">
        <v>994</v>
      </c>
      <c r="AW77" s="37" t="s">
        <v>572</v>
      </c>
      <c r="AX77" s="112"/>
      <c r="AY77" s="113" t="b">
        <v>1</v>
      </c>
      <c r="AZ77" s="42"/>
    </row>
    <row r="78">
      <c r="A78" s="23" t="s">
        <v>563</v>
      </c>
      <c r="B78" s="23" t="s">
        <v>47</v>
      </c>
      <c r="C78" s="153" t="s">
        <v>1131</v>
      </c>
      <c r="D78" s="23" t="s">
        <v>138</v>
      </c>
      <c r="E78" s="23">
        <v>92582.0</v>
      </c>
      <c r="F78" s="23" t="s">
        <v>50</v>
      </c>
      <c r="G78" s="23" t="s">
        <v>171</v>
      </c>
      <c r="H78" s="23" t="s">
        <v>52</v>
      </c>
      <c r="I78" s="23" t="s">
        <v>53</v>
      </c>
      <c r="J78" s="23" t="s">
        <v>185</v>
      </c>
      <c r="K78" s="154" t="s">
        <v>1132</v>
      </c>
      <c r="L78" s="154" t="s">
        <v>1133</v>
      </c>
      <c r="M78" s="155" t="s">
        <v>1134</v>
      </c>
      <c r="N78" s="154" t="s">
        <v>1135</v>
      </c>
      <c r="O78" s="156" t="s">
        <v>1136</v>
      </c>
      <c r="P78" s="23"/>
      <c r="Q78" s="23"/>
      <c r="R78" s="23"/>
      <c r="S78" s="23"/>
      <c r="T78" s="23"/>
      <c r="U78" s="23" t="s">
        <v>64</v>
      </c>
      <c r="V78" s="28">
        <v>46067.0</v>
      </c>
      <c r="W78" s="28">
        <v>46086.0</v>
      </c>
      <c r="X78" s="28">
        <v>46086.0</v>
      </c>
      <c r="Y78" s="23" t="s">
        <v>64</v>
      </c>
      <c r="Z78" s="29"/>
      <c r="AA78" s="24" t="s">
        <v>343</v>
      </c>
      <c r="AB78" s="23" t="s">
        <v>167</v>
      </c>
      <c r="AC78" s="30">
        <v>494900.0</v>
      </c>
      <c r="AD78" s="31">
        <v>0.025</v>
      </c>
      <c r="AE78" s="32">
        <f t="shared" si="31"/>
        <v>12372.5</v>
      </c>
      <c r="AF78" s="33">
        <v>595.0</v>
      </c>
      <c r="AG78" s="34">
        <v>0.0</v>
      </c>
      <c r="AH78" s="34">
        <v>0.0</v>
      </c>
      <c r="AI78" s="34">
        <v>595.0</v>
      </c>
      <c r="AJ78" s="34">
        <v>0.0</v>
      </c>
      <c r="AK78" s="34">
        <v>0.0</v>
      </c>
      <c r="AL78" s="36">
        <v>0.0</v>
      </c>
      <c r="AM78" s="37" t="s">
        <v>202</v>
      </c>
      <c r="AN78" s="38">
        <f t="shared" si="32"/>
        <v>12967.5</v>
      </c>
      <c r="AO78" s="39">
        <f>if(AM78="Buyer",-sum((-AE78+AK78+AJ78)*50%),if(AM78="Seller",-sum((-AE78+AK78+AJ78)*50%),-sum(((-AE78+AK78+AJ78)*((100-right(AM78,2))/100)))))+if(AF78&lt;&gt;595,595, sum(AF78))</f>
        <v>4306.75</v>
      </c>
      <c r="AP78" s="40">
        <f t="shared" si="30"/>
        <v>8660.75</v>
      </c>
      <c r="AQ78" s="111"/>
      <c r="AR78" s="37"/>
      <c r="AS78" s="14"/>
      <c r="AT78" s="23" t="s">
        <v>570</v>
      </c>
      <c r="AU78" s="42"/>
      <c r="AV78" s="37" t="s">
        <v>819</v>
      </c>
      <c r="AW78" s="37" t="s">
        <v>572</v>
      </c>
      <c r="AX78" s="112"/>
      <c r="AY78" s="113" t="b">
        <v>1</v>
      </c>
      <c r="AZ78" s="42"/>
    </row>
    <row r="79">
      <c r="A79" s="23" t="s">
        <v>563</v>
      </c>
      <c r="B79" s="23" t="s">
        <v>47</v>
      </c>
      <c r="C79" s="106" t="s">
        <v>1137</v>
      </c>
      <c r="D79" s="23" t="s">
        <v>1044</v>
      </c>
      <c r="E79" s="23">
        <v>92325.0</v>
      </c>
      <c r="F79" s="23" t="s">
        <v>101</v>
      </c>
      <c r="G79" s="23" t="s">
        <v>1138</v>
      </c>
      <c r="H79" s="23" t="s">
        <v>52</v>
      </c>
      <c r="I79" s="23" t="s">
        <v>53</v>
      </c>
      <c r="J79" s="23" t="s">
        <v>54</v>
      </c>
      <c r="K79" s="25" t="s">
        <v>1139</v>
      </c>
      <c r="L79" s="26" t="s">
        <v>1140</v>
      </c>
      <c r="M79" s="26" t="s">
        <v>1141</v>
      </c>
      <c r="N79" s="27" t="s">
        <v>859</v>
      </c>
      <c r="O79" s="23" t="s">
        <v>1142</v>
      </c>
      <c r="P79" s="23" t="s">
        <v>351</v>
      </c>
      <c r="Q79" s="23" t="s">
        <v>61</v>
      </c>
      <c r="R79" s="86" t="s">
        <v>859</v>
      </c>
      <c r="S79" s="23" t="s">
        <v>1143</v>
      </c>
      <c r="T79" s="23" t="s">
        <v>1144</v>
      </c>
      <c r="U79" s="23" t="s">
        <v>64</v>
      </c>
      <c r="V79" s="28">
        <v>46057.0</v>
      </c>
      <c r="W79" s="28">
        <v>46087.0</v>
      </c>
      <c r="X79" s="28">
        <v>46087.0</v>
      </c>
      <c r="Y79" s="23" t="s">
        <v>64</v>
      </c>
      <c r="Z79" s="29"/>
      <c r="AA79" s="24" t="s">
        <v>65</v>
      </c>
      <c r="AB79" s="23" t="s">
        <v>66</v>
      </c>
      <c r="AC79" s="30">
        <v>240000.0</v>
      </c>
      <c r="AD79" s="31">
        <v>0.03</v>
      </c>
      <c r="AE79" s="32">
        <f t="shared" si="31"/>
        <v>7200</v>
      </c>
      <c r="AF79" s="33">
        <v>595.0</v>
      </c>
      <c r="AG79" s="34">
        <v>500.0</v>
      </c>
      <c r="AH79" s="34">
        <v>0.0</v>
      </c>
      <c r="AI79" s="34">
        <v>1095.0</v>
      </c>
      <c r="AJ79" s="34">
        <v>0.0</v>
      </c>
      <c r="AK79" s="35">
        <f>sum(AE79,-AJ79)*0.25</f>
        <v>1800</v>
      </c>
      <c r="AL79" s="36">
        <v>0.0</v>
      </c>
      <c r="AM79" s="37" t="s">
        <v>47</v>
      </c>
      <c r="AN79" s="38">
        <f t="shared" si="32"/>
        <v>6495</v>
      </c>
      <c r="AO79" s="39">
        <f>if(AM79="Buyer",-sum((-AE79+AK79+AJ79)*47.5%),if(AM79="Seller",-sum((-AE79+AK79+AJ79)*50%),-sum(((-AE79+AK79+AJ79)*((100-right(AM79,2))/100)))))+if(AF79&lt;&gt;595,595, sum(AF79))</f>
        <v>3160</v>
      </c>
      <c r="AP79" s="40">
        <f t="shared" si="30"/>
        <v>2835</v>
      </c>
      <c r="AQ79" s="111"/>
      <c r="AR79" s="37"/>
      <c r="AS79" s="14"/>
      <c r="AT79" s="23" t="s">
        <v>570</v>
      </c>
      <c r="AU79" s="42"/>
      <c r="AV79" s="37" t="s">
        <v>994</v>
      </c>
      <c r="AW79" s="37" t="s">
        <v>572</v>
      </c>
      <c r="AX79" s="112"/>
      <c r="AY79" s="113" t="b">
        <v>1</v>
      </c>
      <c r="AZ79" s="42"/>
    </row>
    <row r="80">
      <c r="A80" s="23" t="s">
        <v>563</v>
      </c>
      <c r="B80" s="23" t="s">
        <v>47</v>
      </c>
      <c r="C80" s="106" t="s">
        <v>1145</v>
      </c>
      <c r="D80" s="23" t="s">
        <v>148</v>
      </c>
      <c r="E80" s="23">
        <v>92883.0</v>
      </c>
      <c r="F80" s="23" t="s">
        <v>50</v>
      </c>
      <c r="G80" s="23" t="s">
        <v>171</v>
      </c>
      <c r="H80" s="23" t="s">
        <v>52</v>
      </c>
      <c r="I80" s="23" t="s">
        <v>53</v>
      </c>
      <c r="J80" s="23" t="s">
        <v>103</v>
      </c>
      <c r="K80" s="25" t="s">
        <v>1146</v>
      </c>
      <c r="L80" s="26" t="s">
        <v>1147</v>
      </c>
      <c r="M80" s="27" t="s">
        <v>1148</v>
      </c>
      <c r="N80" s="27" t="s">
        <v>1149</v>
      </c>
      <c r="O80" s="23" t="s">
        <v>1150</v>
      </c>
      <c r="P80" s="23" t="s">
        <v>60</v>
      </c>
      <c r="Q80" s="23" t="s">
        <v>61</v>
      </c>
      <c r="R80" s="23"/>
      <c r="S80" s="23" t="s">
        <v>1151</v>
      </c>
      <c r="T80" s="23" t="s">
        <v>1152</v>
      </c>
      <c r="U80" s="23" t="s">
        <v>64</v>
      </c>
      <c r="V80" s="28">
        <v>46052.0</v>
      </c>
      <c r="W80" s="28">
        <v>46092.0</v>
      </c>
      <c r="X80" s="28">
        <v>46087.0</v>
      </c>
      <c r="Y80" s="23" t="s">
        <v>64</v>
      </c>
      <c r="Z80" s="29"/>
      <c r="AA80" s="24" t="s">
        <v>414</v>
      </c>
      <c r="AB80" s="23" t="s">
        <v>66</v>
      </c>
      <c r="AC80" s="30">
        <v>585000.0</v>
      </c>
      <c r="AD80" s="31">
        <v>0.03</v>
      </c>
      <c r="AE80" s="32">
        <f t="shared" si="31"/>
        <v>17550</v>
      </c>
      <c r="AF80" s="33">
        <v>595.0</v>
      </c>
      <c r="AG80" s="34">
        <v>500.0</v>
      </c>
      <c r="AH80" s="34">
        <v>0.0</v>
      </c>
      <c r="AI80" s="34">
        <v>1095.0</v>
      </c>
      <c r="AJ80" s="34">
        <v>0.0</v>
      </c>
      <c r="AK80" s="35">
        <f>sum(AE80,-AJ80)*0.4</f>
        <v>7020</v>
      </c>
      <c r="AL80" s="36">
        <v>0.0</v>
      </c>
      <c r="AM80" s="37" t="s">
        <v>47</v>
      </c>
      <c r="AN80" s="38">
        <f t="shared" si="32"/>
        <v>11625</v>
      </c>
      <c r="AO80" s="39">
        <f>if(AM80="Buyer",-sum((-AE80+AK80+AJ80)*50%),if(AM80="Seller",-sum((-AE80+AK80+AJ80)*50%),-sum(((-AE80+AK80+AJ80)*((100-right(AM80,2))/100)))))+if(AF80&lt;&gt;595,595, sum(AF80))</f>
        <v>5860</v>
      </c>
      <c r="AP80" s="40">
        <f t="shared" si="30"/>
        <v>5265</v>
      </c>
      <c r="AQ80" s="111"/>
      <c r="AR80" s="37"/>
      <c r="AS80" s="14"/>
      <c r="AT80" s="23" t="s">
        <v>570</v>
      </c>
      <c r="AU80" s="42"/>
      <c r="AV80" s="37" t="s">
        <v>819</v>
      </c>
      <c r="AW80" s="37" t="s">
        <v>572</v>
      </c>
      <c r="AX80" s="112"/>
      <c r="AY80" s="113" t="b">
        <v>1</v>
      </c>
      <c r="AZ80" s="145"/>
    </row>
    <row r="81">
      <c r="A81" s="23" t="s">
        <v>563</v>
      </c>
      <c r="B81" s="23" t="s">
        <v>84</v>
      </c>
      <c r="C81" s="106" t="s">
        <v>1153</v>
      </c>
      <c r="D81" s="23" t="s">
        <v>316</v>
      </c>
      <c r="E81" s="23">
        <v>92562.0</v>
      </c>
      <c r="F81" s="23" t="s">
        <v>50</v>
      </c>
      <c r="G81" s="23" t="s">
        <v>139</v>
      </c>
      <c r="H81" s="23" t="s">
        <v>73</v>
      </c>
      <c r="I81" s="23" t="s">
        <v>53</v>
      </c>
      <c r="J81" s="23" t="s">
        <v>103</v>
      </c>
      <c r="K81" s="25" t="s">
        <v>1154</v>
      </c>
      <c r="L81" s="26" t="s">
        <v>1155</v>
      </c>
      <c r="M81" s="27" t="s">
        <v>1156</v>
      </c>
      <c r="N81" s="27" t="s">
        <v>1157</v>
      </c>
      <c r="O81" s="23" t="s">
        <v>1158</v>
      </c>
      <c r="P81" s="23"/>
      <c r="Q81" s="23" t="s">
        <v>132</v>
      </c>
      <c r="R81" s="23" t="s">
        <v>1159</v>
      </c>
      <c r="S81" s="23" t="s">
        <v>1160</v>
      </c>
      <c r="T81" s="157" t="s">
        <v>1161</v>
      </c>
      <c r="U81" s="23" t="s">
        <v>64</v>
      </c>
      <c r="V81" s="28">
        <v>46057.0</v>
      </c>
      <c r="W81" s="28">
        <v>46094.0</v>
      </c>
      <c r="X81" s="28">
        <v>46087.0</v>
      </c>
      <c r="Y81" s="23" t="s">
        <v>64</v>
      </c>
      <c r="Z81" s="29"/>
      <c r="AA81" s="24" t="s">
        <v>65</v>
      </c>
      <c r="AB81" s="23" t="s">
        <v>167</v>
      </c>
      <c r="AC81" s="30">
        <v>587000.0</v>
      </c>
      <c r="AD81" s="31">
        <v>0.0175</v>
      </c>
      <c r="AE81" s="32">
        <f t="shared" si="31"/>
        <v>10272.5</v>
      </c>
      <c r="AF81" s="33">
        <v>695.0</v>
      </c>
      <c r="AG81" s="34">
        <v>0.0</v>
      </c>
      <c r="AH81" s="34" t="s">
        <v>53</v>
      </c>
      <c r="AI81" s="34">
        <v>695.0</v>
      </c>
      <c r="AJ81" s="34">
        <v>0.0</v>
      </c>
      <c r="AK81" s="34">
        <v>0.0</v>
      </c>
      <c r="AL81" s="36">
        <v>0.0</v>
      </c>
      <c r="AM81" s="37" t="s">
        <v>1162</v>
      </c>
      <c r="AN81" s="38">
        <f>if(AF81=595, SUM(AE81+AI81-AK81-AJ81),sum(AE81-AJ81-AK81,695))</f>
        <v>10967.5</v>
      </c>
      <c r="AO81" s="39">
        <f>if(AM81="Buyer",-sum((-AE81+AK81+AJ81)*50%),if(AM81="Seller",-sum((-AE81+AK81+AJ81)*50%),-sum(((-AE81+AK81+AJ81)*((100-right(AM81,2))/100)))))+if(AF81&lt;&gt;595,695, sum(AF81))</f>
        <v>3776.75</v>
      </c>
      <c r="AP81" s="40">
        <f t="shared" si="30"/>
        <v>7190.75</v>
      </c>
      <c r="AQ81" s="111"/>
      <c r="AR81" s="37"/>
      <c r="AS81" s="14"/>
      <c r="AT81" s="23" t="s">
        <v>570</v>
      </c>
      <c r="AU81" s="42"/>
      <c r="AV81" s="23" t="s">
        <v>571</v>
      </c>
      <c r="AW81" s="37" t="s">
        <v>572</v>
      </c>
      <c r="AX81" s="112"/>
      <c r="AY81" s="37" t="s">
        <v>792</v>
      </c>
      <c r="AZ81" s="42"/>
    </row>
    <row r="82">
      <c r="A82" s="23" t="s">
        <v>563</v>
      </c>
      <c r="B82" s="23" t="s">
        <v>84</v>
      </c>
      <c r="C82" s="106" t="s">
        <v>1163</v>
      </c>
      <c r="D82" s="23" t="s">
        <v>158</v>
      </c>
      <c r="E82" s="23">
        <v>92530.0</v>
      </c>
      <c r="F82" s="23" t="s">
        <v>50</v>
      </c>
      <c r="G82" s="23" t="s">
        <v>184</v>
      </c>
      <c r="H82" s="23" t="s">
        <v>73</v>
      </c>
      <c r="I82" s="23" t="s">
        <v>74</v>
      </c>
      <c r="J82" s="23" t="s">
        <v>185</v>
      </c>
      <c r="K82" s="137" t="s">
        <v>1164</v>
      </c>
      <c r="L82" s="107" t="s">
        <v>1165</v>
      </c>
      <c r="M82" s="107" t="s">
        <v>1166</v>
      </c>
      <c r="N82" s="24" t="s">
        <v>1167</v>
      </c>
      <c r="O82" s="47" t="s">
        <v>143</v>
      </c>
      <c r="P82" s="23" t="s">
        <v>93</v>
      </c>
      <c r="Q82" s="23" t="s">
        <v>132</v>
      </c>
      <c r="R82" s="23" t="s">
        <v>94</v>
      </c>
      <c r="S82" s="47" t="s">
        <v>680</v>
      </c>
      <c r="T82" s="47" t="s">
        <v>680</v>
      </c>
      <c r="U82" s="23" t="s">
        <v>64</v>
      </c>
      <c r="V82" s="28">
        <v>46080.0</v>
      </c>
      <c r="W82" s="28">
        <v>46087.0</v>
      </c>
      <c r="X82" s="28">
        <v>46087.0</v>
      </c>
      <c r="Y82" s="23" t="s">
        <v>64</v>
      </c>
      <c r="Z82" s="29"/>
      <c r="AA82" s="24" t="s">
        <v>65</v>
      </c>
      <c r="AB82" s="23" t="s">
        <v>66</v>
      </c>
      <c r="AC82" s="30">
        <v>255000.0</v>
      </c>
      <c r="AD82" s="31">
        <v>0.03</v>
      </c>
      <c r="AE82" s="32">
        <f t="shared" si="31"/>
        <v>7650</v>
      </c>
      <c r="AF82" s="33">
        <v>595.0</v>
      </c>
      <c r="AG82" s="34">
        <v>0.0</v>
      </c>
      <c r="AH82" s="34">
        <v>0.0</v>
      </c>
      <c r="AI82" s="34">
        <v>0.0</v>
      </c>
      <c r="AJ82" s="34">
        <v>0.0</v>
      </c>
      <c r="AK82" s="35">
        <f>sum(AE82,-AJ82)*0.4</f>
        <v>3060</v>
      </c>
      <c r="AL82" s="36">
        <v>0.0</v>
      </c>
      <c r="AM82" s="37" t="s">
        <v>84</v>
      </c>
      <c r="AN82" s="38">
        <f t="shared" ref="AN82:AN84" si="33">if(AF82=595, SUM(AE82+AI82-AK82-AJ82),sum(AE82-AJ82-AK82,595))</f>
        <v>4590</v>
      </c>
      <c r="AO82" s="39">
        <f>if(AM82="Buyer",-sum((-AE82+AK82+AJ82)*50%),if(AM82="Seller",-sum((-AE82+AK82+AJ82)*50%),-sum(((-AE82+AK82+AJ82)*((100-right(AM82,2))/100)))))+if(AF82&lt;&gt;595,595, sum(AF82))</f>
        <v>2890</v>
      </c>
      <c r="AP82" s="40">
        <f t="shared" si="30"/>
        <v>1700</v>
      </c>
      <c r="AQ82" s="111"/>
      <c r="AR82" s="37"/>
      <c r="AS82" s="14"/>
      <c r="AT82" s="23" t="s">
        <v>570</v>
      </c>
      <c r="AU82" s="42"/>
      <c r="AV82" s="23" t="s">
        <v>1168</v>
      </c>
      <c r="AW82" s="23" t="s">
        <v>572</v>
      </c>
      <c r="AX82" s="112"/>
      <c r="AY82" s="37" t="b">
        <v>1</v>
      </c>
      <c r="AZ82" s="42"/>
    </row>
    <row r="83">
      <c r="A83" s="23" t="s">
        <v>563</v>
      </c>
      <c r="B83" s="23" t="s">
        <v>47</v>
      </c>
      <c r="C83" s="106" t="s">
        <v>1163</v>
      </c>
      <c r="D83" s="23" t="s">
        <v>158</v>
      </c>
      <c r="E83" s="23">
        <v>92530.0</v>
      </c>
      <c r="F83" s="23" t="s">
        <v>50</v>
      </c>
      <c r="G83" s="23" t="s">
        <v>184</v>
      </c>
      <c r="H83" s="23" t="s">
        <v>73</v>
      </c>
      <c r="I83" s="23" t="s">
        <v>53</v>
      </c>
      <c r="J83" s="23" t="s">
        <v>185</v>
      </c>
      <c r="K83" s="49" t="s">
        <v>1169</v>
      </c>
      <c r="L83" s="49" t="s">
        <v>1170</v>
      </c>
      <c r="M83" s="107"/>
      <c r="N83" s="24" t="s">
        <v>1167</v>
      </c>
      <c r="O83" s="47" t="s">
        <v>143</v>
      </c>
      <c r="P83" s="23" t="s">
        <v>93</v>
      </c>
      <c r="Q83" s="23" t="s">
        <v>132</v>
      </c>
      <c r="R83" s="23" t="s">
        <v>94</v>
      </c>
      <c r="S83" s="47" t="s">
        <v>680</v>
      </c>
      <c r="T83" s="47" t="s">
        <v>680</v>
      </c>
      <c r="U83" s="23" t="s">
        <v>64</v>
      </c>
      <c r="V83" s="28">
        <v>46080.0</v>
      </c>
      <c r="W83" s="28">
        <v>46087.0</v>
      </c>
      <c r="X83" s="28">
        <v>46087.0</v>
      </c>
      <c r="Y83" s="23" t="s">
        <v>64</v>
      </c>
      <c r="Z83" s="29"/>
      <c r="AA83" s="24" t="s">
        <v>65</v>
      </c>
      <c r="AB83" s="23" t="s">
        <v>167</v>
      </c>
      <c r="AC83" s="30">
        <v>255000.0</v>
      </c>
      <c r="AD83" s="31">
        <v>0.02</v>
      </c>
      <c r="AE83" s="32">
        <f t="shared" si="31"/>
        <v>5100</v>
      </c>
      <c r="AF83" s="33">
        <v>595.0</v>
      </c>
      <c r="AG83" s="34">
        <v>0.0</v>
      </c>
      <c r="AH83" s="34">
        <v>0.0</v>
      </c>
      <c r="AI83" s="34">
        <v>595.0</v>
      </c>
      <c r="AJ83" s="34">
        <v>0.0</v>
      </c>
      <c r="AK83" s="119">
        <v>0.0</v>
      </c>
      <c r="AL83" s="36">
        <v>0.0</v>
      </c>
      <c r="AM83" s="37" t="s">
        <v>277</v>
      </c>
      <c r="AN83" s="38">
        <f t="shared" si="33"/>
        <v>5695</v>
      </c>
      <c r="AO83" s="39">
        <f>if(AM83="Buyer",-sum((-AE83+AK83+AJ83)*50%),if(AM83="Seller",-sum((-AE83+AK83+AJ83)*50%),-sum(((-AE83+AK83+AJ83)*((100-right(AM83,3))/100)))))+if(AF83&lt;&gt;595,595, sum(AF83))</f>
        <v>595</v>
      </c>
      <c r="AP83" s="40">
        <f t="shared" si="30"/>
        <v>5100</v>
      </c>
      <c r="AQ83" s="111"/>
      <c r="AR83" s="37"/>
      <c r="AS83" s="14"/>
      <c r="AT83" s="23" t="s">
        <v>570</v>
      </c>
      <c r="AU83" s="42"/>
      <c r="AV83" s="23" t="s">
        <v>819</v>
      </c>
      <c r="AW83" s="37" t="s">
        <v>572</v>
      </c>
      <c r="AX83" s="112"/>
      <c r="AY83" s="37" t="b">
        <v>1</v>
      </c>
      <c r="AZ83" s="42"/>
    </row>
    <row r="84">
      <c r="A84" s="23" t="s">
        <v>563</v>
      </c>
      <c r="B84" s="23" t="s">
        <v>47</v>
      </c>
      <c r="C84" s="106" t="s">
        <v>1171</v>
      </c>
      <c r="D84" s="23" t="s">
        <v>100</v>
      </c>
      <c r="E84" s="23">
        <v>92392.0</v>
      </c>
      <c r="F84" s="23" t="s">
        <v>101</v>
      </c>
      <c r="G84" s="23" t="s">
        <v>633</v>
      </c>
      <c r="H84" s="23" t="s">
        <v>172</v>
      </c>
      <c r="I84" s="23" t="s">
        <v>53</v>
      </c>
      <c r="J84" s="23" t="s">
        <v>103</v>
      </c>
      <c r="K84" s="25" t="s">
        <v>1172</v>
      </c>
      <c r="L84" s="26" t="s">
        <v>1173</v>
      </c>
      <c r="M84" s="27" t="s">
        <v>1174</v>
      </c>
      <c r="N84" s="27" t="s">
        <v>1175</v>
      </c>
      <c r="O84" s="23" t="s">
        <v>1176</v>
      </c>
      <c r="P84" s="23" t="s">
        <v>60</v>
      </c>
      <c r="Q84" s="23" t="s">
        <v>198</v>
      </c>
      <c r="R84" s="23" t="s">
        <v>1177</v>
      </c>
      <c r="S84" s="23" t="s">
        <v>1178</v>
      </c>
      <c r="T84" s="23" t="s">
        <v>1179</v>
      </c>
      <c r="U84" s="23" t="s">
        <v>64</v>
      </c>
      <c r="V84" s="28">
        <v>46070.0</v>
      </c>
      <c r="W84" s="28">
        <v>46084.0</v>
      </c>
      <c r="X84" s="28">
        <v>46090.0</v>
      </c>
      <c r="Y84" s="23" t="s">
        <v>64</v>
      </c>
      <c r="Z84" s="29"/>
      <c r="AA84" s="24" t="s">
        <v>65</v>
      </c>
      <c r="AB84" s="23" t="s">
        <v>167</v>
      </c>
      <c r="AC84" s="30">
        <v>495000.0</v>
      </c>
      <c r="AD84" s="31">
        <v>0.04</v>
      </c>
      <c r="AE84" s="32">
        <f t="shared" si="31"/>
        <v>19800</v>
      </c>
      <c r="AF84" s="33">
        <v>595.0</v>
      </c>
      <c r="AG84" s="34">
        <v>500.0</v>
      </c>
      <c r="AH84" s="34">
        <v>0.0</v>
      </c>
      <c r="AI84" s="34">
        <v>1095.0</v>
      </c>
      <c r="AJ84" s="34">
        <v>0.0</v>
      </c>
      <c r="AK84" s="34">
        <v>0.0</v>
      </c>
      <c r="AL84" s="36">
        <v>0.0</v>
      </c>
      <c r="AM84" s="37" t="s">
        <v>202</v>
      </c>
      <c r="AN84" s="38">
        <f t="shared" si="33"/>
        <v>20895</v>
      </c>
      <c r="AO84" s="39">
        <f t="shared" ref="AO84:AO85" si="34">if(AM84="Buyer",-sum((-AE84+AK84+AJ84)*50%),if(AM84="Seller",-sum((-AE84+AK84+AJ84)*50%),-sum(((-AE84+AK84+AJ84)*((100-right(AM84,2))/100)))))+if(AF84&lt;&gt;595,595, sum(AF84))</f>
        <v>6535</v>
      </c>
      <c r="AP84" s="40">
        <f t="shared" si="30"/>
        <v>13860</v>
      </c>
      <c r="AQ84" s="111"/>
      <c r="AR84" s="37"/>
      <c r="AS84" s="14"/>
      <c r="AT84" s="23" t="s">
        <v>570</v>
      </c>
      <c r="AU84" s="42"/>
      <c r="AV84" s="37" t="s">
        <v>994</v>
      </c>
      <c r="AW84" s="37" t="s">
        <v>572</v>
      </c>
      <c r="AX84" s="112"/>
      <c r="AY84" s="113" t="b">
        <v>1</v>
      </c>
      <c r="AZ84" s="42"/>
    </row>
    <row r="85">
      <c r="A85" s="23" t="s">
        <v>563</v>
      </c>
      <c r="B85" s="23" t="s">
        <v>47</v>
      </c>
      <c r="C85" s="106" t="s">
        <v>1180</v>
      </c>
      <c r="D85" s="23" t="s">
        <v>49</v>
      </c>
      <c r="E85" s="23">
        <v>92586.0</v>
      </c>
      <c r="F85" s="23" t="s">
        <v>50</v>
      </c>
      <c r="G85" s="23" t="s">
        <v>139</v>
      </c>
      <c r="H85" s="23" t="s">
        <v>73</v>
      </c>
      <c r="I85" s="23" t="s">
        <v>53</v>
      </c>
      <c r="J85" s="23" t="s">
        <v>103</v>
      </c>
      <c r="K85" s="25" t="s">
        <v>1181</v>
      </c>
      <c r="L85" s="43"/>
      <c r="M85" s="27" t="s">
        <v>1182</v>
      </c>
      <c r="N85" s="27" t="s">
        <v>208</v>
      </c>
      <c r="O85" s="23" t="s">
        <v>482</v>
      </c>
      <c r="P85" s="23" t="s">
        <v>60</v>
      </c>
      <c r="Q85" s="23" t="s">
        <v>61</v>
      </c>
      <c r="R85" s="23" t="s">
        <v>1183</v>
      </c>
      <c r="S85" s="23" t="s">
        <v>1184</v>
      </c>
      <c r="T85" s="23" t="s">
        <v>1185</v>
      </c>
      <c r="U85" s="23" t="s">
        <v>64</v>
      </c>
      <c r="V85" s="28">
        <v>46060.0</v>
      </c>
      <c r="W85" s="28">
        <v>46090.0</v>
      </c>
      <c r="X85" s="28">
        <v>46090.0</v>
      </c>
      <c r="Y85" s="23" t="s">
        <v>64</v>
      </c>
      <c r="Z85" s="29"/>
      <c r="AA85" s="24" t="s">
        <v>65</v>
      </c>
      <c r="AB85" s="23" t="s">
        <v>167</v>
      </c>
      <c r="AC85" s="30">
        <v>460000.0</v>
      </c>
      <c r="AD85" s="31">
        <v>0.02</v>
      </c>
      <c r="AE85" s="62">
        <v>9000.0</v>
      </c>
      <c r="AF85" s="33">
        <v>595.0</v>
      </c>
      <c r="AG85" s="34">
        <v>500.0</v>
      </c>
      <c r="AH85" s="34">
        <v>0.0</v>
      </c>
      <c r="AI85" s="34">
        <v>695.0</v>
      </c>
      <c r="AJ85" s="34">
        <v>0.0</v>
      </c>
      <c r="AK85" s="34">
        <v>0.0</v>
      </c>
      <c r="AL85" s="36">
        <v>0.0</v>
      </c>
      <c r="AM85" s="37" t="s">
        <v>212</v>
      </c>
      <c r="AN85" s="38">
        <f>if(AI85&gt;0, SUM(AE85+AI85-AK85-AJ85),sum(AE85-AJ85-AK85,595))</f>
        <v>9695</v>
      </c>
      <c r="AO85" s="39">
        <f t="shared" si="34"/>
        <v>2395</v>
      </c>
      <c r="AP85" s="40">
        <f t="shared" si="30"/>
        <v>6800</v>
      </c>
      <c r="AQ85" s="111"/>
      <c r="AR85" s="37"/>
      <c r="AS85" s="14"/>
      <c r="AT85" s="23" t="s">
        <v>570</v>
      </c>
      <c r="AU85" s="42"/>
      <c r="AV85" s="37" t="s">
        <v>571</v>
      </c>
      <c r="AW85" s="37" t="s">
        <v>572</v>
      </c>
      <c r="AX85" s="112"/>
      <c r="AY85" s="113" t="b">
        <v>1</v>
      </c>
      <c r="AZ85" s="42"/>
    </row>
    <row r="86">
      <c r="A86" s="37" t="s">
        <v>563</v>
      </c>
      <c r="B86" s="37" t="s">
        <v>84</v>
      </c>
      <c r="C86" s="106" t="s">
        <v>1186</v>
      </c>
      <c r="D86" s="37" t="s">
        <v>432</v>
      </c>
      <c r="E86" s="37">
        <v>92571.0</v>
      </c>
      <c r="F86" s="37" t="s">
        <v>50</v>
      </c>
      <c r="G86" s="37" t="s">
        <v>376</v>
      </c>
      <c r="H86" s="37" t="s">
        <v>52</v>
      </c>
      <c r="I86" s="37" t="s">
        <v>53</v>
      </c>
      <c r="J86" s="37" t="s">
        <v>103</v>
      </c>
      <c r="K86" s="56" t="s">
        <v>1187</v>
      </c>
      <c r="L86" s="49"/>
      <c r="M86" s="49" t="s">
        <v>1188</v>
      </c>
      <c r="N86" s="108" t="s">
        <v>92</v>
      </c>
      <c r="O86" s="37" t="s">
        <v>1189</v>
      </c>
      <c r="P86" s="37" t="s">
        <v>60</v>
      </c>
      <c r="Q86" s="37" t="s">
        <v>132</v>
      </c>
      <c r="R86" s="37" t="s">
        <v>94</v>
      </c>
      <c r="S86" s="37" t="s">
        <v>1190</v>
      </c>
      <c r="T86" s="37" t="s">
        <v>1191</v>
      </c>
      <c r="U86" s="37" t="s">
        <v>64</v>
      </c>
      <c r="V86" s="60">
        <v>46031.0</v>
      </c>
      <c r="W86" s="60">
        <v>46062.0</v>
      </c>
      <c r="X86" s="60">
        <v>46090.0</v>
      </c>
      <c r="Y86" s="37" t="s">
        <v>64</v>
      </c>
      <c r="Z86" s="29"/>
      <c r="AA86" s="54" t="s">
        <v>65</v>
      </c>
      <c r="AB86" s="37" t="s">
        <v>262</v>
      </c>
      <c r="AC86" s="30">
        <v>600000.0</v>
      </c>
      <c r="AD86" s="51">
        <v>0.0</v>
      </c>
      <c r="AE86" s="62">
        <v>589.0</v>
      </c>
      <c r="AF86" s="33" t="s">
        <v>93</v>
      </c>
      <c r="AG86" s="34">
        <v>0.0</v>
      </c>
      <c r="AH86" s="34" t="s">
        <v>53</v>
      </c>
      <c r="AI86" s="34">
        <v>0.0</v>
      </c>
      <c r="AJ86" s="34">
        <v>0.0</v>
      </c>
      <c r="AK86" s="34">
        <v>0.0</v>
      </c>
      <c r="AL86" s="36">
        <v>0.0</v>
      </c>
      <c r="AM86" s="37" t="s">
        <v>84</v>
      </c>
      <c r="AN86" s="38">
        <f>if(AF86=595, SUM(AE86+AI86-AK86-AJ86),sum(AE86-AJ86-AK86))</f>
        <v>589</v>
      </c>
      <c r="AO86" s="110">
        <v>589.0</v>
      </c>
      <c r="AP86" s="40">
        <f t="shared" si="30"/>
        <v>0</v>
      </c>
      <c r="AQ86" s="111"/>
      <c r="AR86" s="37"/>
      <c r="AS86" s="14"/>
      <c r="AT86" s="37" t="s">
        <v>570</v>
      </c>
      <c r="AU86" s="42"/>
      <c r="AV86" s="37" t="s">
        <v>1192</v>
      </c>
      <c r="AW86" s="37" t="s">
        <v>114</v>
      </c>
      <c r="AX86" s="112"/>
      <c r="AY86" s="37" t="s">
        <v>792</v>
      </c>
      <c r="AZ86" s="42"/>
    </row>
    <row r="87">
      <c r="A87" s="37" t="s">
        <v>563</v>
      </c>
      <c r="B87" s="23" t="s">
        <v>84</v>
      </c>
      <c r="C87" s="106" t="s">
        <v>1193</v>
      </c>
      <c r="D87" s="23" t="s">
        <v>316</v>
      </c>
      <c r="E87" s="23">
        <v>92563.0</v>
      </c>
      <c r="F87" s="23" t="s">
        <v>50</v>
      </c>
      <c r="G87" s="23" t="s">
        <v>1073</v>
      </c>
      <c r="H87" s="23" t="s">
        <v>52</v>
      </c>
      <c r="I87" s="23" t="s">
        <v>53</v>
      </c>
      <c r="J87" s="23" t="s">
        <v>54</v>
      </c>
      <c r="K87" s="25" t="s">
        <v>1194</v>
      </c>
      <c r="L87" s="26" t="s">
        <v>1195</v>
      </c>
      <c r="M87" s="26" t="s">
        <v>1196</v>
      </c>
      <c r="N87" s="108" t="s">
        <v>92</v>
      </c>
      <c r="O87" s="23" t="s">
        <v>1197</v>
      </c>
      <c r="P87" s="23" t="s">
        <v>737</v>
      </c>
      <c r="Q87" s="23" t="s">
        <v>132</v>
      </c>
      <c r="R87" s="23" t="s">
        <v>94</v>
      </c>
      <c r="S87" s="23" t="s">
        <v>1198</v>
      </c>
      <c r="T87" s="23" t="s">
        <v>1199</v>
      </c>
      <c r="U87" s="23" t="s">
        <v>64</v>
      </c>
      <c r="V87" s="28">
        <v>46054.0</v>
      </c>
      <c r="W87" s="28">
        <v>46084.0</v>
      </c>
      <c r="X87" s="28">
        <v>46090.0</v>
      </c>
      <c r="Y87" s="23" t="s">
        <v>64</v>
      </c>
      <c r="Z87" s="29"/>
      <c r="AA87" s="24" t="s">
        <v>124</v>
      </c>
      <c r="AB87" s="48" t="s">
        <v>167</v>
      </c>
      <c r="AC87" s="30">
        <v>785000.0</v>
      </c>
      <c r="AD87" s="31">
        <v>0.025</v>
      </c>
      <c r="AE87" s="32">
        <f t="shared" ref="AE87:AE89" si="35">SUM(AC87*AD87)</f>
        <v>19625</v>
      </c>
      <c r="AF87" s="33">
        <v>595.0</v>
      </c>
      <c r="AG87" s="34">
        <v>500.0</v>
      </c>
      <c r="AH87" s="34" t="s">
        <v>53</v>
      </c>
      <c r="AI87" s="34">
        <v>0.0</v>
      </c>
      <c r="AJ87" s="34">
        <v>0.0</v>
      </c>
      <c r="AK87" s="34">
        <v>0.0</v>
      </c>
      <c r="AL87" s="131">
        <v>0.0</v>
      </c>
      <c r="AM87" s="37" t="s">
        <v>212</v>
      </c>
      <c r="AN87" s="38">
        <f t="shared" ref="AN87:AN101" si="36">if(AF87=595, SUM(AE87+AI87-AK87-AJ87),sum(AE87-AJ87-AK87,595))</f>
        <v>19625</v>
      </c>
      <c r="AO87" s="39">
        <f t="shared" ref="AO87:AO101" si="37">if(AM87="Buyer",-sum((-AE87+AK87+AJ87)*50%),if(AM87="Seller",-sum((-AE87+AK87+AJ87)*50%),-sum(((-AE87+AK87+AJ87)*((100-right(AM87,2))/100)))))+if(AF87&lt;&gt;595,595, sum(AF87))</f>
        <v>4520</v>
      </c>
      <c r="AP87" s="40">
        <f t="shared" si="30"/>
        <v>14605</v>
      </c>
      <c r="AQ87" s="111"/>
      <c r="AR87" s="37"/>
      <c r="AS87" s="14"/>
      <c r="AT87" s="23" t="s">
        <v>570</v>
      </c>
      <c r="AU87" s="42"/>
      <c r="AV87" s="37" t="s">
        <v>571</v>
      </c>
      <c r="AW87" s="37" t="s">
        <v>572</v>
      </c>
      <c r="AX87" s="112"/>
      <c r="AY87" s="113" t="b">
        <v>1</v>
      </c>
      <c r="AZ87" s="42"/>
    </row>
    <row r="88">
      <c r="A88" s="23" t="s">
        <v>563</v>
      </c>
      <c r="B88" s="23" t="s">
        <v>84</v>
      </c>
      <c r="C88" s="106" t="s">
        <v>1200</v>
      </c>
      <c r="D88" s="23" t="s">
        <v>49</v>
      </c>
      <c r="E88" s="23">
        <v>92586.0</v>
      </c>
      <c r="F88" s="23" t="s">
        <v>50</v>
      </c>
      <c r="G88" s="48" t="s">
        <v>214</v>
      </c>
      <c r="H88" s="23" t="s">
        <v>172</v>
      </c>
      <c r="I88" s="23" t="s">
        <v>53</v>
      </c>
      <c r="J88" s="23" t="s">
        <v>54</v>
      </c>
      <c r="K88" s="25" t="s">
        <v>1201</v>
      </c>
      <c r="L88" s="26" t="s">
        <v>1202</v>
      </c>
      <c r="M88" s="26" t="s">
        <v>1203</v>
      </c>
      <c r="N88" s="27" t="s">
        <v>92</v>
      </c>
      <c r="O88" s="47" t="s">
        <v>143</v>
      </c>
      <c r="P88" s="23" t="s">
        <v>249</v>
      </c>
      <c r="Q88" s="23" t="s">
        <v>132</v>
      </c>
      <c r="R88" s="23" t="s">
        <v>94</v>
      </c>
      <c r="S88" s="23" t="s">
        <v>1204</v>
      </c>
      <c r="T88" s="23" t="s">
        <v>1205</v>
      </c>
      <c r="U88" s="23" t="s">
        <v>64</v>
      </c>
      <c r="V88" s="28">
        <v>46062.0</v>
      </c>
      <c r="W88" s="28">
        <v>46092.0</v>
      </c>
      <c r="X88" s="28">
        <v>46092.0</v>
      </c>
      <c r="Y88" s="23" t="s">
        <v>64</v>
      </c>
      <c r="Z88" s="29"/>
      <c r="AA88" s="24" t="s">
        <v>65</v>
      </c>
      <c r="AB88" s="23" t="s">
        <v>901</v>
      </c>
      <c r="AC88" s="30">
        <v>751000.0</v>
      </c>
      <c r="AD88" s="31">
        <v>0.0225</v>
      </c>
      <c r="AE88" s="32">
        <f t="shared" si="35"/>
        <v>16897.5</v>
      </c>
      <c r="AF88" s="33">
        <v>595.0</v>
      </c>
      <c r="AG88" s="34">
        <v>500.0</v>
      </c>
      <c r="AH88" s="34" t="s">
        <v>1206</v>
      </c>
      <c r="AI88" s="34">
        <v>1350.0</v>
      </c>
      <c r="AJ88" s="34">
        <v>0.0</v>
      </c>
      <c r="AK88" s="34">
        <v>0.0</v>
      </c>
      <c r="AL88" s="36">
        <v>0.0</v>
      </c>
      <c r="AM88" s="37" t="s">
        <v>84</v>
      </c>
      <c r="AN88" s="38">
        <f t="shared" si="36"/>
        <v>18247.5</v>
      </c>
      <c r="AO88" s="39">
        <f t="shared" si="37"/>
        <v>9043.75</v>
      </c>
      <c r="AP88" s="40">
        <f t="shared" si="30"/>
        <v>8703.75</v>
      </c>
      <c r="AQ88" s="111"/>
      <c r="AR88" s="37"/>
      <c r="AS88" s="14"/>
      <c r="AT88" s="23" t="s">
        <v>570</v>
      </c>
      <c r="AU88" s="42"/>
      <c r="AV88" s="37" t="s">
        <v>571</v>
      </c>
      <c r="AW88" s="37" t="s">
        <v>572</v>
      </c>
      <c r="AX88" s="112"/>
      <c r="AY88" s="113" t="b">
        <v>1</v>
      </c>
      <c r="AZ88" s="42"/>
    </row>
    <row r="89">
      <c r="A89" s="37" t="s">
        <v>563</v>
      </c>
      <c r="B89" s="37" t="s">
        <v>84</v>
      </c>
      <c r="C89" s="106" t="s">
        <v>1207</v>
      </c>
      <c r="D89" s="37" t="s">
        <v>49</v>
      </c>
      <c r="E89" s="37">
        <v>92586.0</v>
      </c>
      <c r="F89" s="37" t="s">
        <v>50</v>
      </c>
      <c r="G89" s="37" t="s">
        <v>332</v>
      </c>
      <c r="H89" s="37" t="s">
        <v>73</v>
      </c>
      <c r="I89" s="37" t="s">
        <v>74</v>
      </c>
      <c r="J89" s="37" t="s">
        <v>103</v>
      </c>
      <c r="K89" s="56" t="s">
        <v>1208</v>
      </c>
      <c r="L89" s="49" t="s">
        <v>1209</v>
      </c>
      <c r="M89" s="49" t="s">
        <v>1210</v>
      </c>
      <c r="N89" s="108" t="s">
        <v>92</v>
      </c>
      <c r="O89" s="134" t="s">
        <v>143</v>
      </c>
      <c r="P89" s="37"/>
      <c r="Q89" s="37" t="s">
        <v>132</v>
      </c>
      <c r="R89" s="37" t="s">
        <v>94</v>
      </c>
      <c r="S89" s="37" t="s">
        <v>1211</v>
      </c>
      <c r="T89" s="37" t="s">
        <v>1212</v>
      </c>
      <c r="U89" s="37" t="s">
        <v>64</v>
      </c>
      <c r="V89" s="60">
        <v>46028.0</v>
      </c>
      <c r="W89" s="60">
        <v>46059.0</v>
      </c>
      <c r="X89" s="60">
        <v>46093.0</v>
      </c>
      <c r="Y89" s="37" t="s">
        <v>64</v>
      </c>
      <c r="Z89" s="29"/>
      <c r="AA89" s="54" t="s">
        <v>582</v>
      </c>
      <c r="AB89" s="37" t="s">
        <v>145</v>
      </c>
      <c r="AC89" s="30">
        <v>90000.0</v>
      </c>
      <c r="AD89" s="31">
        <v>0.04</v>
      </c>
      <c r="AE89" s="32">
        <f t="shared" si="35"/>
        <v>3600</v>
      </c>
      <c r="AF89" s="33">
        <v>695.0</v>
      </c>
      <c r="AG89" s="34">
        <v>0.0</v>
      </c>
      <c r="AH89" s="34" t="s">
        <v>53</v>
      </c>
      <c r="AI89" s="34">
        <v>695.0</v>
      </c>
      <c r="AJ89" s="34">
        <v>0.0</v>
      </c>
      <c r="AK89" s="35">
        <f t="shared" ref="AK89:AK90" si="38">sum(AE89,-AJ89)*0.4</f>
        <v>1440</v>
      </c>
      <c r="AL89" s="36">
        <v>0.0</v>
      </c>
      <c r="AM89" s="120" t="s">
        <v>784</v>
      </c>
      <c r="AN89" s="38">
        <f t="shared" si="36"/>
        <v>2755</v>
      </c>
      <c r="AO89" s="39">
        <f t="shared" si="37"/>
        <v>1891</v>
      </c>
      <c r="AP89" s="40">
        <f t="shared" si="30"/>
        <v>864</v>
      </c>
      <c r="AQ89" s="111"/>
      <c r="AR89" s="37"/>
      <c r="AS89" s="14"/>
      <c r="AT89" s="37" t="s">
        <v>570</v>
      </c>
      <c r="AU89" s="42"/>
      <c r="AV89" s="37" t="s">
        <v>819</v>
      </c>
      <c r="AW89" s="37" t="s">
        <v>572</v>
      </c>
      <c r="AX89" s="112"/>
      <c r="AY89" s="113" t="b">
        <v>1</v>
      </c>
      <c r="AZ89" s="42"/>
    </row>
    <row r="90">
      <c r="A90" s="158" t="s">
        <v>563</v>
      </c>
      <c r="B90" s="158" t="s">
        <v>84</v>
      </c>
      <c r="C90" s="117" t="s">
        <v>1213</v>
      </c>
      <c r="D90" s="158" t="s">
        <v>794</v>
      </c>
      <c r="E90" s="158">
        <v>92505.0</v>
      </c>
      <c r="F90" s="158" t="s">
        <v>50</v>
      </c>
      <c r="G90" s="158" t="s">
        <v>288</v>
      </c>
      <c r="H90" s="158" t="s">
        <v>73</v>
      </c>
      <c r="I90" s="159" t="s">
        <v>53</v>
      </c>
      <c r="J90" s="158" t="s">
        <v>103</v>
      </c>
      <c r="K90" s="160" t="s">
        <v>1214</v>
      </c>
      <c r="L90" s="161" t="s">
        <v>1215</v>
      </c>
      <c r="M90" s="161" t="s">
        <v>1216</v>
      </c>
      <c r="N90" s="162" t="s">
        <v>92</v>
      </c>
      <c r="O90" s="163" t="s">
        <v>143</v>
      </c>
      <c r="P90" s="158" t="s">
        <v>93</v>
      </c>
      <c r="Q90" s="158" t="s">
        <v>132</v>
      </c>
      <c r="R90" s="158" t="s">
        <v>94</v>
      </c>
      <c r="S90" s="158" t="s">
        <v>53</v>
      </c>
      <c r="T90" s="158" t="s">
        <v>53</v>
      </c>
      <c r="U90" s="164" t="s">
        <v>64</v>
      </c>
      <c r="V90" s="164">
        <v>46056.0</v>
      </c>
      <c r="W90" s="164">
        <v>46071.0</v>
      </c>
      <c r="X90" s="165">
        <v>46093.0</v>
      </c>
      <c r="Y90" s="159" t="s">
        <v>64</v>
      </c>
      <c r="Z90" s="166"/>
      <c r="AA90" s="167" t="s">
        <v>124</v>
      </c>
      <c r="AB90" s="158" t="s">
        <v>145</v>
      </c>
      <c r="AC90" s="38">
        <v>30000.0</v>
      </c>
      <c r="AD90" s="51">
        <v>0.0</v>
      </c>
      <c r="AE90" s="32">
        <v>4000.0</v>
      </c>
      <c r="AF90" s="168">
        <v>595.0</v>
      </c>
      <c r="AG90" s="38">
        <v>500.0</v>
      </c>
      <c r="AH90" s="38">
        <v>250.0</v>
      </c>
      <c r="AI90" s="38">
        <v>1345.0</v>
      </c>
      <c r="AJ90" s="38">
        <v>0.0</v>
      </c>
      <c r="AK90" s="38">
        <f t="shared" si="38"/>
        <v>1600</v>
      </c>
      <c r="AL90" s="38">
        <v>0.0</v>
      </c>
      <c r="AM90" s="116" t="s">
        <v>84</v>
      </c>
      <c r="AN90" s="38">
        <f t="shared" si="36"/>
        <v>3745</v>
      </c>
      <c r="AO90" s="38">
        <f t="shared" si="37"/>
        <v>1795</v>
      </c>
      <c r="AP90" s="40">
        <f t="shared" si="30"/>
        <v>1200</v>
      </c>
      <c r="AQ90" s="169"/>
      <c r="AR90" s="37"/>
      <c r="AS90" s="14"/>
      <c r="AT90" s="159" t="s">
        <v>570</v>
      </c>
      <c r="AU90" s="145"/>
      <c r="AV90" s="170" t="s">
        <v>1217</v>
      </c>
      <c r="AW90" s="170" t="s">
        <v>114</v>
      </c>
      <c r="AX90" s="112"/>
      <c r="AY90" s="113" t="b">
        <v>1</v>
      </c>
      <c r="AZ90" s="82"/>
    </row>
    <row r="91">
      <c r="A91" s="158" t="s">
        <v>563</v>
      </c>
      <c r="B91" s="158" t="s">
        <v>47</v>
      </c>
      <c r="C91" s="117" t="s">
        <v>1213</v>
      </c>
      <c r="D91" s="158" t="s">
        <v>794</v>
      </c>
      <c r="E91" s="158">
        <v>92505.0</v>
      </c>
      <c r="F91" s="158" t="s">
        <v>50</v>
      </c>
      <c r="G91" s="158" t="s">
        <v>288</v>
      </c>
      <c r="H91" s="158" t="s">
        <v>73</v>
      </c>
      <c r="I91" s="158" t="s">
        <v>53</v>
      </c>
      <c r="J91" s="158" t="s">
        <v>103</v>
      </c>
      <c r="K91" s="167" t="s">
        <v>1218</v>
      </c>
      <c r="L91" s="161" t="s">
        <v>1219</v>
      </c>
      <c r="M91" s="161" t="s">
        <v>1220</v>
      </c>
      <c r="N91" s="162" t="s">
        <v>92</v>
      </c>
      <c r="O91" s="163" t="s">
        <v>143</v>
      </c>
      <c r="P91" s="158" t="s">
        <v>93</v>
      </c>
      <c r="Q91" s="158" t="s">
        <v>132</v>
      </c>
      <c r="R91" s="158" t="s">
        <v>94</v>
      </c>
      <c r="S91" s="158" t="s">
        <v>53</v>
      </c>
      <c r="T91" s="158" t="s">
        <v>53</v>
      </c>
      <c r="U91" s="164" t="s">
        <v>64</v>
      </c>
      <c r="V91" s="164">
        <v>46056.0</v>
      </c>
      <c r="W91" s="164">
        <v>46071.0</v>
      </c>
      <c r="X91" s="165">
        <v>46093.0</v>
      </c>
      <c r="Y91" s="159" t="s">
        <v>64</v>
      </c>
      <c r="Z91" s="166"/>
      <c r="AA91" s="167" t="s">
        <v>124</v>
      </c>
      <c r="AB91" s="158" t="s">
        <v>167</v>
      </c>
      <c r="AC91" s="38">
        <v>30000.0</v>
      </c>
      <c r="AD91" s="51">
        <v>0.04</v>
      </c>
      <c r="AE91" s="32">
        <f t="shared" ref="AE91:AE102" si="39">SUM(AC91*AD91)</f>
        <v>1200</v>
      </c>
      <c r="AF91" s="168">
        <v>595.0</v>
      </c>
      <c r="AG91" s="38">
        <v>200.0</v>
      </c>
      <c r="AH91" s="38">
        <v>0.0</v>
      </c>
      <c r="AI91" s="38">
        <v>1095.0</v>
      </c>
      <c r="AJ91" s="38">
        <v>0.0</v>
      </c>
      <c r="AK91" s="38">
        <v>0.0</v>
      </c>
      <c r="AL91" s="38">
        <v>0.0</v>
      </c>
      <c r="AM91" s="116" t="s">
        <v>212</v>
      </c>
      <c r="AN91" s="38">
        <f t="shared" si="36"/>
        <v>2295</v>
      </c>
      <c r="AO91" s="38">
        <f t="shared" si="37"/>
        <v>835</v>
      </c>
      <c r="AP91" s="40">
        <f t="shared" si="30"/>
        <v>1260</v>
      </c>
      <c r="AQ91" s="169"/>
      <c r="AR91" s="37"/>
      <c r="AS91" s="14"/>
      <c r="AT91" s="159" t="s">
        <v>570</v>
      </c>
      <c r="AU91" s="145"/>
      <c r="AV91" s="37" t="s">
        <v>571</v>
      </c>
      <c r="AW91" s="37" t="s">
        <v>572</v>
      </c>
      <c r="AX91" s="112"/>
      <c r="AY91" s="113" t="b">
        <v>1</v>
      </c>
      <c r="AZ91" s="42"/>
    </row>
    <row r="92">
      <c r="A92" s="23" t="s">
        <v>563</v>
      </c>
      <c r="B92" s="23" t="s">
        <v>47</v>
      </c>
      <c r="C92" s="106" t="s">
        <v>1221</v>
      </c>
      <c r="D92" s="23" t="s">
        <v>86</v>
      </c>
      <c r="E92" s="23">
        <v>92057.0</v>
      </c>
      <c r="F92" s="23" t="s">
        <v>87</v>
      </c>
      <c r="G92" s="23" t="s">
        <v>719</v>
      </c>
      <c r="H92" s="23" t="s">
        <v>172</v>
      </c>
      <c r="I92" s="23" t="s">
        <v>53</v>
      </c>
      <c r="J92" s="23" t="s">
        <v>54</v>
      </c>
      <c r="K92" s="25" t="s">
        <v>1222</v>
      </c>
      <c r="L92" s="26" t="s">
        <v>1223</v>
      </c>
      <c r="M92" s="26" t="s">
        <v>1224</v>
      </c>
      <c r="N92" s="27" t="s">
        <v>1051</v>
      </c>
      <c r="O92" s="23" t="s">
        <v>1225</v>
      </c>
      <c r="P92" s="23" t="s">
        <v>60</v>
      </c>
      <c r="Q92" s="23" t="s">
        <v>61</v>
      </c>
      <c r="R92" s="23" t="s">
        <v>1051</v>
      </c>
      <c r="S92" s="23" t="s">
        <v>1226</v>
      </c>
      <c r="T92" s="23" t="s">
        <v>1227</v>
      </c>
      <c r="U92" s="23" t="s">
        <v>64</v>
      </c>
      <c r="V92" s="28">
        <v>46067.0</v>
      </c>
      <c r="W92" s="28">
        <v>46087.0</v>
      </c>
      <c r="X92" s="28">
        <v>46094.0</v>
      </c>
      <c r="Y92" s="23" t="s">
        <v>64</v>
      </c>
      <c r="Z92" s="29"/>
      <c r="AA92" s="24" t="s">
        <v>65</v>
      </c>
      <c r="AB92" s="23" t="s">
        <v>66</v>
      </c>
      <c r="AC92" s="30">
        <v>737000.0</v>
      </c>
      <c r="AD92" s="31">
        <v>0.03</v>
      </c>
      <c r="AE92" s="32">
        <f t="shared" si="39"/>
        <v>22110</v>
      </c>
      <c r="AF92" s="33">
        <v>595.0</v>
      </c>
      <c r="AG92" s="34">
        <v>500.0</v>
      </c>
      <c r="AH92" s="34">
        <v>0.0</v>
      </c>
      <c r="AI92" s="34">
        <v>1390.0</v>
      </c>
      <c r="AJ92" s="34">
        <v>0.0</v>
      </c>
      <c r="AK92" s="35">
        <f t="shared" ref="AK92:AK94" si="40">sum(AE92,-AJ92)*0.4</f>
        <v>8844</v>
      </c>
      <c r="AL92" s="36">
        <v>0.0</v>
      </c>
      <c r="AM92" s="37" t="s">
        <v>47</v>
      </c>
      <c r="AN92" s="38">
        <f t="shared" si="36"/>
        <v>14656</v>
      </c>
      <c r="AO92" s="39">
        <f t="shared" si="37"/>
        <v>7228</v>
      </c>
      <c r="AP92" s="40">
        <f t="shared" si="30"/>
        <v>6928</v>
      </c>
      <c r="AQ92" s="111"/>
      <c r="AR92" s="37"/>
      <c r="AS92" s="14"/>
      <c r="AT92" s="23" t="s">
        <v>570</v>
      </c>
      <c r="AU92" s="42"/>
      <c r="AV92" s="37" t="s">
        <v>571</v>
      </c>
      <c r="AW92" s="37" t="s">
        <v>572</v>
      </c>
      <c r="AX92" s="112"/>
      <c r="AY92" s="113" t="b">
        <v>1</v>
      </c>
      <c r="AZ92" s="42"/>
    </row>
    <row r="93">
      <c r="A93" s="37" t="s">
        <v>563</v>
      </c>
      <c r="B93" s="37" t="s">
        <v>84</v>
      </c>
      <c r="C93" s="106" t="s">
        <v>1228</v>
      </c>
      <c r="D93" s="37" t="s">
        <v>794</v>
      </c>
      <c r="E93" s="37">
        <v>92507.0</v>
      </c>
      <c r="F93" s="37" t="s">
        <v>50</v>
      </c>
      <c r="G93" s="171" t="s">
        <v>399</v>
      </c>
      <c r="H93" s="37" t="s">
        <v>73</v>
      </c>
      <c r="I93" s="37" t="s">
        <v>53</v>
      </c>
      <c r="J93" s="37" t="s">
        <v>103</v>
      </c>
      <c r="K93" s="54" t="s">
        <v>1229</v>
      </c>
      <c r="L93" s="54" t="s">
        <v>1230</v>
      </c>
      <c r="M93" s="56" t="s">
        <v>1231</v>
      </c>
      <c r="N93" s="108" t="s">
        <v>92</v>
      </c>
      <c r="O93" s="37"/>
      <c r="P93" s="37" t="s">
        <v>60</v>
      </c>
      <c r="Q93" s="37" t="s">
        <v>132</v>
      </c>
      <c r="R93" s="37" t="s">
        <v>94</v>
      </c>
      <c r="S93" s="37" t="s">
        <v>1232</v>
      </c>
      <c r="T93" s="37" t="s">
        <v>1233</v>
      </c>
      <c r="U93" s="37" t="s">
        <v>64</v>
      </c>
      <c r="V93" s="60">
        <v>46050.0</v>
      </c>
      <c r="W93" s="60">
        <v>46097.0</v>
      </c>
      <c r="X93" s="60">
        <v>46094.0</v>
      </c>
      <c r="Y93" s="37" t="s">
        <v>64</v>
      </c>
      <c r="Z93" s="29"/>
      <c r="AA93" s="54" t="s">
        <v>65</v>
      </c>
      <c r="AB93" s="37" t="s">
        <v>145</v>
      </c>
      <c r="AC93" s="30">
        <v>500000.0</v>
      </c>
      <c r="AD93" s="31">
        <v>0.035</v>
      </c>
      <c r="AE93" s="32">
        <f t="shared" si="39"/>
        <v>17500</v>
      </c>
      <c r="AF93" s="33">
        <v>595.0</v>
      </c>
      <c r="AG93" s="34">
        <v>500.0</v>
      </c>
      <c r="AH93" s="34">
        <v>250.0</v>
      </c>
      <c r="AI93" s="34">
        <v>1345.0</v>
      </c>
      <c r="AJ93" s="34">
        <v>0.0</v>
      </c>
      <c r="AK93" s="35">
        <f t="shared" si="40"/>
        <v>7000</v>
      </c>
      <c r="AL93" s="36">
        <v>0.0</v>
      </c>
      <c r="AM93" s="37" t="s">
        <v>84</v>
      </c>
      <c r="AN93" s="38">
        <f t="shared" si="36"/>
        <v>11845</v>
      </c>
      <c r="AO93" s="39">
        <f t="shared" si="37"/>
        <v>5845</v>
      </c>
      <c r="AP93" s="40">
        <f t="shared" si="30"/>
        <v>5250</v>
      </c>
      <c r="AQ93" s="111"/>
      <c r="AR93" s="37"/>
      <c r="AS93" s="14"/>
      <c r="AT93" s="37" t="s">
        <v>570</v>
      </c>
      <c r="AU93" s="42"/>
      <c r="AV93" s="23" t="s">
        <v>1234</v>
      </c>
      <c r="AW93" s="23" t="s">
        <v>572</v>
      </c>
      <c r="AX93" s="112"/>
      <c r="AY93" s="37" t="b">
        <v>1</v>
      </c>
      <c r="AZ93" s="42"/>
    </row>
    <row r="94">
      <c r="A94" s="37" t="s">
        <v>563</v>
      </c>
      <c r="B94" s="37" t="s">
        <v>47</v>
      </c>
      <c r="C94" s="106" t="s">
        <v>1235</v>
      </c>
      <c r="D94" s="37" t="s">
        <v>158</v>
      </c>
      <c r="E94" s="37">
        <v>92532.0</v>
      </c>
      <c r="F94" s="37" t="s">
        <v>50</v>
      </c>
      <c r="G94" s="37" t="s">
        <v>1087</v>
      </c>
      <c r="H94" s="37" t="s">
        <v>73</v>
      </c>
      <c r="I94" s="37" t="s">
        <v>53</v>
      </c>
      <c r="J94" s="37" t="s">
        <v>103</v>
      </c>
      <c r="K94" s="56" t="s">
        <v>1236</v>
      </c>
      <c r="L94" s="49" t="s">
        <v>1237</v>
      </c>
      <c r="M94" s="108" t="s">
        <v>1238</v>
      </c>
      <c r="N94" s="108" t="s">
        <v>825</v>
      </c>
      <c r="O94" s="37" t="s">
        <v>1239</v>
      </c>
      <c r="P94" s="37" t="s">
        <v>60</v>
      </c>
      <c r="Q94" s="37" t="s">
        <v>61</v>
      </c>
      <c r="R94" s="37"/>
      <c r="S94" s="37" t="s">
        <v>1240</v>
      </c>
      <c r="T94" s="37" t="s">
        <v>1241</v>
      </c>
      <c r="U94" s="37" t="s">
        <v>64</v>
      </c>
      <c r="V94" s="60">
        <v>46034.0</v>
      </c>
      <c r="W94" s="60">
        <v>46073.0</v>
      </c>
      <c r="X94" s="60">
        <v>46094.0</v>
      </c>
      <c r="Y94" s="37" t="s">
        <v>64</v>
      </c>
      <c r="Z94" s="29"/>
      <c r="AA94" s="54" t="s">
        <v>65</v>
      </c>
      <c r="AB94" s="37" t="s">
        <v>110</v>
      </c>
      <c r="AC94" s="30">
        <v>685000.0</v>
      </c>
      <c r="AD94" s="31">
        <v>0.025</v>
      </c>
      <c r="AE94" s="32">
        <f t="shared" si="39"/>
        <v>17125</v>
      </c>
      <c r="AF94" s="33">
        <v>595.0</v>
      </c>
      <c r="AG94" s="34">
        <v>500.0</v>
      </c>
      <c r="AH94" s="34">
        <v>0.0</v>
      </c>
      <c r="AI94" s="34">
        <v>1095.0</v>
      </c>
      <c r="AJ94" s="34">
        <v>0.0</v>
      </c>
      <c r="AK94" s="35">
        <f t="shared" si="40"/>
        <v>6850</v>
      </c>
      <c r="AL94" s="36">
        <v>0.0</v>
      </c>
      <c r="AM94" s="37" t="s">
        <v>47</v>
      </c>
      <c r="AN94" s="38">
        <f t="shared" si="36"/>
        <v>11370</v>
      </c>
      <c r="AO94" s="39">
        <f t="shared" si="37"/>
        <v>5732.5</v>
      </c>
      <c r="AP94" s="40">
        <f t="shared" si="30"/>
        <v>5137.5</v>
      </c>
      <c r="AQ94" s="111"/>
      <c r="AR94" s="37"/>
      <c r="AS94" s="14"/>
      <c r="AT94" s="37" t="s">
        <v>570</v>
      </c>
      <c r="AU94" s="42"/>
      <c r="AV94" s="37" t="s">
        <v>571</v>
      </c>
      <c r="AW94" s="37" t="s">
        <v>572</v>
      </c>
      <c r="AX94" s="112"/>
      <c r="AY94" s="37" t="b">
        <v>1</v>
      </c>
      <c r="AZ94" s="42"/>
    </row>
    <row r="95" ht="15.75" customHeight="1">
      <c r="A95" s="23" t="s">
        <v>563</v>
      </c>
      <c r="B95" s="23" t="s">
        <v>47</v>
      </c>
      <c r="C95" s="106" t="s">
        <v>1242</v>
      </c>
      <c r="D95" s="23" t="s">
        <v>1243</v>
      </c>
      <c r="E95" s="23">
        <v>92028.0</v>
      </c>
      <c r="F95" s="23" t="s">
        <v>87</v>
      </c>
      <c r="G95" s="23" t="s">
        <v>574</v>
      </c>
      <c r="H95" s="23" t="s">
        <v>52</v>
      </c>
      <c r="I95" s="23" t="s">
        <v>53</v>
      </c>
      <c r="J95" s="23" t="s">
        <v>103</v>
      </c>
      <c r="K95" s="25" t="s">
        <v>1244</v>
      </c>
      <c r="L95" s="26" t="s">
        <v>1245</v>
      </c>
      <c r="M95" s="26" t="s">
        <v>1246</v>
      </c>
      <c r="N95" s="27" t="s">
        <v>1247</v>
      </c>
      <c r="O95" s="47" t="s">
        <v>143</v>
      </c>
      <c r="P95" s="23" t="s">
        <v>60</v>
      </c>
      <c r="Q95" s="23" t="s">
        <v>61</v>
      </c>
      <c r="R95" s="23"/>
      <c r="S95" s="23" t="s">
        <v>1248</v>
      </c>
      <c r="T95" s="23" t="s">
        <v>1249</v>
      </c>
      <c r="U95" s="23" t="s">
        <v>64</v>
      </c>
      <c r="V95" s="28">
        <v>46078.0</v>
      </c>
      <c r="W95" s="172">
        <v>46094.0</v>
      </c>
      <c r="X95" s="172">
        <v>46094.0</v>
      </c>
      <c r="Y95" s="23" t="s">
        <v>64</v>
      </c>
      <c r="Z95" s="29"/>
      <c r="AA95" s="24" t="s">
        <v>65</v>
      </c>
      <c r="AB95" s="23" t="s">
        <v>167</v>
      </c>
      <c r="AC95" s="30">
        <v>668000.0</v>
      </c>
      <c r="AD95" s="31">
        <v>0.0275</v>
      </c>
      <c r="AE95" s="32">
        <f t="shared" si="39"/>
        <v>18370</v>
      </c>
      <c r="AF95" s="33">
        <v>595.0</v>
      </c>
      <c r="AG95" s="34">
        <v>0.0</v>
      </c>
      <c r="AH95" s="34" t="s">
        <v>111</v>
      </c>
      <c r="AI95" s="34">
        <v>0.0</v>
      </c>
      <c r="AJ95" s="34">
        <v>0.0</v>
      </c>
      <c r="AK95" s="34">
        <v>0.0</v>
      </c>
      <c r="AL95" s="36">
        <v>0.0</v>
      </c>
      <c r="AM95" s="37" t="s">
        <v>552</v>
      </c>
      <c r="AN95" s="38">
        <f t="shared" si="36"/>
        <v>18370</v>
      </c>
      <c r="AO95" s="39">
        <f t="shared" si="37"/>
        <v>3350.5</v>
      </c>
      <c r="AP95" s="40">
        <f t="shared" si="30"/>
        <v>15019.5</v>
      </c>
      <c r="AQ95" s="111"/>
      <c r="AR95" s="37"/>
      <c r="AS95" s="14"/>
      <c r="AT95" s="23" t="s">
        <v>570</v>
      </c>
      <c r="AU95" s="42"/>
      <c r="AV95" s="37" t="s">
        <v>571</v>
      </c>
      <c r="AW95" s="37" t="s">
        <v>572</v>
      </c>
      <c r="AX95" s="112"/>
      <c r="AY95" s="37" t="b">
        <v>1</v>
      </c>
      <c r="AZ95" s="42"/>
    </row>
    <row r="96" ht="15.75" customHeight="1">
      <c r="A96" s="173" t="s">
        <v>563</v>
      </c>
      <c r="B96" s="173" t="s">
        <v>84</v>
      </c>
      <c r="C96" s="174" t="s">
        <v>1250</v>
      </c>
      <c r="D96" s="173" t="s">
        <v>148</v>
      </c>
      <c r="E96" s="173">
        <v>92879.0</v>
      </c>
      <c r="F96" s="173" t="s">
        <v>50</v>
      </c>
      <c r="G96" s="173" t="s">
        <v>139</v>
      </c>
      <c r="H96" s="173" t="s">
        <v>73</v>
      </c>
      <c r="I96" s="173" t="s">
        <v>215</v>
      </c>
      <c r="J96" s="173" t="s">
        <v>103</v>
      </c>
      <c r="K96" s="175" t="s">
        <v>1251</v>
      </c>
      <c r="L96" s="175" t="s">
        <v>1252</v>
      </c>
      <c r="M96" s="175" t="s">
        <v>1253</v>
      </c>
      <c r="N96" s="176" t="s">
        <v>92</v>
      </c>
      <c r="O96" s="173" t="s">
        <v>1254</v>
      </c>
      <c r="P96" s="173" t="s">
        <v>60</v>
      </c>
      <c r="Q96" s="173" t="s">
        <v>132</v>
      </c>
      <c r="R96" s="173" t="s">
        <v>94</v>
      </c>
      <c r="S96" s="173" t="s">
        <v>1255</v>
      </c>
      <c r="T96" s="173" t="s">
        <v>1256</v>
      </c>
      <c r="U96" s="173" t="s">
        <v>64</v>
      </c>
      <c r="V96" s="177">
        <v>46065.0</v>
      </c>
      <c r="W96" s="177">
        <v>46097.0</v>
      </c>
      <c r="X96" s="177">
        <v>46097.0</v>
      </c>
      <c r="Y96" s="173" t="s">
        <v>64</v>
      </c>
      <c r="Z96" s="178"/>
      <c r="AA96" s="179" t="s">
        <v>65</v>
      </c>
      <c r="AB96" s="173" t="s">
        <v>1257</v>
      </c>
      <c r="AC96" s="180">
        <v>640000.0</v>
      </c>
      <c r="AD96" s="181">
        <v>0.02</v>
      </c>
      <c r="AE96" s="182">
        <f t="shared" si="39"/>
        <v>12800</v>
      </c>
      <c r="AF96" s="183">
        <v>595.0</v>
      </c>
      <c r="AG96" s="184">
        <v>500.0</v>
      </c>
      <c r="AH96" s="184">
        <v>250.0</v>
      </c>
      <c r="AI96" s="184">
        <v>695.0</v>
      </c>
      <c r="AJ96" s="184">
        <v>0.0</v>
      </c>
      <c r="AK96" s="184">
        <v>0.0</v>
      </c>
      <c r="AL96" s="180">
        <v>0.0</v>
      </c>
      <c r="AM96" s="185" t="s">
        <v>84</v>
      </c>
      <c r="AN96" s="186">
        <f t="shared" si="36"/>
        <v>13495</v>
      </c>
      <c r="AO96" s="187">
        <f t="shared" si="37"/>
        <v>6995</v>
      </c>
      <c r="AP96" s="188">
        <f t="shared" si="30"/>
        <v>5750</v>
      </c>
      <c r="AQ96" s="189"/>
      <c r="AR96" s="37"/>
      <c r="AS96" s="14"/>
      <c r="AT96" s="173" t="s">
        <v>570</v>
      </c>
      <c r="AU96" s="190"/>
      <c r="AV96" s="37" t="s">
        <v>571</v>
      </c>
      <c r="AW96" s="37" t="s">
        <v>572</v>
      </c>
      <c r="AX96" s="112"/>
      <c r="AY96" s="37" t="b">
        <v>1</v>
      </c>
      <c r="AZ96" s="42"/>
    </row>
    <row r="97" ht="15.75" customHeight="1">
      <c r="A97" s="23" t="s">
        <v>563</v>
      </c>
      <c r="B97" s="23" t="s">
        <v>47</v>
      </c>
      <c r="C97" s="106" t="s">
        <v>1258</v>
      </c>
      <c r="D97" s="23" t="s">
        <v>138</v>
      </c>
      <c r="E97" s="23">
        <v>92583.0</v>
      </c>
      <c r="F97" s="23" t="s">
        <v>50</v>
      </c>
      <c r="G97" s="23" t="s">
        <v>742</v>
      </c>
      <c r="H97" s="23" t="s">
        <v>172</v>
      </c>
      <c r="I97" s="158" t="s">
        <v>53</v>
      </c>
      <c r="J97" s="23" t="s">
        <v>103</v>
      </c>
      <c r="K97" s="25" t="s">
        <v>1259</v>
      </c>
      <c r="L97" s="26" t="s">
        <v>1260</v>
      </c>
      <c r="M97" s="27" t="s">
        <v>1261</v>
      </c>
      <c r="N97" s="27" t="s">
        <v>92</v>
      </c>
      <c r="O97" s="47" t="s">
        <v>143</v>
      </c>
      <c r="P97" s="23" t="s">
        <v>93</v>
      </c>
      <c r="Q97" s="23" t="s">
        <v>132</v>
      </c>
      <c r="R97" s="23" t="s">
        <v>94</v>
      </c>
      <c r="S97" s="47" t="s">
        <v>680</v>
      </c>
      <c r="T97" s="47" t="s">
        <v>680</v>
      </c>
      <c r="U97" s="23" t="s">
        <v>64</v>
      </c>
      <c r="V97" s="28">
        <v>46083.0</v>
      </c>
      <c r="W97" s="28">
        <v>46097.0</v>
      </c>
      <c r="X97" s="28">
        <v>46097.0</v>
      </c>
      <c r="Y97" s="23" t="s">
        <v>64</v>
      </c>
      <c r="Z97" s="29"/>
      <c r="AA97" s="24" t="s">
        <v>124</v>
      </c>
      <c r="AB97" s="23" t="s">
        <v>167</v>
      </c>
      <c r="AC97" s="30">
        <v>145000.0</v>
      </c>
      <c r="AD97" s="31">
        <v>0.01</v>
      </c>
      <c r="AE97" s="32">
        <f t="shared" si="39"/>
        <v>1450</v>
      </c>
      <c r="AF97" s="183">
        <v>595.0</v>
      </c>
      <c r="AG97" s="147">
        <v>0.0</v>
      </c>
      <c r="AH97" s="34" t="s">
        <v>82</v>
      </c>
      <c r="AI97" s="34">
        <v>0.0</v>
      </c>
      <c r="AJ97" s="34">
        <v>0.0</v>
      </c>
      <c r="AK97" s="34">
        <v>0.0</v>
      </c>
      <c r="AL97" s="36">
        <v>0.0</v>
      </c>
      <c r="AM97" s="37" t="s">
        <v>202</v>
      </c>
      <c r="AN97" s="38">
        <f t="shared" si="36"/>
        <v>1450</v>
      </c>
      <c r="AO97" s="39">
        <f t="shared" si="37"/>
        <v>1030</v>
      </c>
      <c r="AP97" s="40">
        <f t="shared" si="30"/>
        <v>420</v>
      </c>
      <c r="AQ97" s="111"/>
      <c r="AR97" s="37"/>
      <c r="AS97" s="14"/>
      <c r="AT97" s="23" t="s">
        <v>570</v>
      </c>
      <c r="AU97" s="42"/>
      <c r="AV97" s="23" t="s">
        <v>1262</v>
      </c>
      <c r="AW97" s="23" t="s">
        <v>572</v>
      </c>
      <c r="AX97" s="112"/>
      <c r="AY97" s="37" t="b">
        <v>1</v>
      </c>
      <c r="AZ97" s="42"/>
    </row>
    <row r="98">
      <c r="A98" s="23" t="s">
        <v>563</v>
      </c>
      <c r="B98" s="23" t="s">
        <v>84</v>
      </c>
      <c r="C98" s="106" t="s">
        <v>1258</v>
      </c>
      <c r="D98" s="23" t="s">
        <v>138</v>
      </c>
      <c r="E98" s="23">
        <v>92583.0</v>
      </c>
      <c r="F98" s="23" t="s">
        <v>50</v>
      </c>
      <c r="G98" s="23" t="s">
        <v>742</v>
      </c>
      <c r="H98" s="23" t="s">
        <v>172</v>
      </c>
      <c r="I98" s="158" t="s">
        <v>53</v>
      </c>
      <c r="J98" s="23" t="s">
        <v>103</v>
      </c>
      <c r="K98" s="49" t="s">
        <v>1263</v>
      </c>
      <c r="L98" s="49" t="s">
        <v>1264</v>
      </c>
      <c r="M98" s="49" t="s">
        <v>1265</v>
      </c>
      <c r="N98" s="24" t="s">
        <v>1167</v>
      </c>
      <c r="O98" s="47" t="s">
        <v>1266</v>
      </c>
      <c r="P98" s="23" t="s">
        <v>93</v>
      </c>
      <c r="Q98" s="23" t="s">
        <v>132</v>
      </c>
      <c r="R98" s="23" t="s">
        <v>94</v>
      </c>
      <c r="S98" s="47" t="s">
        <v>680</v>
      </c>
      <c r="T98" s="47" t="s">
        <v>680</v>
      </c>
      <c r="U98" s="23" t="s">
        <v>64</v>
      </c>
      <c r="V98" s="28">
        <v>46083.0</v>
      </c>
      <c r="W98" s="28">
        <v>46097.0</v>
      </c>
      <c r="X98" s="28">
        <v>46097.0</v>
      </c>
      <c r="Y98" s="23" t="s">
        <v>64</v>
      </c>
      <c r="Z98" s="29"/>
      <c r="AA98" s="24" t="s">
        <v>124</v>
      </c>
      <c r="AB98" s="23" t="s">
        <v>167</v>
      </c>
      <c r="AC98" s="30">
        <v>145000.0</v>
      </c>
      <c r="AD98" s="31">
        <v>0.025</v>
      </c>
      <c r="AE98" s="32">
        <f t="shared" si="39"/>
        <v>3625</v>
      </c>
      <c r="AF98" s="183">
        <v>595.0</v>
      </c>
      <c r="AG98" s="147">
        <v>0.0</v>
      </c>
      <c r="AH98" s="147" t="s">
        <v>82</v>
      </c>
      <c r="AI98" s="34">
        <v>0.0</v>
      </c>
      <c r="AJ98" s="34">
        <v>0.0</v>
      </c>
      <c r="AK98" s="34">
        <v>0.0</v>
      </c>
      <c r="AL98" s="36">
        <v>0.0</v>
      </c>
      <c r="AM98" s="37" t="s">
        <v>202</v>
      </c>
      <c r="AN98" s="38">
        <f t="shared" si="36"/>
        <v>3625</v>
      </c>
      <c r="AO98" s="39">
        <f t="shared" si="37"/>
        <v>1682.5</v>
      </c>
      <c r="AP98" s="40">
        <f t="shared" si="30"/>
        <v>1942.5</v>
      </c>
      <c r="AQ98" s="111"/>
      <c r="AR98" s="37"/>
      <c r="AS98" s="14"/>
      <c r="AT98" s="23" t="s">
        <v>570</v>
      </c>
      <c r="AU98" s="42"/>
      <c r="AV98" s="23" t="s">
        <v>1262</v>
      </c>
      <c r="AW98" s="23" t="s">
        <v>572</v>
      </c>
      <c r="AX98" s="112"/>
      <c r="AY98" s="37" t="b">
        <v>1</v>
      </c>
      <c r="AZ98" s="42"/>
    </row>
    <row r="99">
      <c r="A99" s="23" t="s">
        <v>563</v>
      </c>
      <c r="B99" s="23" t="s">
        <v>84</v>
      </c>
      <c r="C99" s="106" t="s">
        <v>1267</v>
      </c>
      <c r="D99" s="23" t="s">
        <v>1243</v>
      </c>
      <c r="E99" s="23">
        <v>92028.0</v>
      </c>
      <c r="F99" s="23" t="s">
        <v>87</v>
      </c>
      <c r="G99" s="23" t="s">
        <v>159</v>
      </c>
      <c r="H99" s="23" t="s">
        <v>73</v>
      </c>
      <c r="I99" s="23" t="s">
        <v>53</v>
      </c>
      <c r="J99" s="23" t="s">
        <v>54</v>
      </c>
      <c r="K99" s="25" t="s">
        <v>1268</v>
      </c>
      <c r="L99" s="26" t="s">
        <v>1269</v>
      </c>
      <c r="M99" s="26" t="s">
        <v>1270</v>
      </c>
      <c r="N99" s="27" t="s">
        <v>92</v>
      </c>
      <c r="O99" s="23" t="s">
        <v>1271</v>
      </c>
      <c r="P99" s="23" t="s">
        <v>558</v>
      </c>
      <c r="Q99" s="23" t="s">
        <v>132</v>
      </c>
      <c r="R99" s="23" t="s">
        <v>94</v>
      </c>
      <c r="S99" s="23" t="s">
        <v>1272</v>
      </c>
      <c r="T99" s="23" t="s">
        <v>1273</v>
      </c>
      <c r="U99" s="23" t="s">
        <v>64</v>
      </c>
      <c r="V99" s="28">
        <v>46077.0</v>
      </c>
      <c r="W99" s="28">
        <v>46098.0</v>
      </c>
      <c r="X99" s="28">
        <v>46098.0</v>
      </c>
      <c r="Y99" s="23" t="s">
        <v>64</v>
      </c>
      <c r="Z99" s="29"/>
      <c r="AA99" s="24" t="s">
        <v>558</v>
      </c>
      <c r="AB99" s="23" t="s">
        <v>901</v>
      </c>
      <c r="AC99" s="30">
        <v>235000.0</v>
      </c>
      <c r="AD99" s="31">
        <v>0.03</v>
      </c>
      <c r="AE99" s="32">
        <f t="shared" si="39"/>
        <v>7050</v>
      </c>
      <c r="AF99" s="33">
        <v>695.0</v>
      </c>
      <c r="AG99" s="34">
        <v>0.0</v>
      </c>
      <c r="AH99" s="34" t="s">
        <v>82</v>
      </c>
      <c r="AI99" s="34">
        <v>695.0</v>
      </c>
      <c r="AJ99" s="34">
        <v>0.0</v>
      </c>
      <c r="AK99" s="34">
        <v>0.0</v>
      </c>
      <c r="AL99" s="36">
        <v>0.0</v>
      </c>
      <c r="AM99" s="37" t="s">
        <v>1162</v>
      </c>
      <c r="AN99" s="38">
        <f t="shared" si="36"/>
        <v>7645</v>
      </c>
      <c r="AO99" s="39">
        <f t="shared" si="37"/>
        <v>2710</v>
      </c>
      <c r="AP99" s="40">
        <f t="shared" si="30"/>
        <v>4935</v>
      </c>
      <c r="AQ99" s="111"/>
      <c r="AR99" s="37"/>
      <c r="AS99" s="14"/>
      <c r="AT99" s="23" t="s">
        <v>570</v>
      </c>
      <c r="AU99" s="42"/>
      <c r="AV99" s="37" t="s">
        <v>571</v>
      </c>
      <c r="AW99" s="37" t="s">
        <v>572</v>
      </c>
      <c r="AX99" s="112"/>
      <c r="AY99" s="37" t="b">
        <v>1</v>
      </c>
      <c r="AZ99" s="42"/>
    </row>
    <row r="100">
      <c r="A100" s="23" t="s">
        <v>563</v>
      </c>
      <c r="B100" s="23" t="s">
        <v>47</v>
      </c>
      <c r="C100" s="106" t="s">
        <v>1274</v>
      </c>
      <c r="D100" s="23" t="s">
        <v>49</v>
      </c>
      <c r="E100" s="23">
        <v>92584.0</v>
      </c>
      <c r="F100" s="23" t="s">
        <v>50</v>
      </c>
      <c r="G100" s="23" t="s">
        <v>719</v>
      </c>
      <c r="H100" s="23" t="s">
        <v>172</v>
      </c>
      <c r="I100" s="23" t="s">
        <v>53</v>
      </c>
      <c r="J100" s="23" t="s">
        <v>54</v>
      </c>
      <c r="K100" s="25" t="s">
        <v>1275</v>
      </c>
      <c r="L100" s="26" t="s">
        <v>1276</v>
      </c>
      <c r="M100" s="26" t="s">
        <v>1277</v>
      </c>
      <c r="N100" s="27" t="s">
        <v>1278</v>
      </c>
      <c r="O100" s="23" t="s">
        <v>1225</v>
      </c>
      <c r="P100" s="23" t="s">
        <v>60</v>
      </c>
      <c r="Q100" s="23" t="s">
        <v>61</v>
      </c>
      <c r="R100" s="37" t="s">
        <v>178</v>
      </c>
      <c r="S100" s="23" t="s">
        <v>1279</v>
      </c>
      <c r="T100" s="23" t="s">
        <v>1280</v>
      </c>
      <c r="U100" s="23" t="s">
        <v>64</v>
      </c>
      <c r="V100" s="28">
        <v>46071.0</v>
      </c>
      <c r="W100" s="28">
        <v>46099.0</v>
      </c>
      <c r="X100" s="28">
        <v>46099.0</v>
      </c>
      <c r="Y100" s="23" t="s">
        <v>64</v>
      </c>
      <c r="Z100" s="29"/>
      <c r="AA100" s="24" t="s">
        <v>65</v>
      </c>
      <c r="AB100" s="23" t="s">
        <v>66</v>
      </c>
      <c r="AC100" s="30">
        <v>612000.0</v>
      </c>
      <c r="AD100" s="31">
        <v>0.03</v>
      </c>
      <c r="AE100" s="32">
        <f t="shared" si="39"/>
        <v>18360</v>
      </c>
      <c r="AF100" s="33">
        <v>595.0</v>
      </c>
      <c r="AG100" s="34">
        <v>500.0</v>
      </c>
      <c r="AH100" s="34">
        <v>0.0</v>
      </c>
      <c r="AI100" s="34">
        <v>1390.0</v>
      </c>
      <c r="AJ100" s="34">
        <v>0.0</v>
      </c>
      <c r="AK100" s="35">
        <f>sum(AE100,-AJ100)*0.4</f>
        <v>7344</v>
      </c>
      <c r="AL100" s="36">
        <v>0.0</v>
      </c>
      <c r="AM100" s="37" t="s">
        <v>47</v>
      </c>
      <c r="AN100" s="38">
        <f t="shared" si="36"/>
        <v>12406</v>
      </c>
      <c r="AO100" s="39">
        <f t="shared" si="37"/>
        <v>6103</v>
      </c>
      <c r="AP100" s="40">
        <f t="shared" si="30"/>
        <v>5803</v>
      </c>
      <c r="AQ100" s="111"/>
      <c r="AR100" s="37"/>
      <c r="AS100" s="14"/>
      <c r="AT100" s="23" t="s">
        <v>570</v>
      </c>
      <c r="AU100" s="42"/>
      <c r="AV100" s="37" t="s">
        <v>869</v>
      </c>
      <c r="AW100" s="37" t="s">
        <v>572</v>
      </c>
      <c r="AX100" s="113"/>
      <c r="AY100" s="37" t="b">
        <v>1</v>
      </c>
      <c r="AZ100" s="42"/>
    </row>
    <row r="101">
      <c r="A101" s="23" t="s">
        <v>563</v>
      </c>
      <c r="B101" s="23" t="s">
        <v>47</v>
      </c>
      <c r="C101" s="106" t="s">
        <v>1281</v>
      </c>
      <c r="D101" s="23" t="s">
        <v>49</v>
      </c>
      <c r="E101" s="23">
        <v>92586.0</v>
      </c>
      <c r="F101" s="23" t="s">
        <v>50</v>
      </c>
      <c r="G101" s="23" t="s">
        <v>362</v>
      </c>
      <c r="H101" s="23" t="s">
        <v>172</v>
      </c>
      <c r="I101" s="23" t="s">
        <v>215</v>
      </c>
      <c r="J101" s="23" t="s">
        <v>103</v>
      </c>
      <c r="K101" s="25" t="s">
        <v>1282</v>
      </c>
      <c r="L101" s="26" t="s">
        <v>1283</v>
      </c>
      <c r="M101" s="27" t="s">
        <v>1284</v>
      </c>
      <c r="N101" s="27" t="s">
        <v>1285</v>
      </c>
      <c r="O101" s="47" t="s">
        <v>143</v>
      </c>
      <c r="P101" s="23" t="s">
        <v>60</v>
      </c>
      <c r="Q101" s="23" t="s">
        <v>61</v>
      </c>
      <c r="R101" s="23"/>
      <c r="S101" s="23" t="s">
        <v>1286</v>
      </c>
      <c r="T101" s="23" t="s">
        <v>1287</v>
      </c>
      <c r="U101" s="23" t="s">
        <v>64</v>
      </c>
      <c r="V101" s="28">
        <v>46073.0</v>
      </c>
      <c r="W101" s="28">
        <v>46099.0</v>
      </c>
      <c r="X101" s="28">
        <v>46099.0</v>
      </c>
      <c r="Y101" s="23" t="s">
        <v>64</v>
      </c>
      <c r="Z101" s="29"/>
      <c r="AA101" s="24" t="s">
        <v>124</v>
      </c>
      <c r="AB101" s="23" t="s">
        <v>1061</v>
      </c>
      <c r="AC101" s="30">
        <v>219500.0</v>
      </c>
      <c r="AD101" s="31">
        <v>0.02</v>
      </c>
      <c r="AE101" s="32">
        <f t="shared" si="39"/>
        <v>4390</v>
      </c>
      <c r="AF101" s="33">
        <v>595.0</v>
      </c>
      <c r="AG101" s="34">
        <v>500.0</v>
      </c>
      <c r="AH101" s="34">
        <v>0.0</v>
      </c>
      <c r="AI101" s="34">
        <v>1500.0</v>
      </c>
      <c r="AJ101" s="34">
        <v>0.0</v>
      </c>
      <c r="AK101" s="34">
        <v>0.0</v>
      </c>
      <c r="AL101" s="36">
        <v>0.0</v>
      </c>
      <c r="AM101" s="37" t="s">
        <v>47</v>
      </c>
      <c r="AN101" s="38">
        <f t="shared" si="36"/>
        <v>5890</v>
      </c>
      <c r="AO101" s="39">
        <f t="shared" si="37"/>
        <v>2790</v>
      </c>
      <c r="AP101" s="40">
        <f t="shared" si="30"/>
        <v>2600</v>
      </c>
      <c r="AQ101" s="111"/>
      <c r="AR101" s="37"/>
      <c r="AS101" s="14"/>
      <c r="AT101" s="23" t="s">
        <v>570</v>
      </c>
      <c r="AU101" s="42"/>
      <c r="AV101" s="37" t="s">
        <v>869</v>
      </c>
      <c r="AW101" s="37" t="s">
        <v>572</v>
      </c>
      <c r="AX101" s="113"/>
      <c r="AY101" s="37" t="b">
        <v>1</v>
      </c>
      <c r="AZ101" s="42"/>
    </row>
    <row r="102" ht="15.75" customHeight="1">
      <c r="A102" s="23" t="s">
        <v>563</v>
      </c>
      <c r="B102" s="23" t="s">
        <v>84</v>
      </c>
      <c r="C102" s="106" t="s">
        <v>1288</v>
      </c>
      <c r="D102" s="23" t="s">
        <v>49</v>
      </c>
      <c r="E102" s="23">
        <v>92586.0</v>
      </c>
      <c r="F102" s="23" t="s">
        <v>50</v>
      </c>
      <c r="G102" s="23" t="s">
        <v>255</v>
      </c>
      <c r="H102" s="23" t="s">
        <v>52</v>
      </c>
      <c r="I102" s="23" t="s">
        <v>53</v>
      </c>
      <c r="J102" s="23" t="s">
        <v>103</v>
      </c>
      <c r="K102" s="25" t="s">
        <v>1289</v>
      </c>
      <c r="L102" s="26" t="s">
        <v>1290</v>
      </c>
      <c r="M102" s="27" t="s">
        <v>1291</v>
      </c>
      <c r="N102" s="27" t="s">
        <v>92</v>
      </c>
      <c r="O102" s="47" t="s">
        <v>143</v>
      </c>
      <c r="P102" s="23" t="s">
        <v>60</v>
      </c>
      <c r="Q102" s="23" t="s">
        <v>132</v>
      </c>
      <c r="R102" s="23" t="s">
        <v>94</v>
      </c>
      <c r="S102" s="23" t="s">
        <v>1292</v>
      </c>
      <c r="T102" s="23" t="s">
        <v>1293</v>
      </c>
      <c r="U102" s="23" t="s">
        <v>64</v>
      </c>
      <c r="V102" s="28">
        <v>46064.0</v>
      </c>
      <c r="W102" s="28">
        <v>46111.0</v>
      </c>
      <c r="X102" s="28">
        <v>46100.0</v>
      </c>
      <c r="Y102" s="23" t="s">
        <v>64</v>
      </c>
      <c r="Z102" s="29"/>
      <c r="AA102" s="24" t="s">
        <v>65</v>
      </c>
      <c r="AB102" s="23" t="s">
        <v>145</v>
      </c>
      <c r="AC102" s="30">
        <v>650000.0</v>
      </c>
      <c r="AD102" s="31">
        <v>0.04</v>
      </c>
      <c r="AE102" s="32">
        <f t="shared" si="39"/>
        <v>26000</v>
      </c>
      <c r="AF102" s="33">
        <v>695.0</v>
      </c>
      <c r="AG102" s="34">
        <v>0.0</v>
      </c>
      <c r="AH102" s="34">
        <v>0.0</v>
      </c>
      <c r="AI102" s="33">
        <v>695.0</v>
      </c>
      <c r="AJ102" s="34">
        <v>0.0</v>
      </c>
      <c r="AK102" s="119">
        <v>0.0</v>
      </c>
      <c r="AL102" s="131">
        <v>10000.0</v>
      </c>
      <c r="AM102" s="37" t="s">
        <v>277</v>
      </c>
      <c r="AN102" s="38">
        <f>if(AF102=595, SUM(AE102+AI102-AK102-AJ102),sum(AE102-AJ102-AK102,695))</f>
        <v>26695</v>
      </c>
      <c r="AO102" s="39">
        <f>if(AM102="Buyer",-sum((-AE102+AK102+AJ102)*50%),if(AM102="Seller",-sum((-AE102+AK102+AJ102)*100%),-sum(((-AE102+AK102+AJ102)*((100-right(AM102,3))/100)))))+if(AF102&lt;&gt;595,695, sum(AF102))</f>
        <v>695</v>
      </c>
      <c r="AP102" s="40">
        <f t="shared" si="30"/>
        <v>26000</v>
      </c>
      <c r="AQ102" s="111"/>
      <c r="AR102" s="37"/>
      <c r="AS102" s="14"/>
      <c r="AT102" s="23" t="s">
        <v>570</v>
      </c>
      <c r="AU102" s="42"/>
      <c r="AV102" s="23" t="s">
        <v>1294</v>
      </c>
      <c r="AW102" s="23" t="s">
        <v>572</v>
      </c>
      <c r="AX102" s="112"/>
      <c r="AY102" s="37" t="b">
        <v>1</v>
      </c>
      <c r="AZ102" s="42"/>
    </row>
    <row r="103">
      <c r="A103" s="23" t="s">
        <v>563</v>
      </c>
      <c r="B103" s="23" t="s">
        <v>84</v>
      </c>
      <c r="C103" s="106" t="s">
        <v>1295</v>
      </c>
      <c r="D103" s="23" t="s">
        <v>270</v>
      </c>
      <c r="E103" s="23">
        <v>91942.0</v>
      </c>
      <c r="F103" s="23" t="s">
        <v>87</v>
      </c>
      <c r="G103" s="23" t="s">
        <v>376</v>
      </c>
      <c r="H103" s="23" t="s">
        <v>52</v>
      </c>
      <c r="I103" s="23" t="s">
        <v>53</v>
      </c>
      <c r="J103" s="23" t="s">
        <v>103</v>
      </c>
      <c r="K103" s="25" t="s">
        <v>786</v>
      </c>
      <c r="L103" s="26" t="s">
        <v>1296</v>
      </c>
      <c r="M103" s="26" t="s">
        <v>1297</v>
      </c>
      <c r="N103" s="27" t="s">
        <v>92</v>
      </c>
      <c r="O103" s="23" t="s">
        <v>1298</v>
      </c>
      <c r="P103" s="23" t="s">
        <v>60</v>
      </c>
      <c r="Q103" s="23" t="s">
        <v>132</v>
      </c>
      <c r="R103" s="23" t="s">
        <v>94</v>
      </c>
      <c r="S103" s="23" t="s">
        <v>1299</v>
      </c>
      <c r="T103" s="23" t="s">
        <v>1300</v>
      </c>
      <c r="U103" s="23" t="s">
        <v>64</v>
      </c>
      <c r="V103" s="28">
        <v>46071.0</v>
      </c>
      <c r="W103" s="28">
        <v>46101.0</v>
      </c>
      <c r="X103" s="28">
        <v>46100.0</v>
      </c>
      <c r="Y103" s="23" t="s">
        <v>64</v>
      </c>
      <c r="Z103" s="29"/>
      <c r="AA103" s="24" t="s">
        <v>65</v>
      </c>
      <c r="AB103" s="23" t="s">
        <v>262</v>
      </c>
      <c r="AC103" s="30">
        <v>712000.0</v>
      </c>
      <c r="AD103" s="51">
        <v>0.0</v>
      </c>
      <c r="AE103" s="62">
        <v>589.0</v>
      </c>
      <c r="AF103" s="33" t="s">
        <v>93</v>
      </c>
      <c r="AG103" s="34">
        <v>0.0</v>
      </c>
      <c r="AH103" s="34">
        <v>0.0</v>
      </c>
      <c r="AI103" s="34">
        <v>0.0</v>
      </c>
      <c r="AJ103" s="34">
        <v>0.0</v>
      </c>
      <c r="AK103" s="34">
        <v>0.0</v>
      </c>
      <c r="AL103" s="36">
        <v>0.0</v>
      </c>
      <c r="AM103" s="37" t="s">
        <v>84</v>
      </c>
      <c r="AN103" s="38">
        <f>if(AF103=595, SUM(AE103+AI103-AK103-AJ103),sum(AE103-AJ103-AK103,0))</f>
        <v>589</v>
      </c>
      <c r="AO103" s="39">
        <f>if(AM103="Buyer",-sum((-AE103+AK103+AJ103)*50%),if(AM103="Seller",-sum((-AE103+AK103+AJ103)*100%),-sum(((-AE103+AK103+AJ103)*((100-right(AM103,2))/100)))))+if(AF103&lt;&gt;595,0, sum(AF103))</f>
        <v>589</v>
      </c>
      <c r="AP103" s="40">
        <f t="shared" si="30"/>
        <v>0</v>
      </c>
      <c r="AQ103" s="111"/>
      <c r="AR103" s="37"/>
      <c r="AS103" s="14"/>
      <c r="AT103" s="23" t="s">
        <v>570</v>
      </c>
      <c r="AU103" s="42"/>
      <c r="AV103" s="37" t="s">
        <v>1301</v>
      </c>
      <c r="AW103" s="37" t="s">
        <v>114</v>
      </c>
      <c r="AX103" s="113"/>
      <c r="AY103" s="37" t="s">
        <v>792</v>
      </c>
      <c r="AZ103" s="42"/>
    </row>
    <row r="104">
      <c r="A104" s="23" t="s">
        <v>563</v>
      </c>
      <c r="B104" s="23" t="s">
        <v>84</v>
      </c>
      <c r="C104" s="106" t="s">
        <v>1302</v>
      </c>
      <c r="D104" s="23" t="s">
        <v>49</v>
      </c>
      <c r="E104" s="23">
        <v>92586.0</v>
      </c>
      <c r="F104" s="23" t="s">
        <v>50</v>
      </c>
      <c r="G104" s="23" t="s">
        <v>1303</v>
      </c>
      <c r="H104" s="23" t="s">
        <v>52</v>
      </c>
      <c r="I104" s="23" t="s">
        <v>53</v>
      </c>
      <c r="J104" s="23" t="s">
        <v>54</v>
      </c>
      <c r="K104" s="25" t="s">
        <v>1304</v>
      </c>
      <c r="L104" s="26" t="s">
        <v>1305</v>
      </c>
      <c r="M104" s="26" t="s">
        <v>1306</v>
      </c>
      <c r="N104" s="27" t="s">
        <v>92</v>
      </c>
      <c r="O104" s="23" t="s">
        <v>1307</v>
      </c>
      <c r="P104" s="23" t="s">
        <v>60</v>
      </c>
      <c r="Q104" s="23" t="s">
        <v>61</v>
      </c>
      <c r="R104" s="23" t="s">
        <v>94</v>
      </c>
      <c r="S104" s="23" t="s">
        <v>1308</v>
      </c>
      <c r="T104" s="23" t="s">
        <v>1309</v>
      </c>
      <c r="U104" s="23" t="s">
        <v>64</v>
      </c>
      <c r="V104" s="28">
        <v>46074.0</v>
      </c>
      <c r="W104" s="28">
        <v>46104.0</v>
      </c>
      <c r="X104" s="28">
        <v>46104.0</v>
      </c>
      <c r="Y104" s="23" t="s">
        <v>64</v>
      </c>
      <c r="Z104" s="29"/>
      <c r="AA104" s="24" t="s">
        <v>65</v>
      </c>
      <c r="AB104" s="23" t="s">
        <v>1257</v>
      </c>
      <c r="AC104" s="30">
        <v>360000.0</v>
      </c>
      <c r="AD104" s="31">
        <v>0.05</v>
      </c>
      <c r="AE104" s="32">
        <f t="shared" ref="AE104:AE113" si="41">SUM(AC104*AD104)</f>
        <v>18000</v>
      </c>
      <c r="AF104" s="33">
        <v>595.0</v>
      </c>
      <c r="AG104" s="34">
        <v>500.0</v>
      </c>
      <c r="AH104" s="34">
        <v>250.0</v>
      </c>
      <c r="AI104" s="34">
        <v>1195.0</v>
      </c>
      <c r="AJ104" s="34">
        <v>740.0</v>
      </c>
      <c r="AK104" s="34">
        <v>0.0</v>
      </c>
      <c r="AL104" s="36">
        <v>0.0</v>
      </c>
      <c r="AM104" s="37" t="s">
        <v>84</v>
      </c>
      <c r="AN104" s="38">
        <f t="shared" ref="AN104:AN127" si="42">if(AF104=595, SUM(AE104+AI104-AK104-AJ104),sum(AE104-AJ104-AK104,595))</f>
        <v>18455</v>
      </c>
      <c r="AO104" s="39">
        <f t="shared" ref="AO104:AO111" si="43">if(AM104="Buyer",-sum((-AE104+AK104+AJ104)*50%),if(AM104="Seller",-sum((-AE104+AK104+AJ104)*50%),-sum(((-AE104+AK104+AJ104)*((100-right(AM104,2))/100)))))+if(AF104&lt;&gt;595,595, sum(AF104))</f>
        <v>9225</v>
      </c>
      <c r="AP104" s="40">
        <f t="shared" si="30"/>
        <v>8480</v>
      </c>
      <c r="AQ104" s="111"/>
      <c r="AR104" s="37"/>
      <c r="AS104" s="14"/>
      <c r="AT104" s="23" t="s">
        <v>570</v>
      </c>
      <c r="AU104" s="42"/>
      <c r="AV104" s="37" t="s">
        <v>869</v>
      </c>
      <c r="AW104" s="37" t="s">
        <v>572</v>
      </c>
      <c r="AX104" s="113"/>
      <c r="AY104" s="37" t="b">
        <v>1</v>
      </c>
      <c r="AZ104" s="42"/>
    </row>
    <row r="105">
      <c r="A105" s="23" t="s">
        <v>563</v>
      </c>
      <c r="B105" s="23" t="s">
        <v>47</v>
      </c>
      <c r="C105" s="106" t="s">
        <v>1310</v>
      </c>
      <c r="D105" s="23" t="s">
        <v>49</v>
      </c>
      <c r="E105" s="23">
        <v>92584.0</v>
      </c>
      <c r="F105" s="23" t="s">
        <v>50</v>
      </c>
      <c r="G105" s="23" t="s">
        <v>117</v>
      </c>
      <c r="H105" s="23" t="s">
        <v>172</v>
      </c>
      <c r="I105" s="23" t="s">
        <v>53</v>
      </c>
      <c r="J105" s="23" t="s">
        <v>103</v>
      </c>
      <c r="K105" s="25" t="s">
        <v>1311</v>
      </c>
      <c r="L105" s="26" t="s">
        <v>1312</v>
      </c>
      <c r="M105" s="27" t="s">
        <v>1313</v>
      </c>
      <c r="N105" s="27" t="s">
        <v>1314</v>
      </c>
      <c r="O105" s="23" t="s">
        <v>1315</v>
      </c>
      <c r="P105" s="23" t="s">
        <v>60</v>
      </c>
      <c r="Q105" s="23" t="s">
        <v>61</v>
      </c>
      <c r="R105" s="23" t="s">
        <v>859</v>
      </c>
      <c r="S105" s="23" t="s">
        <v>1316</v>
      </c>
      <c r="T105" s="23" t="s">
        <v>1317</v>
      </c>
      <c r="U105" s="23" t="s">
        <v>64</v>
      </c>
      <c r="V105" s="28">
        <v>46073.0</v>
      </c>
      <c r="W105" s="28">
        <v>46104.0</v>
      </c>
      <c r="X105" s="28">
        <v>46104.0</v>
      </c>
      <c r="Y105" s="23" t="s">
        <v>64</v>
      </c>
      <c r="Z105" s="29"/>
      <c r="AA105" s="24" t="s">
        <v>65</v>
      </c>
      <c r="AB105" s="23" t="s">
        <v>66</v>
      </c>
      <c r="AC105" s="30">
        <v>577000.0</v>
      </c>
      <c r="AD105" s="31">
        <v>0.025</v>
      </c>
      <c r="AE105" s="32">
        <f t="shared" si="41"/>
        <v>14425</v>
      </c>
      <c r="AF105" s="33">
        <v>595.0</v>
      </c>
      <c r="AG105" s="34">
        <v>500.0</v>
      </c>
      <c r="AH105" s="34">
        <v>0.0</v>
      </c>
      <c r="AI105" s="34">
        <v>1095.0</v>
      </c>
      <c r="AJ105" s="34">
        <v>0.0</v>
      </c>
      <c r="AK105" s="35">
        <f>sum(AE105,-AJ105)*0.4</f>
        <v>5770</v>
      </c>
      <c r="AL105" s="36">
        <v>0.0</v>
      </c>
      <c r="AM105" s="37" t="s">
        <v>47</v>
      </c>
      <c r="AN105" s="38">
        <f t="shared" si="42"/>
        <v>9750</v>
      </c>
      <c r="AO105" s="39">
        <f t="shared" si="43"/>
        <v>4922.5</v>
      </c>
      <c r="AP105" s="40">
        <f t="shared" si="30"/>
        <v>4327.5</v>
      </c>
      <c r="AQ105" s="111"/>
      <c r="AR105" s="37"/>
      <c r="AS105" s="14"/>
      <c r="AT105" s="23" t="s">
        <v>570</v>
      </c>
      <c r="AU105" s="42"/>
      <c r="AV105" s="37" t="s">
        <v>869</v>
      </c>
      <c r="AW105" s="37" t="s">
        <v>572</v>
      </c>
      <c r="AX105" s="113"/>
      <c r="AY105" s="37" t="b">
        <v>1</v>
      </c>
      <c r="AZ105" s="42"/>
    </row>
    <row r="106">
      <c r="A106" s="23" t="s">
        <v>563</v>
      </c>
      <c r="B106" s="23" t="s">
        <v>47</v>
      </c>
      <c r="C106" s="106" t="s">
        <v>1318</v>
      </c>
      <c r="D106" s="23" t="s">
        <v>617</v>
      </c>
      <c r="E106" s="23">
        <v>92008.0</v>
      </c>
      <c r="F106" s="23" t="s">
        <v>87</v>
      </c>
      <c r="G106" s="23" t="s">
        <v>1087</v>
      </c>
      <c r="H106" s="23" t="s">
        <v>73</v>
      </c>
      <c r="I106" s="23" t="s">
        <v>53</v>
      </c>
      <c r="J106" s="23" t="s">
        <v>103</v>
      </c>
      <c r="K106" s="25" t="s">
        <v>1319</v>
      </c>
      <c r="L106" s="58" t="s">
        <v>1320</v>
      </c>
      <c r="M106" s="26" t="s">
        <v>1321</v>
      </c>
      <c r="N106" s="27" t="s">
        <v>208</v>
      </c>
      <c r="O106" s="23" t="s">
        <v>1322</v>
      </c>
      <c r="P106" s="23" t="s">
        <v>60</v>
      </c>
      <c r="Q106" s="23" t="s">
        <v>61</v>
      </c>
      <c r="R106" s="23"/>
      <c r="S106" s="23" t="s">
        <v>1323</v>
      </c>
      <c r="T106" s="23" t="s">
        <v>1324</v>
      </c>
      <c r="U106" s="23" t="s">
        <v>64</v>
      </c>
      <c r="V106" s="28">
        <v>46068.0</v>
      </c>
      <c r="W106" s="28">
        <v>46086.0</v>
      </c>
      <c r="X106" s="28">
        <v>46104.0</v>
      </c>
      <c r="Y106" s="23" t="s">
        <v>64</v>
      </c>
      <c r="Z106" s="29"/>
      <c r="AA106" s="24" t="s">
        <v>414</v>
      </c>
      <c r="AB106" s="23" t="s">
        <v>66</v>
      </c>
      <c r="AC106" s="30">
        <v>1195000.0</v>
      </c>
      <c r="AD106" s="31">
        <v>0.025</v>
      </c>
      <c r="AE106" s="32">
        <f t="shared" si="41"/>
        <v>29875</v>
      </c>
      <c r="AF106" s="33">
        <v>595.0</v>
      </c>
      <c r="AG106" s="34">
        <v>500.0</v>
      </c>
      <c r="AH106" s="34">
        <v>0.0</v>
      </c>
      <c r="AI106" s="34">
        <v>1095.0</v>
      </c>
      <c r="AJ106" s="34">
        <v>430.0</v>
      </c>
      <c r="AK106" s="34">
        <v>0.0</v>
      </c>
      <c r="AL106" s="36">
        <v>0.0</v>
      </c>
      <c r="AM106" s="37" t="s">
        <v>47</v>
      </c>
      <c r="AN106" s="38">
        <f t="shared" si="42"/>
        <v>30540</v>
      </c>
      <c r="AO106" s="39">
        <f t="shared" si="43"/>
        <v>15317.5</v>
      </c>
      <c r="AP106" s="40">
        <f t="shared" si="30"/>
        <v>14722.5</v>
      </c>
      <c r="AQ106" s="14"/>
      <c r="AR106" s="37" t="s">
        <v>1325</v>
      </c>
      <c r="AS106" s="14"/>
      <c r="AT106" s="23" t="s">
        <v>570</v>
      </c>
      <c r="AU106" s="42"/>
      <c r="AV106" s="37" t="s">
        <v>869</v>
      </c>
      <c r="AW106" s="37" t="s">
        <v>572</v>
      </c>
      <c r="AX106" s="113"/>
      <c r="AY106" s="37" t="b">
        <v>1</v>
      </c>
      <c r="AZ106" s="42"/>
    </row>
    <row r="107">
      <c r="A107" s="158" t="s">
        <v>563</v>
      </c>
      <c r="B107" s="158" t="s">
        <v>84</v>
      </c>
      <c r="C107" s="117" t="s">
        <v>1326</v>
      </c>
      <c r="D107" s="158" t="s">
        <v>1327</v>
      </c>
      <c r="E107" s="158">
        <v>90744.0</v>
      </c>
      <c r="F107" s="158" t="s">
        <v>726</v>
      </c>
      <c r="G107" s="158" t="s">
        <v>226</v>
      </c>
      <c r="H107" s="158" t="s">
        <v>52</v>
      </c>
      <c r="I107" s="159" t="s">
        <v>53</v>
      </c>
      <c r="J107" s="158" t="s">
        <v>54</v>
      </c>
      <c r="K107" s="160" t="s">
        <v>1328</v>
      </c>
      <c r="L107" s="167" t="s">
        <v>1329</v>
      </c>
      <c r="M107" s="167" t="s">
        <v>1330</v>
      </c>
      <c r="N107" s="160" t="s">
        <v>1331</v>
      </c>
      <c r="O107" s="159" t="s">
        <v>1332</v>
      </c>
      <c r="P107" s="158"/>
      <c r="Q107" s="158" t="s">
        <v>132</v>
      </c>
      <c r="R107" s="158" t="s">
        <v>94</v>
      </c>
      <c r="S107" s="159" t="s">
        <v>1333</v>
      </c>
      <c r="T107" s="159" t="s">
        <v>1334</v>
      </c>
      <c r="U107" s="158" t="s">
        <v>64</v>
      </c>
      <c r="V107" s="165">
        <v>46083.0</v>
      </c>
      <c r="W107" s="165">
        <v>46108.0</v>
      </c>
      <c r="X107" s="165">
        <v>46106.0</v>
      </c>
      <c r="Y107" s="159" t="s">
        <v>64</v>
      </c>
      <c r="Z107" s="166"/>
      <c r="AA107" s="167" t="s">
        <v>65</v>
      </c>
      <c r="AB107" s="159" t="s">
        <v>167</v>
      </c>
      <c r="AC107" s="30">
        <v>435000.0</v>
      </c>
      <c r="AD107" s="31">
        <v>0.05</v>
      </c>
      <c r="AE107" s="32">
        <f t="shared" si="41"/>
        <v>21750</v>
      </c>
      <c r="AF107" s="168">
        <v>595.0</v>
      </c>
      <c r="AG107" s="30" t="s">
        <v>111</v>
      </c>
      <c r="AH107" s="30" t="s">
        <v>111</v>
      </c>
      <c r="AI107" s="38">
        <v>1345.0</v>
      </c>
      <c r="AJ107" s="38">
        <v>0.0</v>
      </c>
      <c r="AK107" s="38">
        <v>0.0</v>
      </c>
      <c r="AL107" s="38">
        <v>0.0</v>
      </c>
      <c r="AM107" s="118" t="s">
        <v>168</v>
      </c>
      <c r="AN107" s="38">
        <f t="shared" si="42"/>
        <v>23095</v>
      </c>
      <c r="AO107" s="38">
        <f t="shared" si="43"/>
        <v>2770</v>
      </c>
      <c r="AP107" s="40">
        <f t="shared" si="30"/>
        <v>20325</v>
      </c>
      <c r="AQ107" s="14"/>
      <c r="AR107" s="37"/>
      <c r="AS107" s="14"/>
      <c r="AT107" s="159" t="s">
        <v>570</v>
      </c>
      <c r="AU107" s="145"/>
      <c r="AV107" s="37" t="s">
        <v>869</v>
      </c>
      <c r="AW107" s="37" t="s">
        <v>572</v>
      </c>
      <c r="AX107" s="113"/>
      <c r="AY107" s="37" t="b">
        <v>1</v>
      </c>
      <c r="AZ107" s="145"/>
    </row>
    <row r="108">
      <c r="A108" s="23" t="s">
        <v>563</v>
      </c>
      <c r="B108" s="23" t="s">
        <v>47</v>
      </c>
      <c r="C108" s="106" t="s">
        <v>1335</v>
      </c>
      <c r="D108" s="23" t="s">
        <v>1336</v>
      </c>
      <c r="E108" s="23">
        <v>92567.0</v>
      </c>
      <c r="F108" s="23" t="s">
        <v>50</v>
      </c>
      <c r="G108" s="23" t="s">
        <v>1337</v>
      </c>
      <c r="H108" s="23" t="s">
        <v>52</v>
      </c>
      <c r="I108" s="23" t="s">
        <v>53</v>
      </c>
      <c r="J108" s="23" t="s">
        <v>54</v>
      </c>
      <c r="K108" s="25" t="s">
        <v>1338</v>
      </c>
      <c r="L108" s="26" t="s">
        <v>1339</v>
      </c>
      <c r="M108" s="26" t="s">
        <v>1340</v>
      </c>
      <c r="N108" s="27" t="s">
        <v>1341</v>
      </c>
      <c r="O108" s="23" t="s">
        <v>1342</v>
      </c>
      <c r="P108" s="23" t="s">
        <v>60</v>
      </c>
      <c r="Q108" s="23" t="s">
        <v>61</v>
      </c>
      <c r="R108" s="23" t="s">
        <v>746</v>
      </c>
      <c r="S108" s="23" t="s">
        <v>1106</v>
      </c>
      <c r="T108" s="23" t="s">
        <v>1343</v>
      </c>
      <c r="U108" s="23" t="s">
        <v>64</v>
      </c>
      <c r="V108" s="28">
        <v>46085.0</v>
      </c>
      <c r="W108" s="28">
        <v>46101.0</v>
      </c>
      <c r="X108" s="28">
        <v>46107.0</v>
      </c>
      <c r="Y108" s="23" t="s">
        <v>64</v>
      </c>
      <c r="Z108" s="29"/>
      <c r="AA108" s="24" t="s">
        <v>65</v>
      </c>
      <c r="AB108" s="23" t="s">
        <v>167</v>
      </c>
      <c r="AC108" s="30">
        <v>485000.0</v>
      </c>
      <c r="AD108" s="31">
        <v>0.02</v>
      </c>
      <c r="AE108" s="32">
        <f t="shared" si="41"/>
        <v>9700</v>
      </c>
      <c r="AF108" s="33">
        <v>595.0</v>
      </c>
      <c r="AG108" s="34">
        <v>500.0</v>
      </c>
      <c r="AH108" s="34" t="s">
        <v>82</v>
      </c>
      <c r="AI108" s="34">
        <v>1095.0</v>
      </c>
      <c r="AJ108" s="34">
        <v>0.0</v>
      </c>
      <c r="AK108" s="34">
        <v>0.0</v>
      </c>
      <c r="AL108" s="36">
        <v>0.0</v>
      </c>
      <c r="AM108" s="37" t="s">
        <v>202</v>
      </c>
      <c r="AN108" s="38">
        <f t="shared" si="42"/>
        <v>10795</v>
      </c>
      <c r="AO108" s="39">
        <f t="shared" si="43"/>
        <v>3505</v>
      </c>
      <c r="AP108" s="40">
        <f t="shared" si="30"/>
        <v>6790</v>
      </c>
      <c r="AQ108" s="14"/>
      <c r="AR108" s="37"/>
      <c r="AS108" s="14"/>
      <c r="AT108" s="23" t="s">
        <v>570</v>
      </c>
      <c r="AU108" s="42"/>
      <c r="AV108" s="37" t="s">
        <v>869</v>
      </c>
      <c r="AW108" s="37" t="s">
        <v>572</v>
      </c>
      <c r="AX108" s="113"/>
      <c r="AY108" s="37" t="b">
        <v>1</v>
      </c>
      <c r="AZ108" s="42"/>
    </row>
    <row r="109">
      <c r="A109" s="23" t="s">
        <v>563</v>
      </c>
      <c r="B109" s="23" t="s">
        <v>47</v>
      </c>
      <c r="C109" s="106" t="s">
        <v>1344</v>
      </c>
      <c r="D109" s="23" t="s">
        <v>398</v>
      </c>
      <c r="E109" s="23">
        <v>92562.0</v>
      </c>
      <c r="F109" s="23" t="s">
        <v>50</v>
      </c>
      <c r="G109" s="48" t="s">
        <v>362</v>
      </c>
      <c r="H109" s="23" t="s">
        <v>172</v>
      </c>
      <c r="I109" s="23" t="s">
        <v>53</v>
      </c>
      <c r="J109" s="23" t="s">
        <v>103</v>
      </c>
      <c r="K109" s="25" t="s">
        <v>1345</v>
      </c>
      <c r="L109" s="43"/>
      <c r="M109" s="26" t="s">
        <v>1346</v>
      </c>
      <c r="N109" s="27" t="s">
        <v>220</v>
      </c>
      <c r="O109" s="23"/>
      <c r="P109" s="23" t="s">
        <v>343</v>
      </c>
      <c r="Q109" s="23" t="s">
        <v>343</v>
      </c>
      <c r="R109" s="23"/>
      <c r="S109" s="23" t="s">
        <v>1347</v>
      </c>
      <c r="T109" s="191" t="s">
        <v>1348</v>
      </c>
      <c r="U109" s="23" t="s">
        <v>64</v>
      </c>
      <c r="V109" s="28">
        <v>46046.0</v>
      </c>
      <c r="W109" s="28">
        <v>46100.0</v>
      </c>
      <c r="X109" s="28">
        <v>46107.0</v>
      </c>
      <c r="Y109" s="23" t="s">
        <v>64</v>
      </c>
      <c r="Z109" s="29"/>
      <c r="AA109" s="24" t="s">
        <v>343</v>
      </c>
      <c r="AB109" s="23" t="s">
        <v>167</v>
      </c>
      <c r="AC109" s="30">
        <v>799990.0</v>
      </c>
      <c r="AD109" s="31">
        <v>0.02</v>
      </c>
      <c r="AE109" s="32">
        <f t="shared" si="41"/>
        <v>15999.8</v>
      </c>
      <c r="AF109" s="33">
        <v>595.0</v>
      </c>
      <c r="AG109" s="34">
        <v>200.0</v>
      </c>
      <c r="AH109" s="34">
        <v>0.0</v>
      </c>
      <c r="AI109" s="34">
        <v>0.0</v>
      </c>
      <c r="AJ109" s="34">
        <v>0.0</v>
      </c>
      <c r="AK109" s="34">
        <v>0.0</v>
      </c>
      <c r="AL109" s="36">
        <v>0.0</v>
      </c>
      <c r="AM109" s="37" t="s">
        <v>168</v>
      </c>
      <c r="AN109" s="38">
        <f t="shared" si="42"/>
        <v>15999.8</v>
      </c>
      <c r="AO109" s="39">
        <f t="shared" si="43"/>
        <v>2194.98</v>
      </c>
      <c r="AP109" s="40">
        <f t="shared" si="30"/>
        <v>13604.82</v>
      </c>
      <c r="AQ109" s="14"/>
      <c r="AR109" s="37"/>
      <c r="AS109" s="14"/>
      <c r="AT109" s="23" t="s">
        <v>570</v>
      </c>
      <c r="AU109" s="42"/>
      <c r="AV109" s="37" t="s">
        <v>869</v>
      </c>
      <c r="AW109" s="37" t="s">
        <v>572</v>
      </c>
      <c r="AX109" s="113"/>
      <c r="AY109" s="37" t="b">
        <v>1</v>
      </c>
      <c r="AZ109" s="42"/>
    </row>
    <row r="110">
      <c r="A110" s="23" t="s">
        <v>563</v>
      </c>
      <c r="B110" s="23" t="s">
        <v>84</v>
      </c>
      <c r="C110" s="106" t="s">
        <v>1349</v>
      </c>
      <c r="D110" s="23" t="s">
        <v>49</v>
      </c>
      <c r="E110" s="23">
        <v>92584.0</v>
      </c>
      <c r="F110" s="23" t="s">
        <v>50</v>
      </c>
      <c r="G110" s="23" t="s">
        <v>102</v>
      </c>
      <c r="H110" s="23" t="s">
        <v>172</v>
      </c>
      <c r="I110" s="23" t="s">
        <v>53</v>
      </c>
      <c r="J110" s="23" t="s">
        <v>103</v>
      </c>
      <c r="K110" s="25" t="s">
        <v>1350</v>
      </c>
      <c r="L110" s="49" t="s">
        <v>1351</v>
      </c>
      <c r="M110" s="27" t="s">
        <v>1352</v>
      </c>
      <c r="N110" s="27" t="s">
        <v>92</v>
      </c>
      <c r="O110" s="23" t="s">
        <v>1353</v>
      </c>
      <c r="P110" s="23" t="s">
        <v>737</v>
      </c>
      <c r="Q110" s="23" t="s">
        <v>132</v>
      </c>
      <c r="R110" s="23" t="s">
        <v>94</v>
      </c>
      <c r="S110" s="23" t="s">
        <v>1354</v>
      </c>
      <c r="T110" s="23" t="s">
        <v>1355</v>
      </c>
      <c r="U110" s="23" t="s">
        <v>64</v>
      </c>
      <c r="V110" s="28">
        <v>46089.0</v>
      </c>
      <c r="W110" s="28">
        <v>46104.0</v>
      </c>
      <c r="X110" s="28">
        <v>46107.0</v>
      </c>
      <c r="Y110" s="23" t="s">
        <v>64</v>
      </c>
      <c r="Z110" s="29"/>
      <c r="AA110" s="24" t="s">
        <v>65</v>
      </c>
      <c r="AB110" s="23" t="s">
        <v>167</v>
      </c>
      <c r="AC110" s="30">
        <v>615000.0</v>
      </c>
      <c r="AD110" s="31">
        <v>0.015</v>
      </c>
      <c r="AE110" s="32">
        <f t="shared" si="41"/>
        <v>9225</v>
      </c>
      <c r="AF110" s="33">
        <v>595.0</v>
      </c>
      <c r="AG110" s="34" t="s">
        <v>111</v>
      </c>
      <c r="AH110" s="34" t="s">
        <v>111</v>
      </c>
      <c r="AI110" s="34">
        <v>0.0</v>
      </c>
      <c r="AJ110" s="34">
        <v>0.0</v>
      </c>
      <c r="AK110" s="34">
        <v>0.0</v>
      </c>
      <c r="AL110" s="36">
        <v>0.0</v>
      </c>
      <c r="AM110" s="37" t="s">
        <v>202</v>
      </c>
      <c r="AN110" s="38">
        <f t="shared" si="42"/>
        <v>9225</v>
      </c>
      <c r="AO110" s="39">
        <f t="shared" si="43"/>
        <v>3362.5</v>
      </c>
      <c r="AP110" s="40">
        <f t="shared" si="30"/>
        <v>5862.5</v>
      </c>
      <c r="AQ110" s="14"/>
      <c r="AR110" s="41"/>
      <c r="AS110" s="14"/>
      <c r="AT110" s="23" t="s">
        <v>570</v>
      </c>
      <c r="AU110" s="42"/>
      <c r="AV110" s="37" t="s">
        <v>1356</v>
      </c>
      <c r="AW110" s="37" t="s">
        <v>572</v>
      </c>
      <c r="AX110" s="113"/>
      <c r="AY110" s="37" t="b">
        <v>1</v>
      </c>
      <c r="AZ110" s="42"/>
    </row>
    <row r="111">
      <c r="A111" s="23" t="s">
        <v>563</v>
      </c>
      <c r="B111" s="23" t="s">
        <v>84</v>
      </c>
      <c r="C111" s="106" t="s">
        <v>1357</v>
      </c>
      <c r="D111" s="23" t="s">
        <v>1358</v>
      </c>
      <c r="E111" s="23">
        <v>91730.0</v>
      </c>
      <c r="F111" s="23" t="s">
        <v>101</v>
      </c>
      <c r="G111" s="23" t="s">
        <v>184</v>
      </c>
      <c r="H111" s="23" t="s">
        <v>73</v>
      </c>
      <c r="I111" s="23" t="s">
        <v>53</v>
      </c>
      <c r="J111" s="23" t="s">
        <v>185</v>
      </c>
      <c r="K111" s="25" t="s">
        <v>1359</v>
      </c>
      <c r="L111" s="26" t="s">
        <v>1360</v>
      </c>
      <c r="M111" s="26" t="s">
        <v>1361</v>
      </c>
      <c r="N111" s="27" t="s">
        <v>92</v>
      </c>
      <c r="O111" s="23"/>
      <c r="P111" s="23" t="s">
        <v>60</v>
      </c>
      <c r="Q111" s="23" t="s">
        <v>132</v>
      </c>
      <c r="R111" s="23" t="s">
        <v>94</v>
      </c>
      <c r="S111" s="47" t="s">
        <v>680</v>
      </c>
      <c r="T111" s="47" t="s">
        <v>680</v>
      </c>
      <c r="U111" s="23" t="s">
        <v>64</v>
      </c>
      <c r="V111" s="28">
        <v>46080.0</v>
      </c>
      <c r="W111" s="28">
        <v>46108.0</v>
      </c>
      <c r="X111" s="28">
        <v>46108.0</v>
      </c>
      <c r="Y111" s="23" t="s">
        <v>64</v>
      </c>
      <c r="Z111" s="29"/>
      <c r="AA111" s="24" t="s">
        <v>65</v>
      </c>
      <c r="AB111" s="23" t="s">
        <v>66</v>
      </c>
      <c r="AC111" s="30">
        <v>670000.0</v>
      </c>
      <c r="AD111" s="31">
        <v>0.03</v>
      </c>
      <c r="AE111" s="32">
        <f t="shared" si="41"/>
        <v>20100</v>
      </c>
      <c r="AF111" s="33">
        <v>595.0</v>
      </c>
      <c r="AG111" s="34">
        <v>0.0</v>
      </c>
      <c r="AH111" s="34" t="s">
        <v>82</v>
      </c>
      <c r="AI111" s="34">
        <v>1345.0</v>
      </c>
      <c r="AJ111" s="34">
        <v>0.0</v>
      </c>
      <c r="AK111" s="35">
        <f>sum(AE111,-AJ111)*0.4</f>
        <v>8040</v>
      </c>
      <c r="AL111" s="36">
        <v>0.0</v>
      </c>
      <c r="AM111" s="37" t="s">
        <v>84</v>
      </c>
      <c r="AN111" s="38">
        <f t="shared" si="42"/>
        <v>13405</v>
      </c>
      <c r="AO111" s="39">
        <f t="shared" si="43"/>
        <v>6625</v>
      </c>
      <c r="AP111" s="40">
        <f t="shared" si="30"/>
        <v>6780</v>
      </c>
      <c r="AQ111" s="14"/>
      <c r="AR111" s="106" t="s">
        <v>1362</v>
      </c>
      <c r="AS111" s="14"/>
      <c r="AT111" s="23" t="s">
        <v>570</v>
      </c>
      <c r="AU111" s="42"/>
      <c r="AV111" s="23" t="s">
        <v>1363</v>
      </c>
      <c r="AW111" s="23" t="s">
        <v>572</v>
      </c>
      <c r="AX111" s="112"/>
      <c r="AY111" s="37" t="b">
        <v>1</v>
      </c>
      <c r="AZ111" s="42"/>
    </row>
    <row r="112">
      <c r="A112" s="23" t="s">
        <v>563</v>
      </c>
      <c r="B112" s="23" t="s">
        <v>47</v>
      </c>
      <c r="C112" s="106" t="s">
        <v>1357</v>
      </c>
      <c r="D112" s="23" t="s">
        <v>1358</v>
      </c>
      <c r="E112" s="23">
        <v>91730.0</v>
      </c>
      <c r="F112" s="23" t="s">
        <v>101</v>
      </c>
      <c r="G112" s="23" t="s">
        <v>184</v>
      </c>
      <c r="H112" s="23" t="s">
        <v>73</v>
      </c>
      <c r="I112" s="23" t="s">
        <v>53</v>
      </c>
      <c r="J112" s="23" t="s">
        <v>185</v>
      </c>
      <c r="K112" s="25" t="s">
        <v>1364</v>
      </c>
      <c r="L112" s="26" t="s">
        <v>1365</v>
      </c>
      <c r="M112" s="26"/>
      <c r="N112" s="27" t="s">
        <v>92</v>
      </c>
      <c r="O112" s="23" t="s">
        <v>1366</v>
      </c>
      <c r="P112" s="23" t="s">
        <v>60</v>
      </c>
      <c r="Q112" s="23" t="s">
        <v>132</v>
      </c>
      <c r="R112" s="23" t="s">
        <v>94</v>
      </c>
      <c r="S112" s="47" t="s">
        <v>680</v>
      </c>
      <c r="T112" s="47" t="s">
        <v>680</v>
      </c>
      <c r="U112" s="23" t="s">
        <v>64</v>
      </c>
      <c r="V112" s="28">
        <v>46080.0</v>
      </c>
      <c r="W112" s="28">
        <v>46108.0</v>
      </c>
      <c r="X112" s="28">
        <v>46108.0</v>
      </c>
      <c r="Y112" s="23" t="s">
        <v>64</v>
      </c>
      <c r="Z112" s="29"/>
      <c r="AA112" s="24" t="s">
        <v>65</v>
      </c>
      <c r="AB112" s="23" t="s">
        <v>167</v>
      </c>
      <c r="AC112" s="30">
        <v>670000.0</v>
      </c>
      <c r="AD112" s="31">
        <v>0.02</v>
      </c>
      <c r="AE112" s="32">
        <f t="shared" si="41"/>
        <v>13400</v>
      </c>
      <c r="AF112" s="33">
        <v>595.0</v>
      </c>
      <c r="AG112" s="34">
        <v>0.0</v>
      </c>
      <c r="AH112" s="34" t="s">
        <v>82</v>
      </c>
      <c r="AI112" s="34">
        <v>1345.0</v>
      </c>
      <c r="AJ112" s="34">
        <v>0.0</v>
      </c>
      <c r="AK112" s="34">
        <v>0.0</v>
      </c>
      <c r="AL112" s="36">
        <v>0.0</v>
      </c>
      <c r="AM112" s="37" t="s">
        <v>277</v>
      </c>
      <c r="AN112" s="38">
        <f t="shared" si="42"/>
        <v>14745</v>
      </c>
      <c r="AO112" s="39">
        <f>if(AM112="Buyer",-sum((-AE112+AK112+AJ112)*50%),if(AM112="Seller",-sum((-AE112+AK112+AJ112)*50%),-sum(((-AE112+AK112+AJ112)*((100-right(AM112,3))/100)))))+if(AF112&lt;&gt;595,595, sum(AF112))</f>
        <v>595</v>
      </c>
      <c r="AP112" s="40">
        <f t="shared" si="30"/>
        <v>14150</v>
      </c>
      <c r="AQ112" s="14"/>
      <c r="AR112" s="106"/>
      <c r="AS112" s="14"/>
      <c r="AT112" s="23" t="s">
        <v>570</v>
      </c>
      <c r="AU112" s="42"/>
      <c r="AV112" s="23" t="s">
        <v>1363</v>
      </c>
      <c r="AW112" s="23" t="s">
        <v>572</v>
      </c>
      <c r="AX112" s="112"/>
      <c r="AY112" s="37" t="b">
        <v>1</v>
      </c>
      <c r="AZ112" s="42"/>
    </row>
    <row r="113">
      <c r="A113" s="23" t="s">
        <v>563</v>
      </c>
      <c r="B113" s="23" t="s">
        <v>84</v>
      </c>
      <c r="C113" s="106" t="s">
        <v>1367</v>
      </c>
      <c r="D113" s="23" t="s">
        <v>148</v>
      </c>
      <c r="E113" s="23">
        <v>92883.0</v>
      </c>
      <c r="F113" s="23" t="s">
        <v>50</v>
      </c>
      <c r="G113" s="23" t="s">
        <v>341</v>
      </c>
      <c r="H113" s="23" t="s">
        <v>172</v>
      </c>
      <c r="I113" s="23" t="s">
        <v>53</v>
      </c>
      <c r="J113" s="23" t="s">
        <v>54</v>
      </c>
      <c r="K113" s="25" t="s">
        <v>1368</v>
      </c>
      <c r="L113" s="26" t="s">
        <v>1369</v>
      </c>
      <c r="M113" s="26" t="s">
        <v>1370</v>
      </c>
      <c r="N113" s="27" t="s">
        <v>92</v>
      </c>
      <c r="O113" s="23" t="s">
        <v>1371</v>
      </c>
      <c r="P113" s="23" t="s">
        <v>898</v>
      </c>
      <c r="Q113" s="23" t="s">
        <v>132</v>
      </c>
      <c r="R113" s="23" t="s">
        <v>94</v>
      </c>
      <c r="S113" s="23" t="s">
        <v>1372</v>
      </c>
      <c r="T113" s="23" t="s">
        <v>1373</v>
      </c>
      <c r="U113" s="23" t="s">
        <v>64</v>
      </c>
      <c r="V113" s="28">
        <v>46086.0</v>
      </c>
      <c r="W113" s="28">
        <v>46118.0</v>
      </c>
      <c r="X113" s="28">
        <v>46108.0</v>
      </c>
      <c r="Y113" s="23" t="s">
        <v>64</v>
      </c>
      <c r="Z113" s="29"/>
      <c r="AA113" s="24" t="s">
        <v>65</v>
      </c>
      <c r="AB113" s="23" t="s">
        <v>66</v>
      </c>
      <c r="AC113" s="30">
        <v>615000.0</v>
      </c>
      <c r="AD113" s="31">
        <v>0.025</v>
      </c>
      <c r="AE113" s="32">
        <f t="shared" si="41"/>
        <v>15375</v>
      </c>
      <c r="AF113" s="33">
        <v>595.0</v>
      </c>
      <c r="AG113" s="34">
        <v>500.0</v>
      </c>
      <c r="AH113" s="34">
        <v>0.0</v>
      </c>
      <c r="AI113" s="34">
        <v>1345.0</v>
      </c>
      <c r="AJ113" s="34">
        <v>0.0</v>
      </c>
      <c r="AK113" s="35">
        <f t="shared" ref="AK113:AK115" si="44">sum(AE113,-AJ113)*0.4</f>
        <v>6150</v>
      </c>
      <c r="AL113" s="36">
        <v>0.0</v>
      </c>
      <c r="AM113" s="37" t="s">
        <v>84</v>
      </c>
      <c r="AN113" s="38">
        <f t="shared" si="42"/>
        <v>10570</v>
      </c>
      <c r="AO113" s="39">
        <f t="shared" ref="AO113:AO120" si="45">if(AM113="Buyer",-sum((-AE113+AK113+AJ113)*50%),if(AM113="Seller",-sum((-AE113+AK113+AJ113)*50%),-sum(((-AE113+AK113+AJ113)*((100-right(AM113,2))/100)))))+if(AF113&lt;&gt;595,595, sum(AF113))</f>
        <v>5207.5</v>
      </c>
      <c r="AP113" s="40">
        <f t="shared" si="30"/>
        <v>4862.5</v>
      </c>
      <c r="AQ113" s="14"/>
      <c r="AR113" s="37"/>
      <c r="AS113" s="14"/>
      <c r="AT113" s="23" t="s">
        <v>570</v>
      </c>
      <c r="AU113" s="42"/>
      <c r="AV113" s="37" t="s">
        <v>869</v>
      </c>
      <c r="AW113" s="37" t="s">
        <v>572</v>
      </c>
      <c r="AX113" s="113"/>
      <c r="AY113" s="37" t="b">
        <v>1</v>
      </c>
      <c r="AZ113" s="42"/>
    </row>
    <row r="114">
      <c r="A114" s="23" t="s">
        <v>563</v>
      </c>
      <c r="B114" s="23" t="s">
        <v>47</v>
      </c>
      <c r="C114" s="106" t="s">
        <v>1374</v>
      </c>
      <c r="D114" s="23" t="s">
        <v>71</v>
      </c>
      <c r="E114" s="23">
        <v>92544.0</v>
      </c>
      <c r="F114" s="23" t="s">
        <v>50</v>
      </c>
      <c r="G114" s="23" t="s">
        <v>214</v>
      </c>
      <c r="H114" s="23" t="s">
        <v>172</v>
      </c>
      <c r="I114" s="23" t="s">
        <v>53</v>
      </c>
      <c r="J114" s="23" t="s">
        <v>54</v>
      </c>
      <c r="K114" s="25" t="s">
        <v>1375</v>
      </c>
      <c r="L114" s="26" t="s">
        <v>1376</v>
      </c>
      <c r="M114" s="26" t="s">
        <v>1377</v>
      </c>
      <c r="N114" s="27" t="s">
        <v>1378</v>
      </c>
      <c r="O114" s="23" t="s">
        <v>482</v>
      </c>
      <c r="P114" s="23" t="s">
        <v>60</v>
      </c>
      <c r="Q114" s="23" t="s">
        <v>61</v>
      </c>
      <c r="R114" s="23" t="s">
        <v>859</v>
      </c>
      <c r="S114" s="23" t="s">
        <v>1379</v>
      </c>
      <c r="T114" s="23" t="s">
        <v>1380</v>
      </c>
      <c r="U114" s="23" t="s">
        <v>64</v>
      </c>
      <c r="V114" s="28">
        <v>46077.0</v>
      </c>
      <c r="W114" s="28">
        <v>46104.0</v>
      </c>
      <c r="X114" s="28">
        <v>46108.0</v>
      </c>
      <c r="Y114" s="23" t="s">
        <v>64</v>
      </c>
      <c r="Z114" s="29"/>
      <c r="AA114" s="24" t="s">
        <v>65</v>
      </c>
      <c r="AB114" s="23" t="s">
        <v>66</v>
      </c>
      <c r="AC114" s="30">
        <v>514000.0</v>
      </c>
      <c r="AD114" s="31">
        <v>0.0</v>
      </c>
      <c r="AE114" s="62">
        <v>11850.0</v>
      </c>
      <c r="AF114" s="33">
        <v>595.0</v>
      </c>
      <c r="AG114" s="34">
        <v>500.0</v>
      </c>
      <c r="AH114" s="34">
        <v>0.0</v>
      </c>
      <c r="AI114" s="34">
        <v>1095.0</v>
      </c>
      <c r="AJ114" s="34"/>
      <c r="AK114" s="35">
        <f t="shared" si="44"/>
        <v>4740</v>
      </c>
      <c r="AL114" s="36">
        <v>0.0</v>
      </c>
      <c r="AM114" s="37" t="s">
        <v>47</v>
      </c>
      <c r="AN114" s="38">
        <f t="shared" si="42"/>
        <v>8205</v>
      </c>
      <c r="AO114" s="39">
        <f t="shared" si="45"/>
        <v>4150</v>
      </c>
      <c r="AP114" s="40">
        <f t="shared" si="30"/>
        <v>3555</v>
      </c>
      <c r="AQ114" s="14"/>
      <c r="AR114" s="37"/>
      <c r="AS114" s="14"/>
      <c r="AT114" s="23" t="s">
        <v>570</v>
      </c>
      <c r="AU114" s="42"/>
      <c r="AV114" s="37" t="s">
        <v>869</v>
      </c>
      <c r="AW114" s="37" t="s">
        <v>572</v>
      </c>
      <c r="AX114" s="113"/>
      <c r="AY114" s="37" t="b">
        <v>1</v>
      </c>
      <c r="AZ114" s="42"/>
    </row>
    <row r="115">
      <c r="A115" s="158" t="s">
        <v>563</v>
      </c>
      <c r="B115" s="23" t="s">
        <v>47</v>
      </c>
      <c r="C115" s="106" t="s">
        <v>1381</v>
      </c>
      <c r="D115" s="23" t="s">
        <v>86</v>
      </c>
      <c r="E115" s="23">
        <v>92057.0</v>
      </c>
      <c r="F115" s="23" t="s">
        <v>87</v>
      </c>
      <c r="G115" s="158" t="s">
        <v>226</v>
      </c>
      <c r="H115" s="158" t="s">
        <v>52</v>
      </c>
      <c r="I115" s="23" t="s">
        <v>53</v>
      </c>
      <c r="J115" s="158" t="s">
        <v>54</v>
      </c>
      <c r="K115" s="25" t="s">
        <v>1382</v>
      </c>
      <c r="L115" s="26" t="s">
        <v>1383</v>
      </c>
      <c r="M115" s="26" t="s">
        <v>1384</v>
      </c>
      <c r="N115" s="27" t="s">
        <v>1385</v>
      </c>
      <c r="O115" s="23" t="s">
        <v>1386</v>
      </c>
      <c r="P115" s="23" t="s">
        <v>343</v>
      </c>
      <c r="Q115" s="23" t="s">
        <v>343</v>
      </c>
      <c r="R115" s="23"/>
      <c r="S115" s="47" t="s">
        <v>343</v>
      </c>
      <c r="T115" s="47" t="s">
        <v>343</v>
      </c>
      <c r="U115" s="158" t="s">
        <v>64</v>
      </c>
      <c r="V115" s="165">
        <v>46079.0</v>
      </c>
      <c r="W115" s="165">
        <v>46108.0</v>
      </c>
      <c r="X115" s="165">
        <v>46108.0</v>
      </c>
      <c r="Y115" s="23" t="s">
        <v>64</v>
      </c>
      <c r="Z115" s="29"/>
      <c r="AA115" s="24" t="s">
        <v>343</v>
      </c>
      <c r="AB115" s="37" t="s">
        <v>66</v>
      </c>
      <c r="AC115" s="30">
        <v>1092879.0</v>
      </c>
      <c r="AD115" s="51">
        <v>0.0</v>
      </c>
      <c r="AE115" s="62">
        <v>15000.0</v>
      </c>
      <c r="AF115" s="33">
        <v>595.0</v>
      </c>
      <c r="AG115" s="34" t="s">
        <v>111</v>
      </c>
      <c r="AH115" s="34" t="s">
        <v>82</v>
      </c>
      <c r="AI115" s="34">
        <v>0.0</v>
      </c>
      <c r="AJ115" s="34">
        <v>0.0</v>
      </c>
      <c r="AK115" s="35">
        <f t="shared" si="44"/>
        <v>6000</v>
      </c>
      <c r="AL115" s="36">
        <v>0.0</v>
      </c>
      <c r="AM115" s="37" t="s">
        <v>47</v>
      </c>
      <c r="AN115" s="38">
        <f t="shared" si="42"/>
        <v>9000</v>
      </c>
      <c r="AO115" s="39">
        <f t="shared" si="45"/>
        <v>5095</v>
      </c>
      <c r="AP115" s="40">
        <f t="shared" si="30"/>
        <v>3905</v>
      </c>
      <c r="AQ115" s="14"/>
      <c r="AR115" s="41"/>
      <c r="AS115" s="14"/>
      <c r="AT115" s="23" t="s">
        <v>570</v>
      </c>
      <c r="AU115" s="42"/>
      <c r="AV115" s="37" t="s">
        <v>869</v>
      </c>
      <c r="AW115" s="37" t="s">
        <v>572</v>
      </c>
      <c r="AX115" s="113"/>
      <c r="AY115" s="37" t="b">
        <v>1</v>
      </c>
      <c r="AZ115" s="42"/>
    </row>
    <row r="116">
      <c r="A116" s="23" t="s">
        <v>563</v>
      </c>
      <c r="B116" s="23" t="s">
        <v>47</v>
      </c>
      <c r="C116" s="106" t="s">
        <v>1387</v>
      </c>
      <c r="D116" s="23" t="s">
        <v>183</v>
      </c>
      <c r="E116" s="23">
        <v>92551.0</v>
      </c>
      <c r="F116" s="23" t="s">
        <v>50</v>
      </c>
      <c r="G116" s="23" t="s">
        <v>341</v>
      </c>
      <c r="H116" s="23" t="s">
        <v>172</v>
      </c>
      <c r="I116" s="23" t="s">
        <v>53</v>
      </c>
      <c r="J116" s="23" t="s">
        <v>54</v>
      </c>
      <c r="K116" s="25" t="s">
        <v>1388</v>
      </c>
      <c r="L116" s="26" t="s">
        <v>1389</v>
      </c>
      <c r="M116" s="26" t="s">
        <v>1390</v>
      </c>
      <c r="N116" s="27" t="s">
        <v>1391</v>
      </c>
      <c r="O116" s="23" t="s">
        <v>1392</v>
      </c>
      <c r="P116" s="23" t="s">
        <v>60</v>
      </c>
      <c r="Q116" s="23" t="s">
        <v>61</v>
      </c>
      <c r="R116" s="23" t="s">
        <v>1393</v>
      </c>
      <c r="S116" s="23" t="s">
        <v>1394</v>
      </c>
      <c r="T116" s="23" t="s">
        <v>1395</v>
      </c>
      <c r="U116" s="23" t="s">
        <v>64</v>
      </c>
      <c r="V116" s="28">
        <v>46077.0</v>
      </c>
      <c r="W116" s="28">
        <v>46107.0</v>
      </c>
      <c r="X116" s="28">
        <v>46108.0</v>
      </c>
      <c r="Y116" s="23" t="s">
        <v>64</v>
      </c>
      <c r="Z116" s="29"/>
      <c r="AA116" s="24" t="s">
        <v>65</v>
      </c>
      <c r="AB116" s="23" t="s">
        <v>167</v>
      </c>
      <c r="AC116" s="30">
        <v>393000.0</v>
      </c>
      <c r="AD116" s="31">
        <v>0.02</v>
      </c>
      <c r="AE116" s="32">
        <f t="shared" ref="AE116:AE131" si="46">SUM(AC116*AD116)</f>
        <v>7860</v>
      </c>
      <c r="AF116" s="33">
        <v>595.0</v>
      </c>
      <c r="AG116" s="34">
        <v>500.0</v>
      </c>
      <c r="AH116" s="34">
        <v>0.0</v>
      </c>
      <c r="AI116" s="34">
        <v>700.0</v>
      </c>
      <c r="AJ116" s="34">
        <v>0.0</v>
      </c>
      <c r="AK116" s="34">
        <v>0.0</v>
      </c>
      <c r="AL116" s="36">
        <v>0.0</v>
      </c>
      <c r="AM116" s="37" t="s">
        <v>202</v>
      </c>
      <c r="AN116" s="38">
        <f t="shared" si="42"/>
        <v>8560</v>
      </c>
      <c r="AO116" s="39">
        <f t="shared" si="45"/>
        <v>2953</v>
      </c>
      <c r="AP116" s="40">
        <f t="shared" si="30"/>
        <v>5107</v>
      </c>
      <c r="AQ116" s="14"/>
      <c r="AR116" s="41"/>
      <c r="AS116" s="14"/>
      <c r="AT116" s="23" t="s">
        <v>570</v>
      </c>
      <c r="AU116" s="42"/>
      <c r="AV116" s="37" t="s">
        <v>1396</v>
      </c>
      <c r="AW116" s="37" t="s">
        <v>572</v>
      </c>
      <c r="AX116" s="113"/>
      <c r="AY116" s="37" t="b">
        <v>1</v>
      </c>
      <c r="AZ116" s="42"/>
    </row>
    <row r="117">
      <c r="A117" s="23" t="s">
        <v>563</v>
      </c>
      <c r="B117" s="23" t="s">
        <v>47</v>
      </c>
      <c r="C117" s="106" t="s">
        <v>1397</v>
      </c>
      <c r="D117" s="23" t="s">
        <v>49</v>
      </c>
      <c r="E117" s="23">
        <v>92586.0</v>
      </c>
      <c r="F117" s="23" t="s">
        <v>50</v>
      </c>
      <c r="G117" s="23" t="s">
        <v>742</v>
      </c>
      <c r="H117" s="23" t="s">
        <v>172</v>
      </c>
      <c r="I117" s="23" t="s">
        <v>53</v>
      </c>
      <c r="J117" s="23" t="s">
        <v>103</v>
      </c>
      <c r="K117" s="25" t="s">
        <v>1398</v>
      </c>
      <c r="L117" s="49" t="s">
        <v>1399</v>
      </c>
      <c r="M117" s="27" t="s">
        <v>1400</v>
      </c>
      <c r="N117" s="27" t="s">
        <v>1401</v>
      </c>
      <c r="O117" s="23" t="s">
        <v>1402</v>
      </c>
      <c r="P117" s="23" t="s">
        <v>60</v>
      </c>
      <c r="Q117" s="23" t="s">
        <v>61</v>
      </c>
      <c r="R117" s="23"/>
      <c r="S117" s="23" t="s">
        <v>1403</v>
      </c>
      <c r="T117" s="23" t="s">
        <v>1404</v>
      </c>
      <c r="U117" s="23" t="s">
        <v>64</v>
      </c>
      <c r="V117" s="28">
        <v>46085.0</v>
      </c>
      <c r="W117" s="28">
        <v>46115.0</v>
      </c>
      <c r="X117" s="28">
        <v>46111.0</v>
      </c>
      <c r="Y117" s="23" t="s">
        <v>64</v>
      </c>
      <c r="Z117" s="29"/>
      <c r="AA117" s="24" t="s">
        <v>65</v>
      </c>
      <c r="AB117" s="23" t="s">
        <v>66</v>
      </c>
      <c r="AC117" s="30">
        <v>330000.0</v>
      </c>
      <c r="AD117" s="31">
        <v>0.02</v>
      </c>
      <c r="AE117" s="32">
        <f t="shared" si="46"/>
        <v>6600</v>
      </c>
      <c r="AF117" s="33">
        <v>595.0</v>
      </c>
      <c r="AG117" s="34" t="s">
        <v>111</v>
      </c>
      <c r="AH117" s="34">
        <v>0.0</v>
      </c>
      <c r="AI117" s="34">
        <v>995.0</v>
      </c>
      <c r="AJ117" s="34">
        <v>0.0</v>
      </c>
      <c r="AK117" s="35">
        <f>sum(AE117,-AJ117)*0.3</f>
        <v>1980</v>
      </c>
      <c r="AL117" s="36">
        <v>0.0</v>
      </c>
      <c r="AM117" s="37" t="s">
        <v>47</v>
      </c>
      <c r="AN117" s="38">
        <f t="shared" si="42"/>
        <v>5615</v>
      </c>
      <c r="AO117" s="39">
        <f t="shared" si="45"/>
        <v>2905</v>
      </c>
      <c r="AP117" s="40">
        <f t="shared" si="30"/>
        <v>2710</v>
      </c>
      <c r="AQ117" s="14"/>
      <c r="AR117" s="41"/>
      <c r="AS117" s="14"/>
      <c r="AT117" s="23" t="s">
        <v>570</v>
      </c>
      <c r="AU117" s="42"/>
      <c r="AV117" s="37" t="s">
        <v>1356</v>
      </c>
      <c r="AW117" s="37" t="s">
        <v>572</v>
      </c>
      <c r="AX117" s="113"/>
      <c r="AY117" s="37" t="b">
        <v>1</v>
      </c>
      <c r="AZ117" s="42"/>
    </row>
    <row r="118">
      <c r="A118" s="23" t="s">
        <v>563</v>
      </c>
      <c r="B118" s="23" t="s">
        <v>47</v>
      </c>
      <c r="C118" s="106" t="s">
        <v>1405</v>
      </c>
      <c r="D118" s="23" t="s">
        <v>138</v>
      </c>
      <c r="E118" s="23">
        <v>92582.0</v>
      </c>
      <c r="F118" s="23" t="s">
        <v>50</v>
      </c>
      <c r="G118" s="37" t="s">
        <v>88</v>
      </c>
      <c r="H118" s="23" t="s">
        <v>52</v>
      </c>
      <c r="I118" s="23" t="s">
        <v>53</v>
      </c>
      <c r="J118" s="23" t="s">
        <v>54</v>
      </c>
      <c r="K118" s="25" t="s">
        <v>1406</v>
      </c>
      <c r="L118" s="49" t="s">
        <v>1407</v>
      </c>
      <c r="M118" s="26" t="s">
        <v>1408</v>
      </c>
      <c r="N118" s="27" t="s">
        <v>220</v>
      </c>
      <c r="O118" s="23" t="s">
        <v>723</v>
      </c>
      <c r="P118" s="23" t="s">
        <v>343</v>
      </c>
      <c r="Q118" s="23" t="s">
        <v>343</v>
      </c>
      <c r="R118" s="86" t="s">
        <v>220</v>
      </c>
      <c r="S118" s="23" t="s">
        <v>343</v>
      </c>
      <c r="T118" s="23" t="s">
        <v>343</v>
      </c>
      <c r="U118" s="23" t="s">
        <v>64</v>
      </c>
      <c r="V118" s="28">
        <v>46049.0</v>
      </c>
      <c r="W118" s="28">
        <v>46111.0</v>
      </c>
      <c r="X118" s="28">
        <v>46111.0</v>
      </c>
      <c r="Y118" s="23" t="s">
        <v>64</v>
      </c>
      <c r="Z118" s="29"/>
      <c r="AA118" s="24" t="s">
        <v>343</v>
      </c>
      <c r="AB118" s="23" t="s">
        <v>66</v>
      </c>
      <c r="AC118" s="30">
        <v>617825.0</v>
      </c>
      <c r="AD118" s="31">
        <v>0.02</v>
      </c>
      <c r="AE118" s="32">
        <f t="shared" si="46"/>
        <v>12356.5</v>
      </c>
      <c r="AF118" s="33">
        <v>595.0</v>
      </c>
      <c r="AG118" s="34" t="s">
        <v>111</v>
      </c>
      <c r="AH118" s="34">
        <v>0.0</v>
      </c>
      <c r="AI118" s="34">
        <v>1395.0</v>
      </c>
      <c r="AJ118" s="34">
        <v>0.0</v>
      </c>
      <c r="AK118" s="35">
        <f>sum(AE118,-AJ118)*0.4</f>
        <v>4942.6</v>
      </c>
      <c r="AL118" s="36">
        <v>0.0</v>
      </c>
      <c r="AM118" s="37" t="s">
        <v>47</v>
      </c>
      <c r="AN118" s="38">
        <f t="shared" si="42"/>
        <v>8808.9</v>
      </c>
      <c r="AO118" s="39">
        <f t="shared" si="45"/>
        <v>4301.95</v>
      </c>
      <c r="AP118" s="40">
        <f t="shared" si="30"/>
        <v>4506.95</v>
      </c>
      <c r="AQ118" s="14"/>
      <c r="AR118" s="192" t="s">
        <v>1409</v>
      </c>
      <c r="AS118" s="14"/>
      <c r="AT118" s="23" t="s">
        <v>570</v>
      </c>
      <c r="AU118" s="42"/>
      <c r="AV118" s="37" t="s">
        <v>1356</v>
      </c>
      <c r="AW118" s="37" t="s">
        <v>572</v>
      </c>
      <c r="AX118" s="113"/>
      <c r="AY118" s="37" t="b">
        <v>1</v>
      </c>
      <c r="AZ118" s="42"/>
    </row>
    <row r="119">
      <c r="A119" s="23" t="s">
        <v>563</v>
      </c>
      <c r="B119" s="23" t="s">
        <v>47</v>
      </c>
      <c r="C119" s="106" t="s">
        <v>1410</v>
      </c>
      <c r="D119" s="23" t="s">
        <v>138</v>
      </c>
      <c r="E119" s="23">
        <v>92582.0</v>
      </c>
      <c r="F119" s="23" t="s">
        <v>50</v>
      </c>
      <c r="G119" s="37" t="s">
        <v>88</v>
      </c>
      <c r="H119" s="23" t="s">
        <v>52</v>
      </c>
      <c r="I119" s="23" t="s">
        <v>53</v>
      </c>
      <c r="J119" s="23" t="s">
        <v>54</v>
      </c>
      <c r="K119" s="25" t="s">
        <v>1411</v>
      </c>
      <c r="L119" s="49" t="s">
        <v>1412</v>
      </c>
      <c r="M119" s="26" t="s">
        <v>1413</v>
      </c>
      <c r="N119" s="27" t="s">
        <v>220</v>
      </c>
      <c r="O119" s="23" t="s">
        <v>723</v>
      </c>
      <c r="P119" s="23" t="s">
        <v>343</v>
      </c>
      <c r="Q119" s="23" t="s">
        <v>343</v>
      </c>
      <c r="R119" s="86" t="s">
        <v>220</v>
      </c>
      <c r="S119" s="23" t="s">
        <v>343</v>
      </c>
      <c r="T119" s="23" t="s">
        <v>343</v>
      </c>
      <c r="U119" s="23" t="s">
        <v>64</v>
      </c>
      <c r="V119" s="28">
        <v>46050.0</v>
      </c>
      <c r="W119" s="28">
        <v>46111.0</v>
      </c>
      <c r="X119" s="28">
        <v>46111.0</v>
      </c>
      <c r="Y119" s="23" t="s">
        <v>64</v>
      </c>
      <c r="Z119" s="29"/>
      <c r="AA119" s="24" t="s">
        <v>343</v>
      </c>
      <c r="AB119" s="23" t="s">
        <v>167</v>
      </c>
      <c r="AC119" s="30">
        <v>599990.0</v>
      </c>
      <c r="AD119" s="31">
        <v>0.03</v>
      </c>
      <c r="AE119" s="32">
        <f t="shared" si="46"/>
        <v>17999.7</v>
      </c>
      <c r="AF119" s="33">
        <v>595.0</v>
      </c>
      <c r="AG119" s="34" t="s">
        <v>111</v>
      </c>
      <c r="AH119" s="34">
        <v>0.0</v>
      </c>
      <c r="AI119" s="34">
        <v>1395.0</v>
      </c>
      <c r="AJ119" s="34">
        <v>0.0</v>
      </c>
      <c r="AK119" s="34">
        <v>0.0</v>
      </c>
      <c r="AL119" s="193">
        <v>0.0</v>
      </c>
      <c r="AM119" s="37" t="s">
        <v>168</v>
      </c>
      <c r="AN119" s="38">
        <f t="shared" si="42"/>
        <v>19394.7</v>
      </c>
      <c r="AO119" s="39">
        <f t="shared" si="45"/>
        <v>2394.97</v>
      </c>
      <c r="AP119" s="40">
        <f t="shared" si="30"/>
        <v>16999.73</v>
      </c>
      <c r="AQ119" s="14"/>
      <c r="AR119" s="192" t="s">
        <v>1409</v>
      </c>
      <c r="AS119" s="14"/>
      <c r="AT119" s="23" t="s">
        <v>570</v>
      </c>
      <c r="AU119" s="42"/>
      <c r="AV119" s="23" t="s">
        <v>1356</v>
      </c>
      <c r="AW119" s="23" t="s">
        <v>572</v>
      </c>
      <c r="AX119" s="112"/>
      <c r="AY119" s="37" t="b">
        <v>1</v>
      </c>
      <c r="AZ119" s="42"/>
    </row>
    <row r="120">
      <c r="A120" s="23" t="s">
        <v>563</v>
      </c>
      <c r="B120" s="23" t="s">
        <v>84</v>
      </c>
      <c r="C120" s="106" t="s">
        <v>1414</v>
      </c>
      <c r="D120" s="23" t="s">
        <v>1358</v>
      </c>
      <c r="E120" s="23">
        <v>91730.0</v>
      </c>
      <c r="F120" s="23" t="s">
        <v>101</v>
      </c>
      <c r="G120" s="23" t="s">
        <v>184</v>
      </c>
      <c r="H120" s="23" t="s">
        <v>73</v>
      </c>
      <c r="I120" s="23" t="s">
        <v>74</v>
      </c>
      <c r="J120" s="23" t="s">
        <v>185</v>
      </c>
      <c r="K120" s="25" t="s">
        <v>1415</v>
      </c>
      <c r="L120" s="49" t="s">
        <v>1416</v>
      </c>
      <c r="M120" s="26" t="s">
        <v>1417</v>
      </c>
      <c r="N120" s="27" t="s">
        <v>92</v>
      </c>
      <c r="O120" s="47" t="s">
        <v>143</v>
      </c>
      <c r="P120" s="23" t="s">
        <v>93</v>
      </c>
      <c r="Q120" s="23" t="s">
        <v>132</v>
      </c>
      <c r="R120" s="23" t="s">
        <v>94</v>
      </c>
      <c r="S120" s="23"/>
      <c r="T120" s="23"/>
      <c r="U120" s="23" t="s">
        <v>64</v>
      </c>
      <c r="V120" s="28">
        <v>46101.0</v>
      </c>
      <c r="W120" s="28">
        <v>46112.0</v>
      </c>
      <c r="X120" s="28">
        <v>46112.0</v>
      </c>
      <c r="Y120" s="23" t="s">
        <v>64</v>
      </c>
      <c r="Z120" s="29"/>
      <c r="AA120" s="24" t="s">
        <v>65</v>
      </c>
      <c r="AB120" s="23" t="s">
        <v>145</v>
      </c>
      <c r="AC120" s="30">
        <v>590000.0</v>
      </c>
      <c r="AD120" s="31">
        <v>0.04</v>
      </c>
      <c r="AE120" s="32">
        <f t="shared" si="46"/>
        <v>23600</v>
      </c>
      <c r="AF120" s="33">
        <v>595.0</v>
      </c>
      <c r="AG120" s="34">
        <v>0.0</v>
      </c>
      <c r="AH120" s="34">
        <v>0.0</v>
      </c>
      <c r="AI120" s="34">
        <v>0.0</v>
      </c>
      <c r="AJ120" s="34">
        <v>0.0</v>
      </c>
      <c r="AK120" s="35">
        <f>sum(AE120,-AJ120)*0.4</f>
        <v>9440</v>
      </c>
      <c r="AL120" s="36">
        <v>0.0</v>
      </c>
      <c r="AM120" s="37" t="s">
        <v>84</v>
      </c>
      <c r="AN120" s="38">
        <f t="shared" si="42"/>
        <v>14160</v>
      </c>
      <c r="AO120" s="39">
        <f t="shared" si="45"/>
        <v>7675</v>
      </c>
      <c r="AP120" s="40">
        <f t="shared" si="30"/>
        <v>6485</v>
      </c>
      <c r="AQ120" s="14"/>
      <c r="AR120" s="41"/>
      <c r="AS120" s="14"/>
      <c r="AT120" s="23" t="s">
        <v>570</v>
      </c>
      <c r="AU120" s="42"/>
      <c r="AV120" s="23" t="s">
        <v>1356</v>
      </c>
      <c r="AW120" s="23" t="s">
        <v>572</v>
      </c>
      <c r="AX120" s="112"/>
      <c r="AY120" s="37" t="b">
        <v>1</v>
      </c>
      <c r="AZ120" s="42"/>
    </row>
    <row r="121">
      <c r="A121" s="23" t="s">
        <v>1418</v>
      </c>
      <c r="B121" s="37" t="s">
        <v>47</v>
      </c>
      <c r="C121" s="106" t="s">
        <v>1419</v>
      </c>
      <c r="D121" s="37" t="s">
        <v>1243</v>
      </c>
      <c r="E121" s="37">
        <v>92028.0</v>
      </c>
      <c r="F121" s="37"/>
      <c r="G121" s="37" t="s">
        <v>184</v>
      </c>
      <c r="H121" s="37" t="s">
        <v>73</v>
      </c>
      <c r="I121" s="37" t="s">
        <v>53</v>
      </c>
      <c r="J121" s="37" t="s">
        <v>185</v>
      </c>
      <c r="K121" s="56" t="s">
        <v>1420</v>
      </c>
      <c r="L121" s="49" t="s">
        <v>1421</v>
      </c>
      <c r="M121" s="49" t="s">
        <v>1422</v>
      </c>
      <c r="N121" s="108" t="s">
        <v>1423</v>
      </c>
      <c r="O121" s="37" t="s">
        <v>1424</v>
      </c>
      <c r="P121" s="37"/>
      <c r="Q121" s="37"/>
      <c r="R121" s="37"/>
      <c r="S121" s="37"/>
      <c r="T121" s="37"/>
      <c r="U121" s="60"/>
      <c r="V121" s="60">
        <v>46085.0</v>
      </c>
      <c r="W121" s="60">
        <v>46111.0</v>
      </c>
      <c r="X121" s="60">
        <v>46113.0</v>
      </c>
      <c r="Y121" s="23" t="s">
        <v>109</v>
      </c>
      <c r="Z121" s="29"/>
      <c r="AA121" s="54" t="s">
        <v>65</v>
      </c>
      <c r="AB121" s="37" t="s">
        <v>901</v>
      </c>
      <c r="AC121" s="30">
        <v>1210000.0</v>
      </c>
      <c r="AD121" s="31">
        <v>0.025</v>
      </c>
      <c r="AE121" s="32">
        <f t="shared" si="46"/>
        <v>30250</v>
      </c>
      <c r="AF121" s="33">
        <v>595.0</v>
      </c>
      <c r="AG121" s="34">
        <v>0.0</v>
      </c>
      <c r="AH121" s="34">
        <v>0.0</v>
      </c>
      <c r="AI121" s="34">
        <v>595.0</v>
      </c>
      <c r="AJ121" s="34">
        <v>0.0</v>
      </c>
      <c r="AK121" s="34">
        <v>0.0</v>
      </c>
      <c r="AL121" s="34">
        <v>0.0</v>
      </c>
      <c r="AM121" s="37" t="s">
        <v>277</v>
      </c>
      <c r="AN121" s="38">
        <f t="shared" si="42"/>
        <v>30845</v>
      </c>
      <c r="AO121" s="39">
        <f>if(AM121="Buyer",-sum((-AE121+AK121+AJ121)*50%),if(AM121="Seller",-sum((-AE121+AK121+AJ121)*50%),-sum(((-AE121+AK121+AJ121)*((100-right(AM121,3))/100)))))+if(AF121&lt;&gt;595,595, sum(AF121))</f>
        <v>595</v>
      </c>
      <c r="AP121" s="40">
        <f t="shared" si="30"/>
        <v>30250</v>
      </c>
      <c r="AQ121" s="111"/>
      <c r="AR121" s="37"/>
      <c r="AS121" s="14"/>
      <c r="AT121" s="37" t="s">
        <v>570</v>
      </c>
      <c r="AU121" s="42"/>
      <c r="AV121" s="37" t="s">
        <v>1396</v>
      </c>
      <c r="AW121" s="37" t="s">
        <v>572</v>
      </c>
      <c r="AX121" s="112"/>
      <c r="AY121" s="37" t="s">
        <v>792</v>
      </c>
      <c r="AZ121" s="42"/>
    </row>
    <row r="122" ht="15.75" customHeight="1">
      <c r="A122" s="23" t="s">
        <v>1418</v>
      </c>
      <c r="B122" s="23" t="s">
        <v>47</v>
      </c>
      <c r="C122" s="106" t="s">
        <v>1425</v>
      </c>
      <c r="D122" s="37" t="s">
        <v>1426</v>
      </c>
      <c r="E122" s="23">
        <v>92376.0</v>
      </c>
      <c r="F122" s="23" t="s">
        <v>101</v>
      </c>
      <c r="G122" s="23" t="s">
        <v>117</v>
      </c>
      <c r="H122" s="23" t="s">
        <v>172</v>
      </c>
      <c r="I122" s="23" t="s">
        <v>89</v>
      </c>
      <c r="J122" s="23" t="s">
        <v>103</v>
      </c>
      <c r="K122" s="25" t="s">
        <v>1427</v>
      </c>
      <c r="L122" s="26" t="s">
        <v>1428</v>
      </c>
      <c r="M122" s="27" t="s">
        <v>1429</v>
      </c>
      <c r="N122" s="27" t="s">
        <v>1430</v>
      </c>
      <c r="O122" s="23" t="s">
        <v>420</v>
      </c>
      <c r="P122" s="23" t="s">
        <v>60</v>
      </c>
      <c r="Q122" s="23" t="s">
        <v>61</v>
      </c>
      <c r="R122" s="23" t="s">
        <v>602</v>
      </c>
      <c r="S122" s="23" t="s">
        <v>1431</v>
      </c>
      <c r="T122" s="23" t="s">
        <v>1432</v>
      </c>
      <c r="U122" s="23" t="s">
        <v>64</v>
      </c>
      <c r="V122" s="28">
        <v>46063.0</v>
      </c>
      <c r="W122" s="28">
        <v>46108.0</v>
      </c>
      <c r="X122" s="28">
        <v>46113.0</v>
      </c>
      <c r="Y122" s="23" t="s">
        <v>109</v>
      </c>
      <c r="Z122" s="29"/>
      <c r="AA122" s="24" t="s">
        <v>124</v>
      </c>
      <c r="AB122" s="194" t="s">
        <v>1433</v>
      </c>
      <c r="AC122" s="30">
        <v>190000.0</v>
      </c>
      <c r="AD122" s="31">
        <v>0.03</v>
      </c>
      <c r="AE122" s="32">
        <f t="shared" si="46"/>
        <v>5700</v>
      </c>
      <c r="AF122" s="33">
        <v>595.0</v>
      </c>
      <c r="AG122" s="34" t="s">
        <v>111</v>
      </c>
      <c r="AH122" s="34">
        <v>0.0</v>
      </c>
      <c r="AI122" s="34">
        <v>1095.0</v>
      </c>
      <c r="AJ122" s="34">
        <v>0.0</v>
      </c>
      <c r="AK122" s="34">
        <v>0.0</v>
      </c>
      <c r="AL122" s="36">
        <v>0.0</v>
      </c>
      <c r="AM122" s="37" t="s">
        <v>47</v>
      </c>
      <c r="AN122" s="38">
        <f t="shared" si="42"/>
        <v>6795</v>
      </c>
      <c r="AO122" s="39">
        <f t="shared" ref="AO122:AO127" si="47">if(AM122="Buyer",-sum((-AE122+AK122+AJ122)*50%),if(AM122="Seller",-sum((-AE122+AK122+AJ122)*50%),-sum(((-AE122+AK122+AJ122)*((100-right(AM122,2))/100)))))+if(AF122&lt;&gt;595,595, sum(AF122))</f>
        <v>3445</v>
      </c>
      <c r="AP122" s="40">
        <f t="shared" si="30"/>
        <v>3350</v>
      </c>
      <c r="AQ122" s="14"/>
      <c r="AR122" s="41"/>
      <c r="AS122" s="14"/>
      <c r="AT122" s="23" t="s">
        <v>570</v>
      </c>
      <c r="AU122" s="42"/>
      <c r="AV122" s="37" t="s">
        <v>1396</v>
      </c>
      <c r="AW122" s="37" t="s">
        <v>572</v>
      </c>
      <c r="AX122" s="112"/>
      <c r="AY122" s="37" t="b">
        <v>1</v>
      </c>
      <c r="AZ122" s="42"/>
    </row>
    <row r="123">
      <c r="A123" s="23" t="s">
        <v>1418</v>
      </c>
      <c r="B123" s="23" t="s">
        <v>84</v>
      </c>
      <c r="C123" s="106" t="s">
        <v>1434</v>
      </c>
      <c r="D123" s="23" t="s">
        <v>71</v>
      </c>
      <c r="E123" s="23">
        <v>92545.0</v>
      </c>
      <c r="F123" s="23" t="s">
        <v>50</v>
      </c>
      <c r="G123" s="23" t="s">
        <v>812</v>
      </c>
      <c r="H123" s="23" t="s">
        <v>73</v>
      </c>
      <c r="I123" s="23" t="s">
        <v>53</v>
      </c>
      <c r="J123" s="23" t="s">
        <v>103</v>
      </c>
      <c r="K123" s="54" t="s">
        <v>1435</v>
      </c>
      <c r="L123" s="54" t="s">
        <v>1436</v>
      </c>
      <c r="M123" s="54" t="s">
        <v>1437</v>
      </c>
      <c r="N123" s="27" t="s">
        <v>92</v>
      </c>
      <c r="O123" s="23" t="s">
        <v>1438</v>
      </c>
      <c r="P123" s="23" t="s">
        <v>60</v>
      </c>
      <c r="Q123" s="23" t="s">
        <v>132</v>
      </c>
      <c r="R123" s="23" t="s">
        <v>94</v>
      </c>
      <c r="S123" s="23" t="s">
        <v>1439</v>
      </c>
      <c r="T123" s="23" t="s">
        <v>1440</v>
      </c>
      <c r="U123" s="23" t="s">
        <v>64</v>
      </c>
      <c r="V123" s="28">
        <v>46091.0</v>
      </c>
      <c r="W123" s="28">
        <v>46112.0</v>
      </c>
      <c r="X123" s="28">
        <v>46114.0</v>
      </c>
      <c r="Y123" s="23" t="s">
        <v>109</v>
      </c>
      <c r="Z123" s="29"/>
      <c r="AA123" s="24" t="s">
        <v>65</v>
      </c>
      <c r="AB123" s="23" t="s">
        <v>167</v>
      </c>
      <c r="AC123" s="30">
        <v>420000.0</v>
      </c>
      <c r="AD123" s="31">
        <v>0.04</v>
      </c>
      <c r="AE123" s="32">
        <f t="shared" si="46"/>
        <v>16800</v>
      </c>
      <c r="AF123" s="33">
        <v>595.0</v>
      </c>
      <c r="AG123" s="34">
        <v>500.0</v>
      </c>
      <c r="AH123" s="34">
        <v>250.0</v>
      </c>
      <c r="AI123" s="34">
        <v>1345.0</v>
      </c>
      <c r="AJ123" s="34">
        <v>0.0</v>
      </c>
      <c r="AK123" s="34">
        <v>0.0</v>
      </c>
      <c r="AL123" s="36">
        <v>0.0</v>
      </c>
      <c r="AM123" s="37" t="s">
        <v>168</v>
      </c>
      <c r="AN123" s="38">
        <f t="shared" si="42"/>
        <v>18145</v>
      </c>
      <c r="AO123" s="39">
        <f t="shared" si="47"/>
        <v>2275</v>
      </c>
      <c r="AP123" s="40">
        <f t="shared" si="30"/>
        <v>15120</v>
      </c>
      <c r="AQ123" s="14"/>
      <c r="AR123" s="41"/>
      <c r="AS123" s="14"/>
      <c r="AT123" s="23" t="s">
        <v>570</v>
      </c>
      <c r="AU123" s="42"/>
      <c r="AV123" s="37" t="s">
        <v>571</v>
      </c>
      <c r="AW123" s="37" t="s">
        <v>572</v>
      </c>
      <c r="AX123" s="112"/>
      <c r="AY123" s="37" t="b">
        <v>1</v>
      </c>
      <c r="AZ123" s="42"/>
    </row>
    <row r="124">
      <c r="A124" s="23" t="s">
        <v>1418</v>
      </c>
      <c r="B124" s="23" t="s">
        <v>47</v>
      </c>
      <c r="C124" s="195" t="s">
        <v>1441</v>
      </c>
      <c r="D124" s="23" t="s">
        <v>71</v>
      </c>
      <c r="E124" s="23">
        <v>92545.0</v>
      </c>
      <c r="F124" s="23" t="s">
        <v>50</v>
      </c>
      <c r="G124" s="120" t="s">
        <v>944</v>
      </c>
      <c r="H124" s="23" t="s">
        <v>52</v>
      </c>
      <c r="I124" s="23" t="s">
        <v>53</v>
      </c>
      <c r="J124" s="23" t="s">
        <v>185</v>
      </c>
      <c r="K124" s="25" t="s">
        <v>1442</v>
      </c>
      <c r="L124" s="66" t="s">
        <v>1443</v>
      </c>
      <c r="M124" s="26" t="s">
        <v>1444</v>
      </c>
      <c r="N124" s="27" t="s">
        <v>1445</v>
      </c>
      <c r="O124" s="23" t="s">
        <v>1446</v>
      </c>
      <c r="P124" s="23" t="s">
        <v>60</v>
      </c>
      <c r="Q124" s="23" t="s">
        <v>1447</v>
      </c>
      <c r="R124" s="23" t="s">
        <v>1448</v>
      </c>
      <c r="S124" s="23" t="s">
        <v>1449</v>
      </c>
      <c r="T124" s="23" t="s">
        <v>1450</v>
      </c>
      <c r="U124" s="23" t="s">
        <v>64</v>
      </c>
      <c r="V124" s="28">
        <v>46080.0</v>
      </c>
      <c r="W124" s="28">
        <v>46114.0</v>
      </c>
      <c r="X124" s="28">
        <v>46114.0</v>
      </c>
      <c r="Y124" s="23" t="s">
        <v>109</v>
      </c>
      <c r="Z124" s="29"/>
      <c r="AA124" s="24" t="s">
        <v>65</v>
      </c>
      <c r="AB124" s="23" t="s">
        <v>66</v>
      </c>
      <c r="AC124" s="30">
        <v>410000.0</v>
      </c>
      <c r="AD124" s="31">
        <v>0.025</v>
      </c>
      <c r="AE124" s="32">
        <f t="shared" si="46"/>
        <v>10250</v>
      </c>
      <c r="AF124" s="33">
        <v>595.0</v>
      </c>
      <c r="AG124" s="34">
        <v>0.0</v>
      </c>
      <c r="AH124" s="34">
        <v>0.0</v>
      </c>
      <c r="AI124" s="34">
        <v>595.0</v>
      </c>
      <c r="AJ124" s="34">
        <v>0.0</v>
      </c>
      <c r="AK124" s="35">
        <f>sum(AE124,-AJ124)*0.35</f>
        <v>3587.5</v>
      </c>
      <c r="AL124" s="36">
        <v>0.0</v>
      </c>
      <c r="AM124" s="37" t="s">
        <v>47</v>
      </c>
      <c r="AN124" s="38">
        <f t="shared" si="42"/>
        <v>7257.5</v>
      </c>
      <c r="AO124" s="39">
        <f t="shared" si="47"/>
        <v>3926.25</v>
      </c>
      <c r="AP124" s="40">
        <f t="shared" si="30"/>
        <v>3331.25</v>
      </c>
      <c r="AQ124" s="14"/>
      <c r="AR124" s="41"/>
      <c r="AS124" s="14"/>
      <c r="AT124" s="23" t="s">
        <v>570</v>
      </c>
      <c r="AU124" s="42"/>
      <c r="AV124" s="37" t="s">
        <v>571</v>
      </c>
      <c r="AW124" s="37" t="s">
        <v>572</v>
      </c>
      <c r="AX124" s="112"/>
      <c r="AY124" s="37" t="b">
        <v>1</v>
      </c>
      <c r="AZ124" s="42"/>
    </row>
    <row r="125">
      <c r="A125" s="23" t="s">
        <v>1418</v>
      </c>
      <c r="B125" s="23" t="s">
        <v>84</v>
      </c>
      <c r="C125" s="106" t="s">
        <v>1451</v>
      </c>
      <c r="D125" s="23" t="s">
        <v>1452</v>
      </c>
      <c r="E125" s="23">
        <v>92346.0</v>
      </c>
      <c r="F125" s="23" t="s">
        <v>101</v>
      </c>
      <c r="G125" s="23" t="s">
        <v>332</v>
      </c>
      <c r="H125" s="23" t="s">
        <v>73</v>
      </c>
      <c r="I125" s="23" t="s">
        <v>346</v>
      </c>
      <c r="J125" s="23" t="s">
        <v>103</v>
      </c>
      <c r="K125" s="25" t="s">
        <v>1453</v>
      </c>
      <c r="L125" s="26" t="s">
        <v>1454</v>
      </c>
      <c r="M125" s="26" t="s">
        <v>1455</v>
      </c>
      <c r="N125" s="27" t="s">
        <v>108</v>
      </c>
      <c r="O125" s="47" t="s">
        <v>143</v>
      </c>
      <c r="P125" s="23" t="s">
        <v>93</v>
      </c>
      <c r="Q125" s="23" t="s">
        <v>107</v>
      </c>
      <c r="R125" s="23" t="s">
        <v>1456</v>
      </c>
      <c r="S125" s="47" t="s">
        <v>680</v>
      </c>
      <c r="T125" s="47" t="s">
        <v>680</v>
      </c>
      <c r="U125" s="23" t="s">
        <v>64</v>
      </c>
      <c r="V125" s="28">
        <v>46096.0</v>
      </c>
      <c r="W125" s="28">
        <v>46115.0</v>
      </c>
      <c r="X125" s="28">
        <v>46115.0</v>
      </c>
      <c r="Y125" s="23" t="s">
        <v>109</v>
      </c>
      <c r="Z125" s="29"/>
      <c r="AA125" s="24" t="s">
        <v>106</v>
      </c>
      <c r="AB125" s="23" t="s">
        <v>145</v>
      </c>
      <c r="AC125" s="30">
        <v>523400.0</v>
      </c>
      <c r="AD125" s="31">
        <v>0.025</v>
      </c>
      <c r="AE125" s="32">
        <f t="shared" si="46"/>
        <v>13085</v>
      </c>
      <c r="AF125" s="33">
        <v>595.0</v>
      </c>
      <c r="AG125" s="34" t="s">
        <v>111</v>
      </c>
      <c r="AH125" s="34" t="s">
        <v>111</v>
      </c>
      <c r="AI125" s="34">
        <v>1345.0</v>
      </c>
      <c r="AJ125" s="34">
        <v>0.0</v>
      </c>
      <c r="AK125" s="35">
        <f>sum(AE125,-AJ125)*0.4</f>
        <v>5234</v>
      </c>
      <c r="AL125" s="36">
        <v>0.0</v>
      </c>
      <c r="AM125" s="37" t="s">
        <v>84</v>
      </c>
      <c r="AN125" s="38">
        <f t="shared" si="42"/>
        <v>9196</v>
      </c>
      <c r="AO125" s="39">
        <f t="shared" si="47"/>
        <v>4520.5</v>
      </c>
      <c r="AP125" s="40">
        <f t="shared" si="30"/>
        <v>4675.5</v>
      </c>
      <c r="AQ125" s="14"/>
      <c r="AR125" s="41"/>
      <c r="AS125" s="14"/>
      <c r="AT125" s="23" t="s">
        <v>570</v>
      </c>
      <c r="AU125" s="42"/>
      <c r="AV125" s="37" t="s">
        <v>1457</v>
      </c>
      <c r="AW125" s="37" t="s">
        <v>114</v>
      </c>
      <c r="AX125" s="112"/>
      <c r="AY125" s="37" t="b">
        <v>1</v>
      </c>
      <c r="AZ125" s="42"/>
    </row>
    <row r="126">
      <c r="A126" s="23" t="s">
        <v>1418</v>
      </c>
      <c r="B126" s="23" t="s">
        <v>47</v>
      </c>
      <c r="C126" s="106" t="s">
        <v>1458</v>
      </c>
      <c r="D126" s="23" t="s">
        <v>71</v>
      </c>
      <c r="E126" s="37">
        <v>92545.0</v>
      </c>
      <c r="F126" s="23" t="s">
        <v>50</v>
      </c>
      <c r="G126" s="23" t="s">
        <v>742</v>
      </c>
      <c r="H126" s="23" t="s">
        <v>172</v>
      </c>
      <c r="I126" s="23" t="s">
        <v>53</v>
      </c>
      <c r="J126" s="23" t="s">
        <v>103</v>
      </c>
      <c r="K126" s="66" t="s">
        <v>1459</v>
      </c>
      <c r="L126" s="26" t="s">
        <v>1460</v>
      </c>
      <c r="M126" s="26" t="s">
        <v>1461</v>
      </c>
      <c r="N126" s="27" t="s">
        <v>1462</v>
      </c>
      <c r="O126" s="23" t="s">
        <v>482</v>
      </c>
      <c r="P126" s="23" t="s">
        <v>60</v>
      </c>
      <c r="Q126" s="23" t="s">
        <v>61</v>
      </c>
      <c r="R126" s="37" t="s">
        <v>548</v>
      </c>
      <c r="S126" s="23" t="s">
        <v>1463</v>
      </c>
      <c r="T126" s="23" t="s">
        <v>1464</v>
      </c>
      <c r="U126" s="23" t="s">
        <v>64</v>
      </c>
      <c r="V126" s="28">
        <v>46091.0</v>
      </c>
      <c r="W126" s="28">
        <v>46121.0</v>
      </c>
      <c r="X126" s="28">
        <v>46118.0</v>
      </c>
      <c r="Y126" s="23" t="s">
        <v>109</v>
      </c>
      <c r="Z126" s="29"/>
      <c r="AA126" s="24" t="s">
        <v>65</v>
      </c>
      <c r="AB126" s="23" t="s">
        <v>167</v>
      </c>
      <c r="AC126" s="30">
        <v>480000.0</v>
      </c>
      <c r="AD126" s="31">
        <v>0.02</v>
      </c>
      <c r="AE126" s="32">
        <f t="shared" si="46"/>
        <v>9600</v>
      </c>
      <c r="AF126" s="33">
        <v>595.0</v>
      </c>
      <c r="AG126" s="34" t="s">
        <v>111</v>
      </c>
      <c r="AH126" s="34">
        <v>0.0</v>
      </c>
      <c r="AI126" s="34">
        <v>595.0</v>
      </c>
      <c r="AJ126" s="34">
        <v>4800.0</v>
      </c>
      <c r="AK126" s="34">
        <v>0.0</v>
      </c>
      <c r="AL126" s="34">
        <v>0.0</v>
      </c>
      <c r="AM126" s="37" t="s">
        <v>202</v>
      </c>
      <c r="AN126" s="38">
        <f t="shared" si="42"/>
        <v>5395</v>
      </c>
      <c r="AO126" s="39">
        <f t="shared" si="47"/>
        <v>2035</v>
      </c>
      <c r="AP126" s="40">
        <f t="shared" si="30"/>
        <v>3360</v>
      </c>
      <c r="AQ126" s="14"/>
      <c r="AR126" s="41" t="s">
        <v>1465</v>
      </c>
      <c r="AS126" s="14"/>
      <c r="AT126" s="23" t="s">
        <v>570</v>
      </c>
      <c r="AU126" s="42"/>
      <c r="AV126" s="37" t="s">
        <v>1396</v>
      </c>
      <c r="AW126" s="37" t="s">
        <v>572</v>
      </c>
      <c r="AX126" s="112"/>
      <c r="AY126" s="37" t="b">
        <v>1</v>
      </c>
      <c r="AZ126" s="42"/>
    </row>
    <row r="127">
      <c r="A127" s="23" t="s">
        <v>1418</v>
      </c>
      <c r="B127" s="23" t="s">
        <v>84</v>
      </c>
      <c r="C127" s="106" t="s">
        <v>1466</v>
      </c>
      <c r="D127" s="23" t="s">
        <v>1467</v>
      </c>
      <c r="E127" s="23">
        <v>92399.0</v>
      </c>
      <c r="F127" s="23" t="s">
        <v>101</v>
      </c>
      <c r="G127" s="23" t="s">
        <v>184</v>
      </c>
      <c r="H127" s="23" t="s">
        <v>73</v>
      </c>
      <c r="I127" s="23" t="s">
        <v>53</v>
      </c>
      <c r="J127" s="23" t="s">
        <v>185</v>
      </c>
      <c r="K127" s="25" t="s">
        <v>1468</v>
      </c>
      <c r="L127" s="26" t="s">
        <v>1469</v>
      </c>
      <c r="M127" s="26" t="s">
        <v>1470</v>
      </c>
      <c r="N127" s="27" t="s">
        <v>92</v>
      </c>
      <c r="O127" s="47" t="s">
        <v>143</v>
      </c>
      <c r="P127" s="23" t="s">
        <v>60</v>
      </c>
      <c r="Q127" s="23" t="s">
        <v>132</v>
      </c>
      <c r="R127" s="23" t="s">
        <v>94</v>
      </c>
      <c r="S127" s="23"/>
      <c r="T127" s="23"/>
      <c r="U127" s="23" t="s">
        <v>64</v>
      </c>
      <c r="V127" s="28">
        <v>46085.0</v>
      </c>
      <c r="W127" s="28">
        <v>46115.0</v>
      </c>
      <c r="X127" s="28">
        <v>46119.0</v>
      </c>
      <c r="Y127" s="23" t="s">
        <v>109</v>
      </c>
      <c r="Z127" s="29"/>
      <c r="AA127" s="24" t="s">
        <v>65</v>
      </c>
      <c r="AB127" s="23" t="s">
        <v>145</v>
      </c>
      <c r="AC127" s="30">
        <v>765000.0</v>
      </c>
      <c r="AD127" s="31">
        <v>0.035</v>
      </c>
      <c r="AE127" s="32">
        <f t="shared" si="46"/>
        <v>26775</v>
      </c>
      <c r="AF127" s="33">
        <v>595.0</v>
      </c>
      <c r="AG127" s="34">
        <v>0.0</v>
      </c>
      <c r="AH127" s="34">
        <v>0.0</v>
      </c>
      <c r="AI127" s="34">
        <v>595.0</v>
      </c>
      <c r="AJ127" s="34">
        <v>0.0</v>
      </c>
      <c r="AK127" s="35">
        <f>sum(AE127,-AJ127)*0.4</f>
        <v>10710</v>
      </c>
      <c r="AL127" s="36">
        <v>0.0</v>
      </c>
      <c r="AM127" s="37" t="s">
        <v>84</v>
      </c>
      <c r="AN127" s="38">
        <f t="shared" si="42"/>
        <v>16660</v>
      </c>
      <c r="AO127" s="39">
        <f t="shared" si="47"/>
        <v>8627.5</v>
      </c>
      <c r="AP127" s="40">
        <f t="shared" si="30"/>
        <v>8032.5</v>
      </c>
      <c r="AQ127" s="14"/>
      <c r="AR127" s="41"/>
      <c r="AS127" s="14"/>
      <c r="AT127" s="23" t="s">
        <v>570</v>
      </c>
      <c r="AU127" s="42"/>
      <c r="AV127" s="37" t="s">
        <v>1396</v>
      </c>
      <c r="AW127" s="37" t="s">
        <v>572</v>
      </c>
      <c r="AX127" s="112"/>
      <c r="AY127" s="37" t="b">
        <v>1</v>
      </c>
      <c r="AZ127" s="42"/>
    </row>
    <row r="128">
      <c r="A128" s="23" t="s">
        <v>1418</v>
      </c>
      <c r="B128" s="23" t="s">
        <v>84</v>
      </c>
      <c r="C128" s="106" t="s">
        <v>1471</v>
      </c>
      <c r="D128" s="23" t="s">
        <v>1472</v>
      </c>
      <c r="E128" s="23">
        <v>92394.0</v>
      </c>
      <c r="F128" s="23" t="s">
        <v>101</v>
      </c>
      <c r="G128" s="23" t="s">
        <v>102</v>
      </c>
      <c r="H128" s="23" t="s">
        <v>172</v>
      </c>
      <c r="I128" s="23" t="s">
        <v>346</v>
      </c>
      <c r="J128" s="23" t="s">
        <v>103</v>
      </c>
      <c r="K128" s="49" t="s">
        <v>1473</v>
      </c>
      <c r="L128" s="49" t="s">
        <v>1474</v>
      </c>
      <c r="M128" s="49" t="s">
        <v>1475</v>
      </c>
      <c r="N128" s="27" t="s">
        <v>1476</v>
      </c>
      <c r="O128" s="47" t="s">
        <v>143</v>
      </c>
      <c r="P128" s="23" t="s">
        <v>60</v>
      </c>
      <c r="Q128" s="23" t="s">
        <v>132</v>
      </c>
      <c r="R128" s="23" t="s">
        <v>94</v>
      </c>
      <c r="S128" s="23" t="s">
        <v>1477</v>
      </c>
      <c r="T128" s="23" t="s">
        <v>1478</v>
      </c>
      <c r="U128" s="23" t="s">
        <v>64</v>
      </c>
      <c r="V128" s="28">
        <v>46077.0</v>
      </c>
      <c r="W128" s="28">
        <v>46113.0</v>
      </c>
      <c r="X128" s="28">
        <v>46120.0</v>
      </c>
      <c r="Y128" s="23" t="s">
        <v>109</v>
      </c>
      <c r="Z128" s="29"/>
      <c r="AA128" s="24" t="s">
        <v>65</v>
      </c>
      <c r="AB128" s="23" t="s">
        <v>145</v>
      </c>
      <c r="AC128" s="30">
        <v>410000.0</v>
      </c>
      <c r="AD128" s="31">
        <v>0.03</v>
      </c>
      <c r="AE128" s="32">
        <f t="shared" si="46"/>
        <v>12300</v>
      </c>
      <c r="AF128" s="33">
        <v>595.0</v>
      </c>
      <c r="AG128" s="34" t="s">
        <v>111</v>
      </c>
      <c r="AH128" s="34" t="s">
        <v>111</v>
      </c>
      <c r="AI128" s="34">
        <v>1250.0</v>
      </c>
      <c r="AJ128" s="34">
        <v>527.82</v>
      </c>
      <c r="AK128" s="35">
        <f>sum(AE128)*0.4</f>
        <v>4920</v>
      </c>
      <c r="AL128" s="36">
        <v>0.0</v>
      </c>
      <c r="AM128" s="37" t="s">
        <v>84</v>
      </c>
      <c r="AN128" s="38">
        <f>if(AF128=595, SUM(AE128+AI128-AK128),sum(AE128-AK128,595))</f>
        <v>8630</v>
      </c>
      <c r="AO128" s="39">
        <f t="shared" ref="AO128:AO129" si="48">if(AM128="Buyer",-sum((-AE128+AK128)*50%),if(AM128="Seller",-sum((-AE128+AK128)*50%),-sum(((-AE128+AK128)*((100-right(AM128,2))/100)))))+if(AF128&lt;&gt;595,595, sum(AF128))</f>
        <v>4285</v>
      </c>
      <c r="AP128" s="40">
        <f>sum(AN128-AO128)+-sum(AG128:AH128)-AJ128</f>
        <v>3817.18</v>
      </c>
      <c r="AQ128" s="14"/>
      <c r="AR128" s="41" t="s">
        <v>1479</v>
      </c>
      <c r="AS128" s="14"/>
      <c r="AT128" s="23" t="s">
        <v>570</v>
      </c>
      <c r="AU128" s="42"/>
      <c r="AV128" s="37" t="s">
        <v>1396</v>
      </c>
      <c r="AW128" s="37" t="s">
        <v>572</v>
      </c>
      <c r="AX128" s="112"/>
      <c r="AY128" s="37" t="b">
        <v>1</v>
      </c>
      <c r="AZ128" s="42"/>
    </row>
    <row r="129">
      <c r="A129" s="23" t="s">
        <v>1418</v>
      </c>
      <c r="B129" s="23" t="s">
        <v>47</v>
      </c>
      <c r="C129" s="106" t="s">
        <v>1480</v>
      </c>
      <c r="D129" s="23" t="s">
        <v>316</v>
      </c>
      <c r="E129" s="23">
        <v>92562.0</v>
      </c>
      <c r="F129" s="23" t="s">
        <v>50</v>
      </c>
      <c r="G129" s="23" t="s">
        <v>51</v>
      </c>
      <c r="H129" s="23" t="s">
        <v>52</v>
      </c>
      <c r="I129" s="23" t="s">
        <v>53</v>
      </c>
      <c r="J129" s="23" t="s">
        <v>54</v>
      </c>
      <c r="K129" s="25" t="s">
        <v>1481</v>
      </c>
      <c r="L129" s="26" t="s">
        <v>1482</v>
      </c>
      <c r="M129" s="26" t="s">
        <v>1483</v>
      </c>
      <c r="N129" s="27" t="s">
        <v>239</v>
      </c>
      <c r="O129" s="23" t="s">
        <v>1484</v>
      </c>
      <c r="P129" s="23" t="s">
        <v>737</v>
      </c>
      <c r="Q129" s="23" t="s">
        <v>61</v>
      </c>
      <c r="R129" s="23" t="s">
        <v>579</v>
      </c>
      <c r="S129" s="23" t="s">
        <v>1485</v>
      </c>
      <c r="T129" s="23" t="s">
        <v>1486</v>
      </c>
      <c r="U129" s="23" t="s">
        <v>64</v>
      </c>
      <c r="V129" s="28">
        <v>46094.0</v>
      </c>
      <c r="W129" s="28">
        <v>46115.0</v>
      </c>
      <c r="X129" s="60">
        <v>46120.0</v>
      </c>
      <c r="Y129" s="23" t="s">
        <v>109</v>
      </c>
      <c r="Z129" s="29"/>
      <c r="AA129" s="24" t="s">
        <v>65</v>
      </c>
      <c r="AB129" s="23" t="s">
        <v>167</v>
      </c>
      <c r="AC129" s="30">
        <v>725000.0</v>
      </c>
      <c r="AD129" s="31">
        <v>0.025</v>
      </c>
      <c r="AE129" s="32">
        <f t="shared" si="46"/>
        <v>18125</v>
      </c>
      <c r="AF129" s="33">
        <v>595.0</v>
      </c>
      <c r="AG129" s="34">
        <v>500.0</v>
      </c>
      <c r="AH129" s="34">
        <v>0.0</v>
      </c>
      <c r="AI129" s="34">
        <v>1095.0</v>
      </c>
      <c r="AJ129" s="34">
        <v>65.0</v>
      </c>
      <c r="AK129" s="34">
        <v>2000.0</v>
      </c>
      <c r="AL129" s="36">
        <v>0.0</v>
      </c>
      <c r="AM129" s="37" t="s">
        <v>202</v>
      </c>
      <c r="AN129" s="38">
        <f>if(AF129=595, SUM(AE129+AI129-AJ129-AK129),sum(AE129-AK129,595))</f>
        <v>17155</v>
      </c>
      <c r="AO129" s="39">
        <f t="shared" si="48"/>
        <v>5432.5</v>
      </c>
      <c r="AP129" s="40">
        <f t="shared" ref="AP129:AP164" si="49">sum(AN129-AO129)+-sum(AG129:AH129)</f>
        <v>11222.5</v>
      </c>
      <c r="AQ129" s="14"/>
      <c r="AR129" s="41" t="s">
        <v>1487</v>
      </c>
      <c r="AS129" s="14"/>
      <c r="AT129" s="23" t="s">
        <v>570</v>
      </c>
      <c r="AU129" s="42"/>
      <c r="AV129" s="37" t="s">
        <v>1396</v>
      </c>
      <c r="AW129" s="37" t="s">
        <v>572</v>
      </c>
      <c r="AX129" s="112"/>
      <c r="AY129" s="37" t="b">
        <v>1</v>
      </c>
      <c r="AZ129" s="42"/>
    </row>
    <row r="130" ht="15.75" customHeight="1">
      <c r="A130" s="23" t="s">
        <v>1418</v>
      </c>
      <c r="B130" s="23" t="s">
        <v>84</v>
      </c>
      <c r="C130" s="106" t="s">
        <v>1488</v>
      </c>
      <c r="D130" s="23" t="s">
        <v>1489</v>
      </c>
      <c r="E130" s="23">
        <v>92021.0</v>
      </c>
      <c r="F130" s="23" t="s">
        <v>87</v>
      </c>
      <c r="G130" s="23" t="s">
        <v>1490</v>
      </c>
      <c r="H130" s="23" t="s">
        <v>52</v>
      </c>
      <c r="I130" s="23" t="s">
        <v>53</v>
      </c>
      <c r="J130" s="23" t="s">
        <v>103</v>
      </c>
      <c r="K130" s="25" t="s">
        <v>1491</v>
      </c>
      <c r="L130" s="26" t="s">
        <v>1492</v>
      </c>
      <c r="M130" s="26" t="s">
        <v>1493</v>
      </c>
      <c r="N130" s="27" t="s">
        <v>92</v>
      </c>
      <c r="O130" s="23" t="s">
        <v>1494</v>
      </c>
      <c r="P130" s="23" t="s">
        <v>60</v>
      </c>
      <c r="Q130" s="23" t="s">
        <v>132</v>
      </c>
      <c r="R130" s="23" t="s">
        <v>94</v>
      </c>
      <c r="S130" s="23" t="s">
        <v>1495</v>
      </c>
      <c r="T130" s="23" t="s">
        <v>1496</v>
      </c>
      <c r="U130" s="23" t="s">
        <v>64</v>
      </c>
      <c r="V130" s="28">
        <v>46099.0</v>
      </c>
      <c r="W130" s="28">
        <v>46120.0</v>
      </c>
      <c r="X130" s="28">
        <v>46121.0</v>
      </c>
      <c r="Y130" s="23" t="s">
        <v>109</v>
      </c>
      <c r="Z130" s="29"/>
      <c r="AA130" s="24" t="s">
        <v>65</v>
      </c>
      <c r="AB130" s="23" t="s">
        <v>901</v>
      </c>
      <c r="AC130" s="30">
        <v>820000.0</v>
      </c>
      <c r="AD130" s="31">
        <v>0.03</v>
      </c>
      <c r="AE130" s="32">
        <f t="shared" si="46"/>
        <v>24600</v>
      </c>
      <c r="AF130" s="33">
        <v>595.0</v>
      </c>
      <c r="AG130" s="34">
        <v>0.0</v>
      </c>
      <c r="AH130" s="34">
        <v>0.0</v>
      </c>
      <c r="AI130" s="34">
        <v>695.0</v>
      </c>
      <c r="AJ130" s="34">
        <v>400.0</v>
      </c>
      <c r="AK130" s="34">
        <v>0.0</v>
      </c>
      <c r="AL130" s="36">
        <v>0.0</v>
      </c>
      <c r="AM130" s="37" t="s">
        <v>168</v>
      </c>
      <c r="AN130" s="38">
        <f t="shared" ref="AN130:AN131" si="50">if(AF130=595, SUM(AE130+AI130-AK130-AJ130),sum(AE130-AJ130-AK130,595))</f>
        <v>24895</v>
      </c>
      <c r="AO130" s="110">
        <v>0.0</v>
      </c>
      <c r="AP130" s="40">
        <f t="shared" si="49"/>
        <v>24895</v>
      </c>
      <c r="AQ130" s="14"/>
      <c r="AR130" s="196" t="s">
        <v>1497</v>
      </c>
      <c r="AS130" s="14"/>
      <c r="AT130" s="23" t="s">
        <v>570</v>
      </c>
      <c r="AU130" s="42"/>
      <c r="AV130" s="23" t="s">
        <v>1498</v>
      </c>
      <c r="AW130" s="23" t="s">
        <v>114</v>
      </c>
      <c r="AX130" s="112"/>
      <c r="AY130" s="37" t="b">
        <v>1</v>
      </c>
      <c r="AZ130" s="42"/>
    </row>
    <row r="131">
      <c r="A131" s="23" t="s">
        <v>1418</v>
      </c>
      <c r="B131" s="23" t="s">
        <v>47</v>
      </c>
      <c r="C131" s="106" t="s">
        <v>1499</v>
      </c>
      <c r="D131" s="23" t="s">
        <v>432</v>
      </c>
      <c r="E131" s="23">
        <v>92570.0</v>
      </c>
      <c r="F131" s="23" t="s">
        <v>50</v>
      </c>
      <c r="G131" s="23" t="s">
        <v>102</v>
      </c>
      <c r="H131" s="23" t="s">
        <v>172</v>
      </c>
      <c r="I131" s="23" t="s">
        <v>53</v>
      </c>
      <c r="J131" s="23" t="s">
        <v>103</v>
      </c>
      <c r="K131" s="25" t="s">
        <v>1500</v>
      </c>
      <c r="L131" s="43"/>
      <c r="M131" s="26" t="s">
        <v>1501</v>
      </c>
      <c r="N131" s="27" t="s">
        <v>92</v>
      </c>
      <c r="O131" s="47" t="s">
        <v>143</v>
      </c>
      <c r="P131" s="23" t="s">
        <v>60</v>
      </c>
      <c r="Q131" s="23" t="s">
        <v>132</v>
      </c>
      <c r="R131" s="23" t="s">
        <v>94</v>
      </c>
      <c r="S131" s="47" t="s">
        <v>680</v>
      </c>
      <c r="T131" s="47" t="s">
        <v>680</v>
      </c>
      <c r="U131" s="23" t="s">
        <v>64</v>
      </c>
      <c r="V131" s="28">
        <v>46105.0</v>
      </c>
      <c r="W131" s="28">
        <v>46112.0</v>
      </c>
      <c r="X131" s="28">
        <v>46121.0</v>
      </c>
      <c r="Y131" s="23" t="s">
        <v>109</v>
      </c>
      <c r="Z131" s="29"/>
      <c r="AA131" s="24" t="s">
        <v>65</v>
      </c>
      <c r="AB131" s="23" t="s">
        <v>790</v>
      </c>
      <c r="AC131" s="197">
        <v>471958.19</v>
      </c>
      <c r="AD131" s="31">
        <v>0.015</v>
      </c>
      <c r="AE131" s="32">
        <f t="shared" si="46"/>
        <v>7079.37285</v>
      </c>
      <c r="AF131" s="33">
        <v>595.0</v>
      </c>
      <c r="AG131" s="34" t="s">
        <v>111</v>
      </c>
      <c r="AH131" s="34">
        <v>0.0</v>
      </c>
      <c r="AI131" s="34">
        <v>0.0</v>
      </c>
      <c r="AJ131" s="34">
        <v>0.0</v>
      </c>
      <c r="AK131" s="35">
        <f>sum(AE131,-AJ131)*0.4</f>
        <v>2831.74914</v>
      </c>
      <c r="AL131" s="36">
        <v>0.0</v>
      </c>
      <c r="AM131" s="37" t="s">
        <v>47</v>
      </c>
      <c r="AN131" s="38">
        <f t="shared" si="50"/>
        <v>4247.62371</v>
      </c>
      <c r="AO131" s="39">
        <f>if(AM131="Buyer",-sum((-AE131+AK131+AJ131)*50%),if(AM131="Seller",-sum((-AE131+AK131+AJ131)*50%),-sum(((-AE131+AK131+AJ131)*((100-right(AM131,2))/100)))))+if(AF131&lt;&gt;595,595, sum(AF131))</f>
        <v>2718.811855</v>
      </c>
      <c r="AP131" s="40">
        <f t="shared" si="49"/>
        <v>1528.811855</v>
      </c>
      <c r="AQ131" s="14"/>
      <c r="AR131" s="41"/>
      <c r="AS131" s="14"/>
      <c r="AT131" s="23" t="s">
        <v>67</v>
      </c>
      <c r="AU131" s="42"/>
      <c r="AV131" s="37" t="s">
        <v>1502</v>
      </c>
      <c r="AW131" s="23" t="s">
        <v>114</v>
      </c>
      <c r="AX131" s="112"/>
      <c r="AY131" s="37" t="s">
        <v>792</v>
      </c>
      <c r="AZ131" s="42"/>
    </row>
    <row r="132">
      <c r="A132" s="23" t="s">
        <v>1418</v>
      </c>
      <c r="B132" s="23" t="s">
        <v>84</v>
      </c>
      <c r="C132" s="106" t="s">
        <v>1503</v>
      </c>
      <c r="D132" s="23" t="s">
        <v>71</v>
      </c>
      <c r="E132" s="23">
        <v>92545.0</v>
      </c>
      <c r="F132" s="23" t="s">
        <v>50</v>
      </c>
      <c r="G132" s="23" t="s">
        <v>376</v>
      </c>
      <c r="H132" s="23" t="s">
        <v>52</v>
      </c>
      <c r="I132" s="23" t="s">
        <v>53</v>
      </c>
      <c r="J132" s="23" t="s">
        <v>103</v>
      </c>
      <c r="K132" s="25" t="s">
        <v>1500</v>
      </c>
      <c r="L132" s="43"/>
      <c r="M132" s="26" t="s">
        <v>1297</v>
      </c>
      <c r="N132" s="27" t="s">
        <v>92</v>
      </c>
      <c r="O132" s="23" t="s">
        <v>482</v>
      </c>
      <c r="P132" s="23" t="s">
        <v>60</v>
      </c>
      <c r="Q132" s="23" t="s">
        <v>132</v>
      </c>
      <c r="R132" s="23" t="s">
        <v>94</v>
      </c>
      <c r="S132" s="47" t="s">
        <v>680</v>
      </c>
      <c r="T132" s="47" t="s">
        <v>680</v>
      </c>
      <c r="U132" s="23" t="s">
        <v>64</v>
      </c>
      <c r="V132" s="28">
        <v>46091.0</v>
      </c>
      <c r="W132" s="28">
        <v>46108.0</v>
      </c>
      <c r="X132" s="28">
        <v>46121.0</v>
      </c>
      <c r="Y132" s="23" t="s">
        <v>109</v>
      </c>
      <c r="Z132" s="29"/>
      <c r="AA132" s="24" t="s">
        <v>65</v>
      </c>
      <c r="AB132" s="23" t="s">
        <v>262</v>
      </c>
      <c r="AC132" s="30">
        <v>377000.0</v>
      </c>
      <c r="AD132" s="51">
        <v>0.0</v>
      </c>
      <c r="AE132" s="62">
        <v>589.0</v>
      </c>
      <c r="AF132" s="33" t="s">
        <v>93</v>
      </c>
      <c r="AG132" s="34">
        <v>0.0</v>
      </c>
      <c r="AH132" s="34">
        <v>0.0</v>
      </c>
      <c r="AI132" s="34">
        <v>0.0</v>
      </c>
      <c r="AJ132" s="34">
        <v>0.0</v>
      </c>
      <c r="AK132" s="34">
        <v>0.0</v>
      </c>
      <c r="AL132" s="36">
        <v>0.0</v>
      </c>
      <c r="AM132" s="37" t="s">
        <v>84</v>
      </c>
      <c r="AN132" s="30">
        <v>589.0</v>
      </c>
      <c r="AO132" s="110">
        <v>589.0</v>
      </c>
      <c r="AP132" s="40">
        <f t="shared" si="49"/>
        <v>0</v>
      </c>
      <c r="AQ132" s="14"/>
      <c r="AR132" s="41"/>
      <c r="AS132" s="14"/>
      <c r="AT132" s="23" t="s">
        <v>570</v>
      </c>
      <c r="AU132" s="42"/>
      <c r="AV132" s="37" t="s">
        <v>1502</v>
      </c>
      <c r="AW132" s="23" t="s">
        <v>114</v>
      </c>
      <c r="AX132" s="112"/>
      <c r="AY132" s="37" t="s">
        <v>792</v>
      </c>
      <c r="AZ132" s="42"/>
    </row>
    <row r="133">
      <c r="A133" s="23" t="s">
        <v>1418</v>
      </c>
      <c r="B133" s="23" t="s">
        <v>47</v>
      </c>
      <c r="C133" s="106" t="s">
        <v>1503</v>
      </c>
      <c r="D133" s="23" t="s">
        <v>71</v>
      </c>
      <c r="E133" s="23">
        <v>92545.0</v>
      </c>
      <c r="F133" s="23" t="s">
        <v>50</v>
      </c>
      <c r="G133" s="23" t="s">
        <v>399</v>
      </c>
      <c r="H133" s="23" t="s">
        <v>73</v>
      </c>
      <c r="I133" s="23" t="s">
        <v>53</v>
      </c>
      <c r="J133" s="23" t="s">
        <v>103</v>
      </c>
      <c r="K133" s="25" t="s">
        <v>1504</v>
      </c>
      <c r="L133" s="26" t="s">
        <v>1505</v>
      </c>
      <c r="M133" s="27" t="s">
        <v>1506</v>
      </c>
      <c r="N133" s="59"/>
      <c r="O133" s="23" t="s">
        <v>482</v>
      </c>
      <c r="P133" s="23" t="s">
        <v>60</v>
      </c>
      <c r="Q133" s="23" t="s">
        <v>132</v>
      </c>
      <c r="R133" s="23" t="s">
        <v>94</v>
      </c>
      <c r="S133" s="47" t="s">
        <v>680</v>
      </c>
      <c r="T133" s="47" t="s">
        <v>680</v>
      </c>
      <c r="U133" s="23" t="s">
        <v>64</v>
      </c>
      <c r="V133" s="28">
        <v>46091.0</v>
      </c>
      <c r="W133" s="28">
        <v>46108.0</v>
      </c>
      <c r="X133" s="28">
        <v>46121.0</v>
      </c>
      <c r="Y133" s="23" t="s">
        <v>109</v>
      </c>
      <c r="Z133" s="29"/>
      <c r="AA133" s="24" t="s">
        <v>65</v>
      </c>
      <c r="AB133" s="23" t="s">
        <v>66</v>
      </c>
      <c r="AC133" s="30">
        <v>377000.0</v>
      </c>
      <c r="AD133" s="31">
        <v>0.03</v>
      </c>
      <c r="AE133" s="62">
        <f>AC133*AD133</f>
        <v>11310</v>
      </c>
      <c r="AF133" s="33">
        <v>595.0</v>
      </c>
      <c r="AG133" s="34" t="s">
        <v>111</v>
      </c>
      <c r="AH133" s="34">
        <v>0.0</v>
      </c>
      <c r="AI133" s="34">
        <v>1345.0</v>
      </c>
      <c r="AJ133" s="34">
        <v>0.0</v>
      </c>
      <c r="AK133" s="35">
        <f>sum(AE133,-AJ133)*0.35</f>
        <v>3958.5</v>
      </c>
      <c r="AL133" s="36">
        <v>0.0</v>
      </c>
      <c r="AM133" s="37" t="s">
        <v>47</v>
      </c>
      <c r="AN133" s="38">
        <f t="shared" ref="AN133:AN142" si="51">if(AF133=595, SUM(AE133+AI133-AK133-AJ133),sum(AE133-AJ133-AK133,595))</f>
        <v>8696.5</v>
      </c>
      <c r="AO133" s="39">
        <f t="shared" ref="AO133:AO135" si="52">if(AM133="Buyer",-sum((-AE133+AK133+AJ133)*50%),if(AM133="Seller",-sum((-AE133+AK133+AJ133)*50%),-sum(((-AE133+AK133+AJ133)*((100-right(AM133,2))/100)))))+if(AF133&lt;&gt;595,595, sum(AF133))</f>
        <v>4270.75</v>
      </c>
      <c r="AP133" s="40">
        <f t="shared" si="49"/>
        <v>4425.75</v>
      </c>
      <c r="AQ133" s="14"/>
      <c r="AR133" s="41"/>
      <c r="AS133" s="14"/>
      <c r="AT133" s="23" t="s">
        <v>570</v>
      </c>
      <c r="AU133" s="42"/>
      <c r="AV133" s="37" t="s">
        <v>1396</v>
      </c>
      <c r="AW133" s="37" t="s">
        <v>572</v>
      </c>
      <c r="AX133" s="112"/>
      <c r="AY133" s="37" t="b">
        <v>1</v>
      </c>
      <c r="AZ133" s="42"/>
    </row>
    <row r="134">
      <c r="A134" s="37" t="s">
        <v>1418</v>
      </c>
      <c r="B134" s="37" t="s">
        <v>47</v>
      </c>
      <c r="C134" s="106" t="s">
        <v>1507</v>
      </c>
      <c r="D134" s="37" t="s">
        <v>49</v>
      </c>
      <c r="E134" s="37">
        <v>92585.0</v>
      </c>
      <c r="F134" s="37" t="s">
        <v>50</v>
      </c>
      <c r="G134" s="37" t="s">
        <v>719</v>
      </c>
      <c r="H134" s="37" t="s">
        <v>172</v>
      </c>
      <c r="I134" s="37" t="s">
        <v>53</v>
      </c>
      <c r="J134" s="37" t="s">
        <v>54</v>
      </c>
      <c r="K134" s="56" t="s">
        <v>1508</v>
      </c>
      <c r="L134" s="49" t="s">
        <v>1509</v>
      </c>
      <c r="M134" s="49" t="s">
        <v>1510</v>
      </c>
      <c r="N134" s="108" t="s">
        <v>1511</v>
      </c>
      <c r="O134" s="37" t="s">
        <v>248</v>
      </c>
      <c r="P134" s="37" t="s">
        <v>558</v>
      </c>
      <c r="Q134" s="37" t="s">
        <v>621</v>
      </c>
      <c r="R134" s="37" t="s">
        <v>590</v>
      </c>
      <c r="S134" s="37" t="s">
        <v>1512</v>
      </c>
      <c r="T134" s="37" t="s">
        <v>1513</v>
      </c>
      <c r="U134" s="37" t="s">
        <v>64</v>
      </c>
      <c r="V134" s="60">
        <v>46049.0</v>
      </c>
      <c r="W134" s="60">
        <v>46097.0</v>
      </c>
      <c r="X134" s="60">
        <v>46122.0</v>
      </c>
      <c r="Y134" s="37" t="s">
        <v>109</v>
      </c>
      <c r="Z134" s="29"/>
      <c r="AA134" s="54" t="s">
        <v>558</v>
      </c>
      <c r="AB134" s="37" t="s">
        <v>66</v>
      </c>
      <c r="AC134" s="30">
        <v>50000.0</v>
      </c>
      <c r="AD134" s="31">
        <v>0.05</v>
      </c>
      <c r="AE134" s="32">
        <f t="shared" ref="AE134:AE149" si="53">SUM(AC134*AD134)</f>
        <v>2500</v>
      </c>
      <c r="AF134" s="33">
        <v>595.0</v>
      </c>
      <c r="AG134" s="34">
        <v>500.0</v>
      </c>
      <c r="AH134" s="34">
        <v>0.0</v>
      </c>
      <c r="AI134" s="34">
        <v>1045.0</v>
      </c>
      <c r="AJ134" s="34">
        <v>0.0</v>
      </c>
      <c r="AK134" s="35">
        <f>sum(AE134,-AJ134)*0.15</f>
        <v>375</v>
      </c>
      <c r="AL134" s="36">
        <v>0.0</v>
      </c>
      <c r="AM134" s="37" t="s">
        <v>47</v>
      </c>
      <c r="AN134" s="38">
        <f t="shared" si="51"/>
        <v>3170</v>
      </c>
      <c r="AO134" s="39">
        <f t="shared" si="52"/>
        <v>1657.5</v>
      </c>
      <c r="AP134" s="40">
        <f t="shared" si="49"/>
        <v>1012.5</v>
      </c>
      <c r="AQ134" s="14"/>
      <c r="AR134" s="41"/>
      <c r="AS134" s="14"/>
      <c r="AT134" s="37" t="s">
        <v>570</v>
      </c>
      <c r="AU134" s="42"/>
      <c r="AV134" s="37" t="s">
        <v>1396</v>
      </c>
      <c r="AW134" s="37" t="s">
        <v>572</v>
      </c>
      <c r="AX134" s="112"/>
      <c r="AY134" s="37" t="b">
        <v>1</v>
      </c>
      <c r="AZ134" s="42"/>
    </row>
    <row r="135">
      <c r="A135" s="23" t="s">
        <v>1418</v>
      </c>
      <c r="B135" s="23" t="s">
        <v>84</v>
      </c>
      <c r="C135" s="106" t="s">
        <v>1514</v>
      </c>
      <c r="D135" s="23" t="s">
        <v>1515</v>
      </c>
      <c r="E135" s="23">
        <v>91752.0</v>
      </c>
      <c r="F135" s="23" t="s">
        <v>50</v>
      </c>
      <c r="G135" s="23" t="s">
        <v>139</v>
      </c>
      <c r="H135" s="23" t="s">
        <v>73</v>
      </c>
      <c r="I135" s="23" t="s">
        <v>346</v>
      </c>
      <c r="J135" s="23" t="s">
        <v>103</v>
      </c>
      <c r="K135" s="25" t="s">
        <v>1516</v>
      </c>
      <c r="L135" s="26" t="s">
        <v>1517</v>
      </c>
      <c r="M135" s="27" t="s">
        <v>1518</v>
      </c>
      <c r="N135" s="27" t="s">
        <v>92</v>
      </c>
      <c r="O135" s="23"/>
      <c r="P135" s="23" t="s">
        <v>60</v>
      </c>
      <c r="Q135" s="23" t="s">
        <v>132</v>
      </c>
      <c r="R135" s="23" t="s">
        <v>94</v>
      </c>
      <c r="S135" s="23" t="s">
        <v>1519</v>
      </c>
      <c r="T135" s="23" t="s">
        <v>1520</v>
      </c>
      <c r="U135" s="23" t="s">
        <v>64</v>
      </c>
      <c r="V135" s="28">
        <v>46112.0</v>
      </c>
      <c r="W135" s="28">
        <v>46122.0</v>
      </c>
      <c r="X135" s="28">
        <v>46122.0</v>
      </c>
      <c r="Y135" s="23" t="s">
        <v>109</v>
      </c>
      <c r="Z135" s="29"/>
      <c r="AA135" s="24" t="s">
        <v>65</v>
      </c>
      <c r="AB135" s="23" t="s">
        <v>801</v>
      </c>
      <c r="AC135" s="30">
        <v>1005000.0</v>
      </c>
      <c r="AD135" s="31">
        <v>0.025</v>
      </c>
      <c r="AE135" s="32">
        <f t="shared" si="53"/>
        <v>25125</v>
      </c>
      <c r="AF135" s="33">
        <v>595.0</v>
      </c>
      <c r="AG135" s="34">
        <v>500.0</v>
      </c>
      <c r="AH135" s="34">
        <v>250.0</v>
      </c>
      <c r="AI135" s="34">
        <v>995.0</v>
      </c>
      <c r="AJ135" s="34">
        <v>0.0</v>
      </c>
      <c r="AK135" s="34">
        <v>0.0</v>
      </c>
      <c r="AL135" s="36">
        <v>0.0</v>
      </c>
      <c r="AM135" s="37" t="s">
        <v>84</v>
      </c>
      <c r="AN135" s="38">
        <f t="shared" si="51"/>
        <v>26120</v>
      </c>
      <c r="AO135" s="39">
        <f t="shared" si="52"/>
        <v>13157.5</v>
      </c>
      <c r="AP135" s="40">
        <f t="shared" si="49"/>
        <v>12212.5</v>
      </c>
      <c r="AQ135" s="14"/>
      <c r="AR135" s="41"/>
      <c r="AS135" s="14"/>
      <c r="AT135" s="23" t="s">
        <v>570</v>
      </c>
      <c r="AU135" s="42"/>
      <c r="AV135" s="37" t="s">
        <v>1396</v>
      </c>
      <c r="AW135" s="37" t="s">
        <v>572</v>
      </c>
      <c r="AX135" s="112"/>
      <c r="AY135" s="37" t="b">
        <v>1</v>
      </c>
      <c r="AZ135" s="42"/>
    </row>
    <row r="136">
      <c r="A136" s="23" t="s">
        <v>1418</v>
      </c>
      <c r="B136" s="23" t="s">
        <v>84</v>
      </c>
      <c r="C136" s="106" t="s">
        <v>1521</v>
      </c>
      <c r="D136" s="23" t="s">
        <v>1336</v>
      </c>
      <c r="E136" s="23">
        <v>92567.0</v>
      </c>
      <c r="F136" s="23" t="s">
        <v>50</v>
      </c>
      <c r="G136" s="23" t="s">
        <v>159</v>
      </c>
      <c r="H136" s="23" t="s">
        <v>73</v>
      </c>
      <c r="I136" s="23" t="s">
        <v>1522</v>
      </c>
      <c r="J136" s="23" t="s">
        <v>54</v>
      </c>
      <c r="K136" s="25" t="s">
        <v>1523</v>
      </c>
      <c r="L136" s="26" t="s">
        <v>1524</v>
      </c>
      <c r="M136" s="26" t="s">
        <v>1525</v>
      </c>
      <c r="N136" s="24" t="s">
        <v>1167</v>
      </c>
      <c r="O136" s="23" t="s">
        <v>177</v>
      </c>
      <c r="P136" s="23" t="s">
        <v>60</v>
      </c>
      <c r="Q136" s="23" t="s">
        <v>132</v>
      </c>
      <c r="R136" s="23" t="s">
        <v>94</v>
      </c>
      <c r="S136" s="23" t="s">
        <v>1526</v>
      </c>
      <c r="T136" s="23" t="s">
        <v>1527</v>
      </c>
      <c r="U136" s="23" t="s">
        <v>64</v>
      </c>
      <c r="V136" s="28">
        <v>46085.0</v>
      </c>
      <c r="W136" s="28">
        <v>46115.0</v>
      </c>
      <c r="X136" s="28">
        <v>46122.0</v>
      </c>
      <c r="Y136" s="23" t="s">
        <v>109</v>
      </c>
      <c r="Z136" s="29"/>
      <c r="AA136" s="24" t="s">
        <v>65</v>
      </c>
      <c r="AB136" s="23" t="s">
        <v>66</v>
      </c>
      <c r="AC136" s="30">
        <v>440000.0</v>
      </c>
      <c r="AD136" s="31">
        <v>0.04</v>
      </c>
      <c r="AE136" s="32">
        <f t="shared" si="53"/>
        <v>17600</v>
      </c>
      <c r="AF136" s="33">
        <v>595.0</v>
      </c>
      <c r="AG136" s="34" t="s">
        <v>111</v>
      </c>
      <c r="AH136" s="34" t="s">
        <v>82</v>
      </c>
      <c r="AI136" s="34">
        <v>1500.0</v>
      </c>
      <c r="AJ136" s="34">
        <v>0.0</v>
      </c>
      <c r="AK136" s="35">
        <f>sum(AE136,-AJ136)*0.35</f>
        <v>6160</v>
      </c>
      <c r="AL136" s="36">
        <v>0.0</v>
      </c>
      <c r="AM136" s="37" t="s">
        <v>84</v>
      </c>
      <c r="AN136" s="38">
        <f t="shared" si="51"/>
        <v>12940</v>
      </c>
      <c r="AO136" s="39">
        <f>if(AM136="Buyer",-sum((-AE136+AK136+AJ136)*50%),if(AM136="Seller",-sum((-AE136+AK136+AJ136)*50%*0.95),-sum(((-AE136+AK136+AJ136)*((100-right(AM136,2))/100)))))+if(AF136&lt;&gt;595,595, sum(AF136))</f>
        <v>6029</v>
      </c>
      <c r="AP136" s="40">
        <f t="shared" si="49"/>
        <v>6911</v>
      </c>
      <c r="AQ136" s="14"/>
      <c r="AR136" s="198" t="s">
        <v>1528</v>
      </c>
      <c r="AS136" s="14"/>
      <c r="AT136" s="23" t="s">
        <v>570</v>
      </c>
      <c r="AU136" s="42"/>
      <c r="AV136" s="23" t="s">
        <v>1529</v>
      </c>
      <c r="AW136" s="23" t="s">
        <v>572</v>
      </c>
      <c r="AX136" s="112"/>
      <c r="AY136" s="37" t="b">
        <v>1</v>
      </c>
      <c r="AZ136" s="42"/>
    </row>
    <row r="137">
      <c r="A137" s="23" t="s">
        <v>1418</v>
      </c>
      <c r="B137" s="23" t="s">
        <v>47</v>
      </c>
      <c r="C137" s="106" t="s">
        <v>1530</v>
      </c>
      <c r="D137" s="23" t="s">
        <v>86</v>
      </c>
      <c r="E137" s="23">
        <v>92057.0</v>
      </c>
      <c r="F137" s="23" t="s">
        <v>87</v>
      </c>
      <c r="G137" s="23" t="s">
        <v>390</v>
      </c>
      <c r="H137" s="23" t="s">
        <v>172</v>
      </c>
      <c r="I137" s="23" t="s">
        <v>53</v>
      </c>
      <c r="J137" s="23" t="s">
        <v>103</v>
      </c>
      <c r="K137" s="25" t="s">
        <v>1531</v>
      </c>
      <c r="L137" s="26" t="s">
        <v>1532</v>
      </c>
      <c r="M137" s="26" t="s">
        <v>1533</v>
      </c>
      <c r="N137" s="27" t="s">
        <v>1534</v>
      </c>
      <c r="O137" s="47" t="s">
        <v>143</v>
      </c>
      <c r="P137" s="23" t="s">
        <v>60</v>
      </c>
      <c r="Q137" s="23" t="s">
        <v>61</v>
      </c>
      <c r="R137" s="23" t="s">
        <v>859</v>
      </c>
      <c r="S137" s="23" t="s">
        <v>1535</v>
      </c>
      <c r="T137" s="23" t="s">
        <v>1536</v>
      </c>
      <c r="U137" s="23" t="s">
        <v>64</v>
      </c>
      <c r="V137" s="28">
        <v>46073.0</v>
      </c>
      <c r="W137" s="28">
        <v>46122.0</v>
      </c>
      <c r="X137" s="28">
        <v>46122.0</v>
      </c>
      <c r="Y137" s="23" t="s">
        <v>109</v>
      </c>
      <c r="Z137" s="29"/>
      <c r="AA137" s="24" t="s">
        <v>124</v>
      </c>
      <c r="AB137" s="23" t="s">
        <v>66</v>
      </c>
      <c r="AC137" s="30">
        <v>269999.0</v>
      </c>
      <c r="AD137" s="31">
        <v>0.025</v>
      </c>
      <c r="AE137" s="32">
        <f t="shared" si="53"/>
        <v>6749.975</v>
      </c>
      <c r="AF137" s="33">
        <v>595.0</v>
      </c>
      <c r="AG137" s="34">
        <v>500.0</v>
      </c>
      <c r="AH137" s="34">
        <v>0.0</v>
      </c>
      <c r="AI137" s="34">
        <v>1095.0</v>
      </c>
      <c r="AJ137" s="34">
        <v>0.0</v>
      </c>
      <c r="AK137" s="35">
        <f>sum(AE137,-AJ137)*0.25+0.005</f>
        <v>1687.49875</v>
      </c>
      <c r="AL137" s="36">
        <v>0.0</v>
      </c>
      <c r="AM137" s="37" t="s">
        <v>47</v>
      </c>
      <c r="AN137" s="38">
        <f t="shared" si="51"/>
        <v>6157.47625</v>
      </c>
      <c r="AO137" s="39">
        <f t="shared" ref="AO137:AO139" si="54">if(AM137="Buyer",-sum((-AE137+AK137+AJ137)*50%),if(AM137="Seller",-sum((-AE137+AK137+AJ137)*50%),-sum(((-AE137+AK137+AJ137)*((100-right(AM137,2))/100)))))+if(AF137&lt;&gt;595,595, sum(AF137))</f>
        <v>3126.238125</v>
      </c>
      <c r="AP137" s="40">
        <f t="shared" si="49"/>
        <v>2531.238125</v>
      </c>
      <c r="AQ137" s="14"/>
      <c r="AR137" s="41"/>
      <c r="AS137" s="14"/>
      <c r="AT137" s="23" t="s">
        <v>570</v>
      </c>
      <c r="AU137" s="42"/>
      <c r="AV137" s="37" t="s">
        <v>1537</v>
      </c>
      <c r="AW137" s="37" t="s">
        <v>572</v>
      </c>
      <c r="AX137" s="112"/>
      <c r="AY137" s="37" t="b">
        <v>1</v>
      </c>
      <c r="AZ137" s="42"/>
    </row>
    <row r="138">
      <c r="A138" s="23" t="s">
        <v>1418</v>
      </c>
      <c r="B138" s="23" t="s">
        <v>47</v>
      </c>
      <c r="C138" s="106" t="s">
        <v>1538</v>
      </c>
      <c r="D138" s="23" t="s">
        <v>497</v>
      </c>
      <c r="E138" s="23">
        <v>92592.0</v>
      </c>
      <c r="F138" s="23" t="s">
        <v>50</v>
      </c>
      <c r="G138" s="23" t="s">
        <v>1539</v>
      </c>
      <c r="H138" s="23" t="s">
        <v>52</v>
      </c>
      <c r="I138" s="23" t="s">
        <v>53</v>
      </c>
      <c r="J138" s="23" t="s">
        <v>54</v>
      </c>
      <c r="K138" s="25" t="s">
        <v>1540</v>
      </c>
      <c r="L138" s="26" t="s">
        <v>1541</v>
      </c>
      <c r="M138" s="26" t="s">
        <v>1542</v>
      </c>
      <c r="N138" s="27" t="s">
        <v>1543</v>
      </c>
      <c r="O138" s="23" t="s">
        <v>1544</v>
      </c>
      <c r="P138" s="23" t="s">
        <v>60</v>
      </c>
      <c r="Q138" s="23" t="s">
        <v>61</v>
      </c>
      <c r="R138" s="23" t="s">
        <v>164</v>
      </c>
      <c r="S138" s="23" t="s">
        <v>1545</v>
      </c>
      <c r="T138" s="23" t="s">
        <v>1546</v>
      </c>
      <c r="U138" s="23" t="s">
        <v>64</v>
      </c>
      <c r="V138" s="28">
        <v>46100.0</v>
      </c>
      <c r="W138" s="172">
        <v>46125.0</v>
      </c>
      <c r="X138" s="172">
        <v>46125.0</v>
      </c>
      <c r="Y138" s="23" t="s">
        <v>109</v>
      </c>
      <c r="Z138" s="29"/>
      <c r="AA138" s="24" t="s">
        <v>65</v>
      </c>
      <c r="AB138" s="23" t="s">
        <v>66</v>
      </c>
      <c r="AC138" s="30">
        <v>655000.0</v>
      </c>
      <c r="AD138" s="31">
        <v>0.03</v>
      </c>
      <c r="AE138" s="32">
        <f t="shared" si="53"/>
        <v>19650</v>
      </c>
      <c r="AF138" s="33">
        <v>595.0</v>
      </c>
      <c r="AG138" s="34">
        <v>500.0</v>
      </c>
      <c r="AH138" s="34">
        <v>0.0</v>
      </c>
      <c r="AI138" s="34">
        <v>1095.0</v>
      </c>
      <c r="AJ138" s="34">
        <v>165.0</v>
      </c>
      <c r="AK138" s="35">
        <f>sum(AE138,-AJ138)*0.4</f>
        <v>7794</v>
      </c>
      <c r="AL138" s="36">
        <v>0.0</v>
      </c>
      <c r="AM138" s="37" t="s">
        <v>47</v>
      </c>
      <c r="AN138" s="38">
        <f t="shared" si="51"/>
        <v>12786</v>
      </c>
      <c r="AO138" s="39">
        <f t="shared" si="54"/>
        <v>6440.5</v>
      </c>
      <c r="AP138" s="40">
        <f t="shared" si="49"/>
        <v>5845.5</v>
      </c>
      <c r="AQ138" s="14"/>
      <c r="AR138" s="41"/>
      <c r="AS138" s="14"/>
      <c r="AT138" s="23" t="s">
        <v>570</v>
      </c>
      <c r="AU138" s="42"/>
      <c r="AV138" s="37" t="s">
        <v>1537</v>
      </c>
      <c r="AW138" s="37" t="s">
        <v>572</v>
      </c>
      <c r="AX138" s="112"/>
      <c r="AY138" s="37" t="b">
        <v>1</v>
      </c>
      <c r="AZ138" s="42"/>
    </row>
    <row r="139">
      <c r="A139" s="23" t="s">
        <v>1418</v>
      </c>
      <c r="B139" s="23" t="s">
        <v>47</v>
      </c>
      <c r="C139" s="106" t="s">
        <v>1547</v>
      </c>
      <c r="D139" s="23" t="s">
        <v>659</v>
      </c>
      <c r="E139" s="23">
        <v>92410.0</v>
      </c>
      <c r="F139" s="23" t="s">
        <v>101</v>
      </c>
      <c r="G139" s="23" t="s">
        <v>1539</v>
      </c>
      <c r="H139" s="23" t="s">
        <v>52</v>
      </c>
      <c r="I139" s="23" t="s">
        <v>53</v>
      </c>
      <c r="J139" s="23" t="s">
        <v>54</v>
      </c>
      <c r="K139" s="25" t="s">
        <v>1548</v>
      </c>
      <c r="L139" s="26" t="s">
        <v>1549</v>
      </c>
      <c r="M139" s="26" t="s">
        <v>1550</v>
      </c>
      <c r="N139" s="27" t="s">
        <v>1551</v>
      </c>
      <c r="O139" s="23" t="s">
        <v>1552</v>
      </c>
      <c r="P139" s="23" t="s">
        <v>60</v>
      </c>
      <c r="Q139" s="23" t="s">
        <v>1553</v>
      </c>
      <c r="R139" s="23"/>
      <c r="S139" s="23" t="s">
        <v>1554</v>
      </c>
      <c r="T139" s="23" t="s">
        <v>1555</v>
      </c>
      <c r="U139" s="23" t="s">
        <v>64</v>
      </c>
      <c r="V139" s="28">
        <v>46091.0</v>
      </c>
      <c r="W139" s="28">
        <v>46121.0</v>
      </c>
      <c r="X139" s="28">
        <v>46127.0</v>
      </c>
      <c r="Y139" s="23" t="s">
        <v>109</v>
      </c>
      <c r="Z139" s="29"/>
      <c r="AA139" s="24" t="s">
        <v>124</v>
      </c>
      <c r="AB139" s="23" t="s">
        <v>1556</v>
      </c>
      <c r="AC139" s="30">
        <v>123450.0</v>
      </c>
      <c r="AD139" s="31">
        <v>0.03</v>
      </c>
      <c r="AE139" s="32">
        <f t="shared" si="53"/>
        <v>3703.5</v>
      </c>
      <c r="AF139" s="33">
        <v>595.0</v>
      </c>
      <c r="AG139" s="34">
        <v>500.0</v>
      </c>
      <c r="AH139" s="34">
        <v>0.0</v>
      </c>
      <c r="AI139" s="34">
        <v>1095.0</v>
      </c>
      <c r="AJ139" s="34">
        <v>0.0</v>
      </c>
      <c r="AK139" s="34">
        <v>0.0</v>
      </c>
      <c r="AL139" s="36">
        <v>0.0</v>
      </c>
      <c r="AM139" s="37" t="s">
        <v>47</v>
      </c>
      <c r="AN139" s="38">
        <f t="shared" si="51"/>
        <v>4798.5</v>
      </c>
      <c r="AO139" s="39">
        <f t="shared" si="54"/>
        <v>2446.75</v>
      </c>
      <c r="AP139" s="40">
        <f t="shared" si="49"/>
        <v>1851.75</v>
      </c>
      <c r="AQ139" s="14"/>
      <c r="AR139" s="41"/>
      <c r="AS139" s="14"/>
      <c r="AT139" s="23" t="s">
        <v>570</v>
      </c>
      <c r="AU139" s="42"/>
      <c r="AV139" s="23" t="s">
        <v>1557</v>
      </c>
      <c r="AW139" s="23" t="s">
        <v>572</v>
      </c>
      <c r="AX139" s="112"/>
      <c r="AY139" s="37" t="b">
        <v>1</v>
      </c>
      <c r="AZ139" s="42"/>
    </row>
    <row r="140">
      <c r="A140" s="23" t="s">
        <v>1418</v>
      </c>
      <c r="B140" s="23" t="s">
        <v>84</v>
      </c>
      <c r="C140" s="106" t="s">
        <v>1558</v>
      </c>
      <c r="D140" s="23" t="s">
        <v>1559</v>
      </c>
      <c r="E140" s="23">
        <v>90650.0</v>
      </c>
      <c r="F140" s="23" t="s">
        <v>726</v>
      </c>
      <c r="G140" s="23" t="s">
        <v>719</v>
      </c>
      <c r="H140" s="23" t="s">
        <v>172</v>
      </c>
      <c r="I140" s="23" t="s">
        <v>53</v>
      </c>
      <c r="J140" s="23" t="s">
        <v>54</v>
      </c>
      <c r="K140" s="25" t="s">
        <v>1560</v>
      </c>
      <c r="L140" s="26" t="s">
        <v>1561</v>
      </c>
      <c r="M140" s="26" t="s">
        <v>1562</v>
      </c>
      <c r="N140" s="27" t="s">
        <v>247</v>
      </c>
      <c r="O140" s="23" t="s">
        <v>1563</v>
      </c>
      <c r="P140" s="23" t="s">
        <v>197</v>
      </c>
      <c r="Q140" s="23" t="s">
        <v>132</v>
      </c>
      <c r="R140" s="23" t="s">
        <v>164</v>
      </c>
      <c r="S140" s="23" t="s">
        <v>1564</v>
      </c>
      <c r="T140" s="23" t="s">
        <v>1565</v>
      </c>
      <c r="U140" s="23" t="s">
        <v>64</v>
      </c>
      <c r="V140" s="28">
        <v>46103.0</v>
      </c>
      <c r="W140" s="28">
        <v>46125.0</v>
      </c>
      <c r="X140" s="28">
        <v>46129.0</v>
      </c>
      <c r="Y140" s="23" t="s">
        <v>109</v>
      </c>
      <c r="Z140" s="29"/>
      <c r="AA140" s="24" t="s">
        <v>65</v>
      </c>
      <c r="AB140" s="23" t="s">
        <v>167</v>
      </c>
      <c r="AC140" s="30">
        <v>680000.0</v>
      </c>
      <c r="AD140" s="31">
        <v>0.04</v>
      </c>
      <c r="AE140" s="32">
        <f t="shared" si="53"/>
        <v>27200</v>
      </c>
      <c r="AF140" s="33">
        <v>595.0</v>
      </c>
      <c r="AG140" s="34">
        <v>500.0</v>
      </c>
      <c r="AH140" s="34">
        <v>250.0</v>
      </c>
      <c r="AI140" s="34">
        <v>1350.0</v>
      </c>
      <c r="AJ140" s="34">
        <v>1250.0</v>
      </c>
      <c r="AK140" s="34">
        <v>0.0</v>
      </c>
      <c r="AL140" s="36">
        <v>0.0</v>
      </c>
      <c r="AM140" s="37" t="s">
        <v>212</v>
      </c>
      <c r="AN140" s="38">
        <f t="shared" si="51"/>
        <v>27300</v>
      </c>
      <c r="AO140" s="39">
        <f>if(AM140="Buyer",-sum((-AE140+AK140+AJ140)*50%),if(AM140="Seller",-sum((-AE140+AK140+AJ140)*50%),-sum(((-AE140+AK140)*((100-right(AM140,2))/100)))))+if(AF140&lt;&gt;595,595, sum(AF140))</f>
        <v>6035</v>
      </c>
      <c r="AP140" s="40">
        <f t="shared" si="49"/>
        <v>20515</v>
      </c>
      <c r="AQ140" s="14"/>
      <c r="AR140" s="41"/>
      <c r="AS140" s="14"/>
      <c r="AT140" s="23" t="s">
        <v>570</v>
      </c>
      <c r="AU140" s="42"/>
      <c r="AV140" s="37" t="s">
        <v>1566</v>
      </c>
      <c r="AW140" s="37" t="s">
        <v>572</v>
      </c>
      <c r="AX140" s="112"/>
      <c r="AY140" s="37" t="b">
        <v>1</v>
      </c>
      <c r="AZ140" s="42"/>
    </row>
    <row r="141">
      <c r="A141" s="37" t="s">
        <v>1418</v>
      </c>
      <c r="B141" s="37" t="s">
        <v>47</v>
      </c>
      <c r="C141" s="106" t="s">
        <v>1567</v>
      </c>
      <c r="D141" s="37" t="s">
        <v>389</v>
      </c>
      <c r="E141" s="37">
        <v>92084.0</v>
      </c>
      <c r="F141" s="37" t="s">
        <v>87</v>
      </c>
      <c r="G141" s="37" t="s">
        <v>300</v>
      </c>
      <c r="H141" s="37" t="s">
        <v>172</v>
      </c>
      <c r="I141" s="37" t="s">
        <v>53</v>
      </c>
      <c r="J141" s="37" t="s">
        <v>103</v>
      </c>
      <c r="K141" s="56" t="s">
        <v>1568</v>
      </c>
      <c r="L141" s="49" t="s">
        <v>1569</v>
      </c>
      <c r="M141" s="108" t="s">
        <v>1570</v>
      </c>
      <c r="N141" s="108" t="s">
        <v>1571</v>
      </c>
      <c r="O141" s="37" t="s">
        <v>1572</v>
      </c>
      <c r="P141" s="37" t="s">
        <v>60</v>
      </c>
      <c r="Q141" s="37" t="s">
        <v>61</v>
      </c>
      <c r="R141" s="37" t="s">
        <v>602</v>
      </c>
      <c r="S141" s="37" t="s">
        <v>1573</v>
      </c>
      <c r="T141" s="37" t="s">
        <v>1574</v>
      </c>
      <c r="U141" s="37" t="s">
        <v>64</v>
      </c>
      <c r="V141" s="60">
        <v>46048.0</v>
      </c>
      <c r="W141" s="60">
        <v>46070.0</v>
      </c>
      <c r="X141" s="60">
        <v>46129.0</v>
      </c>
      <c r="Y141" s="37" t="s">
        <v>109</v>
      </c>
      <c r="Z141" s="29"/>
      <c r="AA141" s="54" t="s">
        <v>124</v>
      </c>
      <c r="AB141" s="37" t="s">
        <v>167</v>
      </c>
      <c r="AC141" s="30">
        <v>330000.0</v>
      </c>
      <c r="AD141" s="31">
        <v>0.035</v>
      </c>
      <c r="AE141" s="32">
        <f t="shared" si="53"/>
        <v>11550</v>
      </c>
      <c r="AF141" s="33">
        <v>595.0</v>
      </c>
      <c r="AG141" s="34">
        <v>500.0</v>
      </c>
      <c r="AH141" s="34">
        <v>0.0</v>
      </c>
      <c r="AI141" s="34">
        <v>1095.0</v>
      </c>
      <c r="AJ141" s="34">
        <v>0.0</v>
      </c>
      <c r="AK141" s="34">
        <v>0.0</v>
      </c>
      <c r="AL141" s="36">
        <v>0.0</v>
      </c>
      <c r="AM141" s="37" t="s">
        <v>202</v>
      </c>
      <c r="AN141" s="38">
        <f t="shared" si="51"/>
        <v>12645</v>
      </c>
      <c r="AO141" s="39">
        <f t="shared" ref="AO141:AO145" si="55">if(AM141="Buyer",-sum((-AE141+AK141+AJ141)*50%),if(AM141="Seller",-sum((-AE141+AK141+AJ141)*50%),-sum(((-AE141+AK141+AJ141)*((100-right(AM141,2))/100)))))+if(AF141&lt;&gt;595,595, sum(AF141))</f>
        <v>4060</v>
      </c>
      <c r="AP141" s="40">
        <f t="shared" si="49"/>
        <v>8085</v>
      </c>
      <c r="AQ141" s="14"/>
      <c r="AR141" s="41"/>
      <c r="AS141" s="14"/>
      <c r="AT141" s="37" t="s">
        <v>570</v>
      </c>
      <c r="AU141" s="42"/>
      <c r="AV141" s="37" t="s">
        <v>1566</v>
      </c>
      <c r="AW141" s="37" t="s">
        <v>572</v>
      </c>
      <c r="AX141" s="112"/>
      <c r="AY141" s="37" t="b">
        <v>1</v>
      </c>
      <c r="AZ141" s="42"/>
    </row>
    <row r="142">
      <c r="A142" s="23" t="s">
        <v>1418</v>
      </c>
      <c r="B142" s="23" t="s">
        <v>84</v>
      </c>
      <c r="C142" s="106" t="s">
        <v>1575</v>
      </c>
      <c r="D142" s="138" t="s">
        <v>1576</v>
      </c>
      <c r="E142" s="23">
        <v>91709.0</v>
      </c>
      <c r="F142" s="23" t="s">
        <v>101</v>
      </c>
      <c r="G142" s="37" t="s">
        <v>88</v>
      </c>
      <c r="H142" s="23" t="s">
        <v>52</v>
      </c>
      <c r="I142" s="23" t="s">
        <v>53</v>
      </c>
      <c r="J142" s="23" t="s">
        <v>54</v>
      </c>
      <c r="K142" s="25" t="s">
        <v>1577</v>
      </c>
      <c r="L142" s="26" t="s">
        <v>1578</v>
      </c>
      <c r="M142" s="26" t="s">
        <v>1579</v>
      </c>
      <c r="N142" s="27" t="s">
        <v>92</v>
      </c>
      <c r="O142" s="23" t="s">
        <v>1580</v>
      </c>
      <c r="P142" s="23" t="s">
        <v>60</v>
      </c>
      <c r="Q142" s="23" t="s">
        <v>132</v>
      </c>
      <c r="R142" s="23" t="s">
        <v>94</v>
      </c>
      <c r="S142" s="23" t="s">
        <v>1581</v>
      </c>
      <c r="T142" s="23" t="s">
        <v>1582</v>
      </c>
      <c r="U142" s="23" t="s">
        <v>64</v>
      </c>
      <c r="V142" s="28">
        <v>46090.0</v>
      </c>
      <c r="W142" s="28">
        <v>46111.0</v>
      </c>
      <c r="X142" s="28">
        <v>46132.0</v>
      </c>
      <c r="Y142" s="23" t="s">
        <v>109</v>
      </c>
      <c r="Z142" s="29"/>
      <c r="AA142" s="24" t="s">
        <v>65</v>
      </c>
      <c r="AB142" s="23" t="s">
        <v>156</v>
      </c>
      <c r="AC142" s="30">
        <v>618000.0</v>
      </c>
      <c r="AD142" s="31">
        <v>0.04</v>
      </c>
      <c r="AE142" s="32">
        <f t="shared" si="53"/>
        <v>24720</v>
      </c>
      <c r="AF142" s="33">
        <v>595.0</v>
      </c>
      <c r="AG142" s="34" t="s">
        <v>111</v>
      </c>
      <c r="AH142" s="34" t="s">
        <v>82</v>
      </c>
      <c r="AI142" s="34">
        <v>1395.0</v>
      </c>
      <c r="AJ142" s="34">
        <v>0.0</v>
      </c>
      <c r="AK142" s="34">
        <v>0.0</v>
      </c>
      <c r="AL142" s="36">
        <v>0.0</v>
      </c>
      <c r="AM142" s="37" t="s">
        <v>84</v>
      </c>
      <c r="AN142" s="38">
        <f t="shared" si="51"/>
        <v>26115</v>
      </c>
      <c r="AO142" s="39">
        <f t="shared" si="55"/>
        <v>12955</v>
      </c>
      <c r="AP142" s="40">
        <f t="shared" si="49"/>
        <v>13160</v>
      </c>
      <c r="AQ142" s="14"/>
      <c r="AR142" s="41"/>
      <c r="AS142" s="14"/>
      <c r="AT142" s="23" t="s">
        <v>570</v>
      </c>
      <c r="AU142" s="42"/>
      <c r="AV142" s="23" t="s">
        <v>1583</v>
      </c>
      <c r="AW142" s="23" t="s">
        <v>114</v>
      </c>
      <c r="AX142" s="112"/>
      <c r="AY142" s="37" t="b">
        <v>1</v>
      </c>
      <c r="AZ142" s="42"/>
    </row>
    <row r="143">
      <c r="A143" s="23" t="s">
        <v>1418</v>
      </c>
      <c r="B143" s="23" t="s">
        <v>84</v>
      </c>
      <c r="C143" s="106" t="s">
        <v>1584</v>
      </c>
      <c r="D143" s="23" t="s">
        <v>170</v>
      </c>
      <c r="E143" s="23">
        <v>92596.0</v>
      </c>
      <c r="F143" s="23" t="s">
        <v>50</v>
      </c>
      <c r="G143" s="23" t="s">
        <v>812</v>
      </c>
      <c r="H143" s="23" t="s">
        <v>73</v>
      </c>
      <c r="I143" s="23" t="s">
        <v>74</v>
      </c>
      <c r="J143" s="23" t="s">
        <v>103</v>
      </c>
      <c r="K143" s="25" t="s">
        <v>1585</v>
      </c>
      <c r="L143" s="26" t="s">
        <v>1586</v>
      </c>
      <c r="M143" s="26" t="s">
        <v>1587</v>
      </c>
      <c r="N143" s="27" t="s">
        <v>92</v>
      </c>
      <c r="O143" s="23" t="s">
        <v>1588</v>
      </c>
      <c r="P143" s="23" t="s">
        <v>60</v>
      </c>
      <c r="Q143" s="23" t="s">
        <v>61</v>
      </c>
      <c r="R143" s="23" t="s">
        <v>94</v>
      </c>
      <c r="S143" s="23" t="s">
        <v>1589</v>
      </c>
      <c r="T143" s="23" t="s">
        <v>1590</v>
      </c>
      <c r="U143" s="23" t="s">
        <v>64</v>
      </c>
      <c r="V143" s="28">
        <v>46100.0</v>
      </c>
      <c r="W143" s="172">
        <v>46132.0</v>
      </c>
      <c r="X143" s="28">
        <v>46132.0</v>
      </c>
      <c r="Y143" s="23" t="s">
        <v>109</v>
      </c>
      <c r="Z143" s="29"/>
      <c r="AA143" s="24" t="s">
        <v>65</v>
      </c>
      <c r="AB143" s="23" t="s">
        <v>145</v>
      </c>
      <c r="AC143" s="30">
        <v>655000.0</v>
      </c>
      <c r="AD143" s="31">
        <v>0.045</v>
      </c>
      <c r="AE143" s="32">
        <f t="shared" si="53"/>
        <v>29475</v>
      </c>
      <c r="AF143" s="33">
        <v>595.0</v>
      </c>
      <c r="AG143" s="34">
        <v>500.0</v>
      </c>
      <c r="AH143" s="34">
        <v>250.0</v>
      </c>
      <c r="AI143" s="34">
        <v>695.0</v>
      </c>
      <c r="AJ143" s="34">
        <v>599.0</v>
      </c>
      <c r="AK143" s="35">
        <f>sum(AE143)*0.4</f>
        <v>11790</v>
      </c>
      <c r="AL143" s="36">
        <v>0.0</v>
      </c>
      <c r="AM143" s="37" t="s">
        <v>1591</v>
      </c>
      <c r="AN143" s="38">
        <f>if(AF143=595, SUM(AE143+AI143-AK143),sum(AE143-AJ143-AK143,595))</f>
        <v>18380</v>
      </c>
      <c r="AO143" s="39">
        <f t="shared" si="55"/>
        <v>5720.8</v>
      </c>
      <c r="AP143" s="40">
        <f t="shared" si="49"/>
        <v>11909.2</v>
      </c>
      <c r="AQ143" s="14"/>
      <c r="AR143" s="41" t="s">
        <v>1592</v>
      </c>
      <c r="AS143" s="14"/>
      <c r="AT143" s="23" t="s">
        <v>570</v>
      </c>
      <c r="AU143" s="42"/>
      <c r="AV143" s="37" t="s">
        <v>1593</v>
      </c>
      <c r="AW143" s="37" t="s">
        <v>572</v>
      </c>
      <c r="AX143" s="112"/>
      <c r="AY143" s="37" t="b">
        <v>1</v>
      </c>
      <c r="AZ143" s="42"/>
    </row>
    <row r="144" ht="15.75" customHeight="1">
      <c r="A144" s="23" t="s">
        <v>1418</v>
      </c>
      <c r="B144" s="23" t="s">
        <v>47</v>
      </c>
      <c r="C144" s="106" t="s">
        <v>1594</v>
      </c>
      <c r="D144" s="23" t="s">
        <v>316</v>
      </c>
      <c r="E144" s="23">
        <v>92563.0</v>
      </c>
      <c r="F144" s="23" t="s">
        <v>50</v>
      </c>
      <c r="G144" s="23" t="s">
        <v>646</v>
      </c>
      <c r="H144" s="23" t="s">
        <v>73</v>
      </c>
      <c r="I144" s="23" t="s">
        <v>53</v>
      </c>
      <c r="J144" s="23" t="s">
        <v>54</v>
      </c>
      <c r="K144" s="25" t="s">
        <v>1595</v>
      </c>
      <c r="L144" s="26" t="s">
        <v>1596</v>
      </c>
      <c r="M144" s="26" t="s">
        <v>1597</v>
      </c>
      <c r="N144" s="27" t="s">
        <v>1598</v>
      </c>
      <c r="O144" s="23" t="s">
        <v>1599</v>
      </c>
      <c r="P144" s="23" t="s">
        <v>60</v>
      </c>
      <c r="Q144" s="23" t="s">
        <v>61</v>
      </c>
      <c r="R144" s="23" t="s">
        <v>859</v>
      </c>
      <c r="S144" s="23" t="s">
        <v>1600</v>
      </c>
      <c r="T144" s="23" t="s">
        <v>1601</v>
      </c>
      <c r="U144" s="23" t="s">
        <v>64</v>
      </c>
      <c r="V144" s="28">
        <v>46107.0</v>
      </c>
      <c r="W144" s="28">
        <v>46132.0</v>
      </c>
      <c r="X144" s="28">
        <v>46132.0</v>
      </c>
      <c r="Y144" s="23" t="s">
        <v>109</v>
      </c>
      <c r="Z144" s="29"/>
      <c r="AA144" s="24" t="s">
        <v>65</v>
      </c>
      <c r="AB144" s="23" t="s">
        <v>167</v>
      </c>
      <c r="AC144" s="30">
        <v>625000.0</v>
      </c>
      <c r="AD144" s="31">
        <v>0.02</v>
      </c>
      <c r="AE144" s="32">
        <f t="shared" si="53"/>
        <v>12500</v>
      </c>
      <c r="AF144" s="33">
        <v>595.0</v>
      </c>
      <c r="AG144" s="34">
        <v>500.0</v>
      </c>
      <c r="AH144" s="34">
        <v>0.0</v>
      </c>
      <c r="AI144" s="34">
        <v>695.0</v>
      </c>
      <c r="AJ144" s="34">
        <v>0.0</v>
      </c>
      <c r="AK144" s="34">
        <v>0.0</v>
      </c>
      <c r="AL144" s="36">
        <v>0.0</v>
      </c>
      <c r="AM144" s="37" t="s">
        <v>212</v>
      </c>
      <c r="AN144" s="38">
        <f t="shared" ref="AN144:AN169" si="56">if(AF144=595, SUM(AE144+AI144-AK144-AJ144),sum(AE144-AJ144-AK144,595))</f>
        <v>13195</v>
      </c>
      <c r="AO144" s="39">
        <f t="shared" si="55"/>
        <v>3095</v>
      </c>
      <c r="AP144" s="40">
        <f t="shared" si="49"/>
        <v>9600</v>
      </c>
      <c r="AQ144" s="14"/>
      <c r="AR144" s="41"/>
      <c r="AS144" s="14"/>
      <c r="AT144" s="23" t="s">
        <v>570</v>
      </c>
      <c r="AU144" s="42"/>
      <c r="AV144" s="37" t="s">
        <v>1593</v>
      </c>
      <c r="AW144" s="37" t="s">
        <v>572</v>
      </c>
      <c r="AX144" s="112"/>
      <c r="AY144" s="37" t="b">
        <v>1</v>
      </c>
      <c r="AZ144" s="42"/>
    </row>
    <row r="145" ht="15.75" customHeight="1">
      <c r="A145" s="23" t="s">
        <v>1418</v>
      </c>
      <c r="B145" s="23" t="s">
        <v>84</v>
      </c>
      <c r="C145" s="106" t="s">
        <v>1602</v>
      </c>
      <c r="D145" s="23" t="s">
        <v>316</v>
      </c>
      <c r="E145" s="23">
        <v>92562.0</v>
      </c>
      <c r="F145" s="23" t="s">
        <v>50</v>
      </c>
      <c r="G145" s="23" t="s">
        <v>641</v>
      </c>
      <c r="H145" s="23" t="s">
        <v>172</v>
      </c>
      <c r="I145" s="23" t="s">
        <v>53</v>
      </c>
      <c r="J145" s="23" t="s">
        <v>103</v>
      </c>
      <c r="K145" s="54" t="s">
        <v>1603</v>
      </c>
      <c r="L145" s="54" t="s">
        <v>1604</v>
      </c>
      <c r="M145" s="54" t="s">
        <v>1605</v>
      </c>
      <c r="N145" s="27" t="s">
        <v>92</v>
      </c>
      <c r="O145" s="23" t="s">
        <v>1606</v>
      </c>
      <c r="P145" s="23" t="s">
        <v>60</v>
      </c>
      <c r="Q145" s="23" t="s">
        <v>132</v>
      </c>
      <c r="R145" s="23" t="s">
        <v>94</v>
      </c>
      <c r="S145" s="23" t="s">
        <v>1607</v>
      </c>
      <c r="T145" s="23" t="s">
        <v>1608</v>
      </c>
      <c r="U145" s="23" t="s">
        <v>64</v>
      </c>
      <c r="V145" s="28">
        <v>46109.0</v>
      </c>
      <c r="W145" s="28">
        <v>46133.0</v>
      </c>
      <c r="X145" s="28">
        <v>46133.0</v>
      </c>
      <c r="Y145" s="23" t="s">
        <v>109</v>
      </c>
      <c r="Z145" s="29"/>
      <c r="AA145" s="24" t="s">
        <v>65</v>
      </c>
      <c r="AB145" s="23" t="s">
        <v>901</v>
      </c>
      <c r="AC145" s="30">
        <v>549999.0</v>
      </c>
      <c r="AD145" s="31">
        <v>0.025</v>
      </c>
      <c r="AE145" s="32">
        <f t="shared" si="53"/>
        <v>13749.975</v>
      </c>
      <c r="AF145" s="33">
        <v>595.0</v>
      </c>
      <c r="AG145" s="34" t="s">
        <v>111</v>
      </c>
      <c r="AH145" s="34" t="s">
        <v>111</v>
      </c>
      <c r="AI145" s="34">
        <v>695.0</v>
      </c>
      <c r="AJ145" s="34">
        <v>925.0</v>
      </c>
      <c r="AK145" s="34">
        <v>0.0</v>
      </c>
      <c r="AL145" s="36">
        <v>0.0</v>
      </c>
      <c r="AM145" s="37" t="s">
        <v>84</v>
      </c>
      <c r="AN145" s="38">
        <f t="shared" si="56"/>
        <v>13519.975</v>
      </c>
      <c r="AO145" s="39">
        <f t="shared" si="55"/>
        <v>7007.4875</v>
      </c>
      <c r="AP145" s="40">
        <f t="shared" si="49"/>
        <v>6512.4875</v>
      </c>
      <c r="AQ145" s="14"/>
      <c r="AR145" s="41" t="s">
        <v>1609</v>
      </c>
      <c r="AS145" s="14"/>
      <c r="AT145" s="23" t="s">
        <v>570</v>
      </c>
      <c r="AU145" s="42"/>
      <c r="AV145" s="37" t="s">
        <v>1593</v>
      </c>
      <c r="AW145" s="37" t="s">
        <v>572</v>
      </c>
      <c r="AX145" s="112"/>
      <c r="AY145" s="37" t="b">
        <v>1</v>
      </c>
      <c r="AZ145" s="42"/>
    </row>
    <row r="146">
      <c r="A146" s="23" t="s">
        <v>1418</v>
      </c>
      <c r="B146" s="23" t="s">
        <v>47</v>
      </c>
      <c r="C146" s="106" t="s">
        <v>1610</v>
      </c>
      <c r="D146" s="23" t="s">
        <v>148</v>
      </c>
      <c r="E146" s="23">
        <v>92883.0</v>
      </c>
      <c r="F146" s="23" t="s">
        <v>50</v>
      </c>
      <c r="G146" s="37" t="s">
        <v>88</v>
      </c>
      <c r="H146" s="23" t="s">
        <v>52</v>
      </c>
      <c r="I146" s="23" t="s">
        <v>53</v>
      </c>
      <c r="J146" s="23" t="s">
        <v>54</v>
      </c>
      <c r="K146" s="25" t="s">
        <v>1611</v>
      </c>
      <c r="L146" s="26" t="s">
        <v>1612</v>
      </c>
      <c r="M146" s="26" t="s">
        <v>1613</v>
      </c>
      <c r="N146" s="27" t="s">
        <v>1614</v>
      </c>
      <c r="O146" s="23" t="s">
        <v>59</v>
      </c>
      <c r="P146" s="23" t="s">
        <v>60</v>
      </c>
      <c r="Q146" s="23" t="s">
        <v>61</v>
      </c>
      <c r="R146" s="23" t="s">
        <v>79</v>
      </c>
      <c r="S146" s="23" t="s">
        <v>1615</v>
      </c>
      <c r="T146" s="23" t="s">
        <v>1616</v>
      </c>
      <c r="U146" s="23" t="s">
        <v>64</v>
      </c>
      <c r="V146" s="28">
        <v>46093.0</v>
      </c>
      <c r="W146" s="28">
        <v>46133.0</v>
      </c>
      <c r="X146" s="28">
        <v>46133.0</v>
      </c>
      <c r="Y146" s="23" t="s">
        <v>109</v>
      </c>
      <c r="Z146" s="29"/>
      <c r="AA146" s="24" t="s">
        <v>65</v>
      </c>
      <c r="AB146" s="23" t="s">
        <v>66</v>
      </c>
      <c r="AC146" s="30">
        <v>600000.0</v>
      </c>
      <c r="AD146" s="31">
        <v>0.03</v>
      </c>
      <c r="AE146" s="32">
        <f t="shared" si="53"/>
        <v>18000</v>
      </c>
      <c r="AF146" s="33">
        <v>595.0</v>
      </c>
      <c r="AG146" s="34" t="s">
        <v>111</v>
      </c>
      <c r="AH146" s="34">
        <v>0.0</v>
      </c>
      <c r="AI146" s="34">
        <v>1395.0</v>
      </c>
      <c r="AJ146" s="34">
        <v>10.0</v>
      </c>
      <c r="AK146" s="35">
        <f>sum(AE146)*0.4</f>
        <v>7200</v>
      </c>
      <c r="AL146" s="36">
        <v>0.0</v>
      </c>
      <c r="AM146" s="37" t="s">
        <v>47</v>
      </c>
      <c r="AN146" s="38">
        <f t="shared" si="56"/>
        <v>12185</v>
      </c>
      <c r="AO146" s="39">
        <f>if(AM146="Buyer",-sum((-AE146+AK146)*50%),if(AM146="Seller",-sum((-AE146+AK146+AJ146)*50%),-sum(((-AE146+AK146+AJ146)*((100-right(AM146,2))/100)))))+if(AF146&lt;&gt;595,595, sum(AF146))</f>
        <v>5995</v>
      </c>
      <c r="AP146" s="40">
        <f t="shared" si="49"/>
        <v>6190</v>
      </c>
      <c r="AQ146" s="14"/>
      <c r="AR146" s="41"/>
      <c r="AS146" s="14"/>
      <c r="AT146" s="23" t="s">
        <v>570</v>
      </c>
      <c r="AU146" s="42"/>
      <c r="AV146" s="37" t="s">
        <v>1593</v>
      </c>
      <c r="AW146" s="37" t="s">
        <v>572</v>
      </c>
      <c r="AX146" s="112"/>
      <c r="AY146" s="37" t="b">
        <v>1</v>
      </c>
      <c r="AZ146" s="42"/>
    </row>
    <row r="147">
      <c r="A147" s="23" t="s">
        <v>1418</v>
      </c>
      <c r="B147" s="23" t="s">
        <v>84</v>
      </c>
      <c r="C147" s="106" t="s">
        <v>1617</v>
      </c>
      <c r="D147" s="23" t="s">
        <v>148</v>
      </c>
      <c r="E147" s="23">
        <v>92882.0</v>
      </c>
      <c r="F147" s="23" t="s">
        <v>50</v>
      </c>
      <c r="G147" s="23" t="s">
        <v>812</v>
      </c>
      <c r="H147" s="23" t="s">
        <v>73</v>
      </c>
      <c r="I147" s="23" t="s">
        <v>53</v>
      </c>
      <c r="J147" s="23" t="s">
        <v>103</v>
      </c>
      <c r="K147" s="49" t="s">
        <v>1618</v>
      </c>
      <c r="L147" s="49" t="s">
        <v>1619</v>
      </c>
      <c r="M147" s="49" t="s">
        <v>1620</v>
      </c>
      <c r="N147" s="27" t="s">
        <v>92</v>
      </c>
      <c r="O147" s="47" t="s">
        <v>143</v>
      </c>
      <c r="P147" s="23" t="s">
        <v>93</v>
      </c>
      <c r="Q147" s="23" t="s">
        <v>132</v>
      </c>
      <c r="R147" s="23" t="s">
        <v>94</v>
      </c>
      <c r="S147" s="23" t="s">
        <v>1621</v>
      </c>
      <c r="T147" s="23" t="s">
        <v>1622</v>
      </c>
      <c r="U147" s="23" t="s">
        <v>64</v>
      </c>
      <c r="V147" s="28">
        <v>46100.0</v>
      </c>
      <c r="W147" s="172">
        <v>46132.0</v>
      </c>
      <c r="X147" s="28">
        <v>46135.0</v>
      </c>
      <c r="Y147" s="23" t="s">
        <v>109</v>
      </c>
      <c r="Z147" s="29"/>
      <c r="AA147" s="24" t="s">
        <v>124</v>
      </c>
      <c r="AB147" s="23" t="s">
        <v>901</v>
      </c>
      <c r="AC147" s="30">
        <v>170000.0</v>
      </c>
      <c r="AD147" s="31">
        <v>0.02</v>
      </c>
      <c r="AE147" s="32">
        <f t="shared" si="53"/>
        <v>3400</v>
      </c>
      <c r="AF147" s="33">
        <v>595.0</v>
      </c>
      <c r="AG147" s="34">
        <v>500.0</v>
      </c>
      <c r="AH147" s="34">
        <v>250.0</v>
      </c>
      <c r="AI147" s="34">
        <v>0.0</v>
      </c>
      <c r="AJ147" s="34">
        <v>0.0</v>
      </c>
      <c r="AK147" s="34">
        <v>0.0</v>
      </c>
      <c r="AL147" s="36">
        <v>0.0</v>
      </c>
      <c r="AM147" s="37" t="s">
        <v>168</v>
      </c>
      <c r="AN147" s="38">
        <f t="shared" si="56"/>
        <v>3400</v>
      </c>
      <c r="AO147" s="39">
        <f t="shared" ref="AO147:AO157" si="57">if(AM147="Buyer",-sum((-AE147+AK147+AJ147)*50%),if(AM147="Seller",-sum((-AE147+AK147+AJ147)*50%),-sum(((-AE147+AK147+AJ147)*((100-right(AM147,2))/100)))))+if(AF147&lt;&gt;595,595, sum(AF147))</f>
        <v>935</v>
      </c>
      <c r="AP147" s="40">
        <f t="shared" si="49"/>
        <v>1715</v>
      </c>
      <c r="AQ147" s="14"/>
      <c r="AR147" s="41"/>
      <c r="AS147" s="14"/>
      <c r="AT147" s="23" t="s">
        <v>570</v>
      </c>
      <c r="AU147" s="42"/>
      <c r="AV147" s="37" t="s">
        <v>1623</v>
      </c>
      <c r="AW147" s="37" t="s">
        <v>572</v>
      </c>
      <c r="AX147" s="112"/>
      <c r="AY147" s="37" t="b">
        <v>1</v>
      </c>
      <c r="AZ147" s="42"/>
    </row>
    <row r="148">
      <c r="A148" s="23" t="s">
        <v>1418</v>
      </c>
      <c r="B148" s="23" t="s">
        <v>84</v>
      </c>
      <c r="C148" s="143" t="s">
        <v>1624</v>
      </c>
      <c r="D148" s="199" t="s">
        <v>100</v>
      </c>
      <c r="E148" s="199">
        <v>92395.0</v>
      </c>
      <c r="F148" s="199" t="s">
        <v>101</v>
      </c>
      <c r="G148" s="130" t="s">
        <v>88</v>
      </c>
      <c r="H148" s="199" t="s">
        <v>52</v>
      </c>
      <c r="I148" s="199" t="s">
        <v>53</v>
      </c>
      <c r="J148" s="199" t="s">
        <v>54</v>
      </c>
      <c r="K148" s="200" t="s">
        <v>1625</v>
      </c>
      <c r="L148" s="26" t="s">
        <v>1626</v>
      </c>
      <c r="M148" s="26" t="s">
        <v>1627</v>
      </c>
      <c r="N148" s="27" t="s">
        <v>92</v>
      </c>
      <c r="O148" s="23" t="s">
        <v>1628</v>
      </c>
      <c r="P148" s="23" t="s">
        <v>60</v>
      </c>
      <c r="Q148" s="23" t="s">
        <v>132</v>
      </c>
      <c r="R148" s="23" t="s">
        <v>94</v>
      </c>
      <c r="S148" s="23" t="s">
        <v>1629</v>
      </c>
      <c r="T148" s="23" t="s">
        <v>1630</v>
      </c>
      <c r="U148" s="23" t="s">
        <v>64</v>
      </c>
      <c r="V148" s="28">
        <v>46111.0</v>
      </c>
      <c r="W148" s="28">
        <v>46136.0</v>
      </c>
      <c r="X148" s="28">
        <v>46136.0</v>
      </c>
      <c r="Y148" s="23" t="s">
        <v>109</v>
      </c>
      <c r="Z148" s="29"/>
      <c r="AA148" s="24" t="s">
        <v>65</v>
      </c>
      <c r="AB148" s="23" t="s">
        <v>66</v>
      </c>
      <c r="AC148" s="30">
        <v>435000.0</v>
      </c>
      <c r="AD148" s="31">
        <v>0.045</v>
      </c>
      <c r="AE148" s="32">
        <f t="shared" si="53"/>
        <v>19575</v>
      </c>
      <c r="AF148" s="33">
        <v>595.0</v>
      </c>
      <c r="AG148" s="34" t="s">
        <v>111</v>
      </c>
      <c r="AH148" s="34" t="s">
        <v>82</v>
      </c>
      <c r="AI148" s="34">
        <v>1395.0</v>
      </c>
      <c r="AJ148" s="34">
        <v>0.0</v>
      </c>
      <c r="AK148" s="35">
        <f>sum(AE148,-AJ148)*0.35</f>
        <v>6851.25</v>
      </c>
      <c r="AL148" s="36">
        <v>0.0</v>
      </c>
      <c r="AM148" s="37" t="s">
        <v>84</v>
      </c>
      <c r="AN148" s="38">
        <f t="shared" si="56"/>
        <v>14118.75</v>
      </c>
      <c r="AO148" s="39">
        <f t="shared" si="57"/>
        <v>6956.875</v>
      </c>
      <c r="AP148" s="40">
        <f t="shared" si="49"/>
        <v>7161.875</v>
      </c>
      <c r="AQ148" s="14"/>
      <c r="AR148" s="41"/>
      <c r="AS148" s="14"/>
      <c r="AT148" s="23" t="s">
        <v>570</v>
      </c>
      <c r="AU148" s="42"/>
      <c r="AV148" s="37" t="s">
        <v>1529</v>
      </c>
      <c r="AW148" s="37" t="s">
        <v>572</v>
      </c>
      <c r="AX148" s="112"/>
      <c r="AY148" s="37" t="b">
        <v>1</v>
      </c>
      <c r="AZ148" s="42"/>
    </row>
    <row r="149">
      <c r="A149" s="23" t="s">
        <v>1418</v>
      </c>
      <c r="B149" s="23" t="s">
        <v>47</v>
      </c>
      <c r="C149" s="106" t="s">
        <v>1631</v>
      </c>
      <c r="D149" s="23" t="s">
        <v>1632</v>
      </c>
      <c r="E149" s="23">
        <v>92223.0</v>
      </c>
      <c r="F149" s="23" t="s">
        <v>50</v>
      </c>
      <c r="G149" s="23" t="s">
        <v>332</v>
      </c>
      <c r="H149" s="23" t="s">
        <v>73</v>
      </c>
      <c r="I149" s="23" t="s">
        <v>74</v>
      </c>
      <c r="J149" s="23" t="s">
        <v>103</v>
      </c>
      <c r="K149" s="25" t="s">
        <v>1633</v>
      </c>
      <c r="L149" s="26" t="s">
        <v>1634</v>
      </c>
      <c r="M149" s="27" t="s">
        <v>1635</v>
      </c>
      <c r="N149" s="27" t="s">
        <v>1636</v>
      </c>
      <c r="O149" s="23" t="s">
        <v>1637</v>
      </c>
      <c r="P149" s="23" t="s">
        <v>558</v>
      </c>
      <c r="Q149" s="23" t="s">
        <v>61</v>
      </c>
      <c r="R149" s="23" t="s">
        <v>79</v>
      </c>
      <c r="S149" s="23" t="s">
        <v>1638</v>
      </c>
      <c r="T149" s="23" t="s">
        <v>1639</v>
      </c>
      <c r="U149" s="23" t="s">
        <v>64</v>
      </c>
      <c r="V149" s="28">
        <v>46072.0</v>
      </c>
      <c r="W149" s="28">
        <v>46104.0</v>
      </c>
      <c r="X149" s="28">
        <v>46136.0</v>
      </c>
      <c r="Y149" s="23" t="s">
        <v>109</v>
      </c>
      <c r="Z149" s="29"/>
      <c r="AA149" s="24" t="s">
        <v>558</v>
      </c>
      <c r="AB149" s="23" t="s">
        <v>145</v>
      </c>
      <c r="AC149" s="30">
        <v>234740.0</v>
      </c>
      <c r="AD149" s="31">
        <v>0.025</v>
      </c>
      <c r="AE149" s="32">
        <f t="shared" si="53"/>
        <v>5868.5</v>
      </c>
      <c r="AF149" s="33">
        <v>595.0</v>
      </c>
      <c r="AG149" s="34">
        <v>500.0</v>
      </c>
      <c r="AH149" s="34">
        <v>0.0</v>
      </c>
      <c r="AI149" s="34">
        <v>1095.0</v>
      </c>
      <c r="AJ149" s="34">
        <v>0.0</v>
      </c>
      <c r="AK149" s="35">
        <f>sum(AE149,-AJ149)*0.4</f>
        <v>2347.4</v>
      </c>
      <c r="AL149" s="36">
        <v>0.0</v>
      </c>
      <c r="AM149" s="37" t="s">
        <v>47</v>
      </c>
      <c r="AN149" s="38">
        <f t="shared" si="56"/>
        <v>4616.1</v>
      </c>
      <c r="AO149" s="39">
        <f t="shared" si="57"/>
        <v>2355.55</v>
      </c>
      <c r="AP149" s="40">
        <f t="shared" si="49"/>
        <v>1760.55</v>
      </c>
      <c r="AQ149" s="14"/>
      <c r="AR149" s="41"/>
      <c r="AS149" s="14"/>
      <c r="AT149" s="23" t="s">
        <v>570</v>
      </c>
      <c r="AU149" s="42"/>
      <c r="AV149" s="37" t="s">
        <v>1623</v>
      </c>
      <c r="AW149" s="37" t="s">
        <v>572</v>
      </c>
      <c r="AX149" s="112"/>
      <c r="AY149" s="37" t="b">
        <v>1</v>
      </c>
      <c r="AZ149" s="42"/>
    </row>
    <row r="150">
      <c r="A150" s="23" t="s">
        <v>1418</v>
      </c>
      <c r="B150" s="23" t="s">
        <v>47</v>
      </c>
      <c r="C150" s="201" t="s">
        <v>1640</v>
      </c>
      <c r="D150" s="23" t="s">
        <v>1641</v>
      </c>
      <c r="E150" s="23">
        <v>92115.0</v>
      </c>
      <c r="F150" s="23" t="s">
        <v>87</v>
      </c>
      <c r="G150" s="23" t="s">
        <v>1642</v>
      </c>
      <c r="H150" s="23" t="s">
        <v>52</v>
      </c>
      <c r="I150" s="23" t="s">
        <v>53</v>
      </c>
      <c r="J150" s="23" t="s">
        <v>103</v>
      </c>
      <c r="K150" s="25" t="s">
        <v>1643</v>
      </c>
      <c r="L150" s="26" t="s">
        <v>1644</v>
      </c>
      <c r="M150" s="27" t="s">
        <v>1645</v>
      </c>
      <c r="N150" s="27" t="s">
        <v>1646</v>
      </c>
      <c r="O150" s="23" t="s">
        <v>1647</v>
      </c>
      <c r="P150" s="23" t="s">
        <v>60</v>
      </c>
      <c r="Q150" s="23" t="s">
        <v>61</v>
      </c>
      <c r="R150" s="23" t="s">
        <v>859</v>
      </c>
      <c r="S150" s="23" t="s">
        <v>1648</v>
      </c>
      <c r="T150" s="23" t="s">
        <v>1649</v>
      </c>
      <c r="U150" s="23" t="s">
        <v>64</v>
      </c>
      <c r="V150" s="28">
        <v>46079.0</v>
      </c>
      <c r="W150" s="28">
        <v>46125.0</v>
      </c>
      <c r="X150" s="28">
        <v>46136.0</v>
      </c>
      <c r="Y150" s="23" t="s">
        <v>109</v>
      </c>
      <c r="Z150" s="29"/>
      <c r="AA150" s="24" t="s">
        <v>65</v>
      </c>
      <c r="AB150" s="23" t="s">
        <v>551</v>
      </c>
      <c r="AC150" s="30">
        <v>735000.0</v>
      </c>
      <c r="AD150" s="31">
        <f>AE150/AC150</f>
        <v>0.02465986395</v>
      </c>
      <c r="AE150" s="62">
        <v>18125.0</v>
      </c>
      <c r="AF150" s="33">
        <v>595.0</v>
      </c>
      <c r="AG150" s="34">
        <v>500.0</v>
      </c>
      <c r="AH150" s="34">
        <v>0.0</v>
      </c>
      <c r="AI150" s="34">
        <v>595.0</v>
      </c>
      <c r="AJ150" s="34">
        <v>0.0</v>
      </c>
      <c r="AK150" s="34">
        <v>0.0</v>
      </c>
      <c r="AL150" s="36">
        <v>0.0</v>
      </c>
      <c r="AM150" s="37" t="s">
        <v>202</v>
      </c>
      <c r="AN150" s="38">
        <f t="shared" si="56"/>
        <v>18720</v>
      </c>
      <c r="AO150" s="39">
        <f t="shared" si="57"/>
        <v>6032.5</v>
      </c>
      <c r="AP150" s="40">
        <f t="shared" si="49"/>
        <v>12187.5</v>
      </c>
      <c r="AQ150" s="14"/>
      <c r="AR150" s="41"/>
      <c r="AS150" s="14"/>
      <c r="AT150" s="23" t="s">
        <v>570</v>
      </c>
      <c r="AU150" s="42"/>
      <c r="AV150" s="37" t="s">
        <v>1650</v>
      </c>
      <c r="AW150" s="37" t="s">
        <v>572</v>
      </c>
      <c r="AX150" s="112"/>
      <c r="AY150" s="202">
        <v>46147.0</v>
      </c>
      <c r="AZ150" s="42"/>
    </row>
    <row r="151">
      <c r="A151" s="23" t="s">
        <v>1418</v>
      </c>
      <c r="B151" s="23" t="s">
        <v>47</v>
      </c>
      <c r="C151" s="106" t="s">
        <v>1651</v>
      </c>
      <c r="D151" s="23" t="s">
        <v>49</v>
      </c>
      <c r="E151" s="23">
        <v>92586.0</v>
      </c>
      <c r="F151" s="23" t="s">
        <v>50</v>
      </c>
      <c r="G151" s="23" t="s">
        <v>944</v>
      </c>
      <c r="H151" s="23" t="s">
        <v>52</v>
      </c>
      <c r="I151" s="23" t="s">
        <v>53</v>
      </c>
      <c r="J151" s="23" t="s">
        <v>185</v>
      </c>
      <c r="K151" s="25" t="s">
        <v>1652</v>
      </c>
      <c r="L151" s="43"/>
      <c r="M151" s="26" t="s">
        <v>1653</v>
      </c>
      <c r="N151" s="27" t="s">
        <v>1654</v>
      </c>
      <c r="O151" s="23" t="s">
        <v>59</v>
      </c>
      <c r="P151" s="23" t="s">
        <v>60</v>
      </c>
      <c r="Q151" s="23" t="s">
        <v>61</v>
      </c>
      <c r="R151" s="23" t="s">
        <v>579</v>
      </c>
      <c r="S151" s="23" t="s">
        <v>1655</v>
      </c>
      <c r="T151" s="23" t="s">
        <v>1656</v>
      </c>
      <c r="U151" s="23" t="s">
        <v>64</v>
      </c>
      <c r="V151" s="28">
        <v>46111.0</v>
      </c>
      <c r="W151" s="28">
        <v>46132.0</v>
      </c>
      <c r="X151" s="28">
        <v>46136.0</v>
      </c>
      <c r="Y151" s="23" t="s">
        <v>109</v>
      </c>
      <c r="Z151" s="29"/>
      <c r="AA151" s="24" t="s">
        <v>65</v>
      </c>
      <c r="AB151" s="23" t="s">
        <v>66</v>
      </c>
      <c r="AC151" s="30">
        <v>345000.0</v>
      </c>
      <c r="AD151" s="31">
        <v>0.03</v>
      </c>
      <c r="AE151" s="32">
        <f t="shared" ref="AE151:AE163" si="58">SUM(AC151*AD151)</f>
        <v>10350</v>
      </c>
      <c r="AF151" s="33">
        <v>595.0</v>
      </c>
      <c r="AG151" s="34">
        <v>0.0</v>
      </c>
      <c r="AH151" s="34">
        <v>0.0</v>
      </c>
      <c r="AI151" s="34">
        <v>595.0</v>
      </c>
      <c r="AJ151" s="34">
        <v>0.0</v>
      </c>
      <c r="AK151" s="35">
        <f>sum(AE151,-AJ151)*0.3</f>
        <v>3105</v>
      </c>
      <c r="AL151" s="36">
        <v>0.0</v>
      </c>
      <c r="AM151" s="37" t="s">
        <v>47</v>
      </c>
      <c r="AN151" s="38">
        <f t="shared" si="56"/>
        <v>7840</v>
      </c>
      <c r="AO151" s="39">
        <f t="shared" si="57"/>
        <v>4217.5</v>
      </c>
      <c r="AP151" s="40">
        <f t="shared" si="49"/>
        <v>3622.5</v>
      </c>
      <c r="AQ151" s="14"/>
      <c r="AR151" s="41"/>
      <c r="AS151" s="14"/>
      <c r="AT151" s="23" t="s">
        <v>570</v>
      </c>
      <c r="AU151" s="42"/>
      <c r="AV151" s="37" t="s">
        <v>1657</v>
      </c>
      <c r="AW151" s="37" t="s">
        <v>572</v>
      </c>
      <c r="AX151" s="112"/>
      <c r="AY151" s="202">
        <v>46147.0</v>
      </c>
      <c r="AZ151" s="42"/>
    </row>
    <row r="152">
      <c r="A152" s="23" t="s">
        <v>1418</v>
      </c>
      <c r="B152" s="23" t="s">
        <v>47</v>
      </c>
      <c r="C152" s="143" t="s">
        <v>1658</v>
      </c>
      <c r="D152" s="199" t="s">
        <v>49</v>
      </c>
      <c r="E152" s="199">
        <v>92586.0</v>
      </c>
      <c r="F152" s="199" t="s">
        <v>50</v>
      </c>
      <c r="G152" s="130" t="s">
        <v>88</v>
      </c>
      <c r="H152" s="199" t="s">
        <v>73</v>
      </c>
      <c r="I152" s="199" t="s">
        <v>53</v>
      </c>
      <c r="J152" s="199" t="s">
        <v>54</v>
      </c>
      <c r="K152" s="200" t="s">
        <v>1659</v>
      </c>
      <c r="L152" s="26" t="s">
        <v>1660</v>
      </c>
      <c r="M152" s="26" t="s">
        <v>1661</v>
      </c>
      <c r="N152" s="27" t="s">
        <v>1662</v>
      </c>
      <c r="O152" s="23" t="s">
        <v>59</v>
      </c>
      <c r="P152" s="23" t="s">
        <v>60</v>
      </c>
      <c r="Q152" s="23"/>
      <c r="R152" s="23"/>
      <c r="S152" s="23" t="s">
        <v>1663</v>
      </c>
      <c r="T152" s="23" t="s">
        <v>1664</v>
      </c>
      <c r="U152" s="23" t="s">
        <v>109</v>
      </c>
      <c r="V152" s="28">
        <v>46118.0</v>
      </c>
      <c r="W152" s="28">
        <v>46139.0</v>
      </c>
      <c r="X152" s="28">
        <v>46139.0</v>
      </c>
      <c r="Y152" s="23" t="s">
        <v>109</v>
      </c>
      <c r="Z152" s="29"/>
      <c r="AA152" s="24" t="s">
        <v>65</v>
      </c>
      <c r="AB152" s="23" t="s">
        <v>66</v>
      </c>
      <c r="AC152" s="30">
        <v>440000.0</v>
      </c>
      <c r="AD152" s="31">
        <v>0.03</v>
      </c>
      <c r="AE152" s="32">
        <f t="shared" si="58"/>
        <v>13200</v>
      </c>
      <c r="AF152" s="33">
        <v>595.0</v>
      </c>
      <c r="AG152" s="34" t="s">
        <v>111</v>
      </c>
      <c r="AH152" s="34" t="s">
        <v>82</v>
      </c>
      <c r="AI152" s="34">
        <v>1395.0</v>
      </c>
      <c r="AJ152" s="34">
        <v>0.0</v>
      </c>
      <c r="AK152" s="35">
        <f>sum(AE152,-AJ152)*0.35</f>
        <v>4620</v>
      </c>
      <c r="AL152" s="36">
        <v>0.0</v>
      </c>
      <c r="AM152" s="37" t="s">
        <v>47</v>
      </c>
      <c r="AN152" s="38">
        <f t="shared" si="56"/>
        <v>9975</v>
      </c>
      <c r="AO152" s="39">
        <f t="shared" si="57"/>
        <v>4885</v>
      </c>
      <c r="AP152" s="40">
        <f t="shared" si="49"/>
        <v>5090</v>
      </c>
      <c r="AQ152" s="14"/>
      <c r="AR152" s="41"/>
      <c r="AS152" s="14"/>
      <c r="AT152" s="23" t="s">
        <v>570</v>
      </c>
      <c r="AU152" s="42"/>
      <c r="AV152" s="37" t="s">
        <v>1665</v>
      </c>
      <c r="AW152" s="37" t="s">
        <v>572</v>
      </c>
      <c r="AX152" s="112"/>
      <c r="AY152" s="37" t="b">
        <v>1</v>
      </c>
      <c r="AZ152" s="42"/>
    </row>
    <row r="153">
      <c r="A153" s="23" t="s">
        <v>1418</v>
      </c>
      <c r="B153" s="23" t="s">
        <v>47</v>
      </c>
      <c r="C153" s="106" t="s">
        <v>1666</v>
      </c>
      <c r="D153" s="23" t="s">
        <v>49</v>
      </c>
      <c r="E153" s="23">
        <v>92586.0</v>
      </c>
      <c r="F153" s="23" t="s">
        <v>50</v>
      </c>
      <c r="G153" s="23" t="s">
        <v>1337</v>
      </c>
      <c r="H153" s="23" t="s">
        <v>52</v>
      </c>
      <c r="I153" s="23" t="s">
        <v>53</v>
      </c>
      <c r="J153" s="23" t="s">
        <v>54</v>
      </c>
      <c r="K153" s="25" t="s">
        <v>1523</v>
      </c>
      <c r="L153" s="26" t="s">
        <v>1524</v>
      </c>
      <c r="M153" s="26" t="s">
        <v>1667</v>
      </c>
      <c r="N153" s="27" t="s">
        <v>546</v>
      </c>
      <c r="O153" s="47" t="s">
        <v>143</v>
      </c>
      <c r="P153" s="23" t="s">
        <v>60</v>
      </c>
      <c r="Q153" s="23" t="s">
        <v>61</v>
      </c>
      <c r="R153" s="23"/>
      <c r="S153" s="23" t="s">
        <v>1668</v>
      </c>
      <c r="T153" s="23" t="s">
        <v>1669</v>
      </c>
      <c r="U153" s="23" t="s">
        <v>64</v>
      </c>
      <c r="V153" s="28">
        <v>46112.0</v>
      </c>
      <c r="W153" s="28">
        <v>46139.0</v>
      </c>
      <c r="X153" s="28">
        <v>46139.0</v>
      </c>
      <c r="Y153" s="23" t="s">
        <v>109</v>
      </c>
      <c r="Z153" s="29"/>
      <c r="AA153" s="24" t="s">
        <v>65</v>
      </c>
      <c r="AB153" s="23" t="s">
        <v>66</v>
      </c>
      <c r="AC153" s="30">
        <v>370000.0</v>
      </c>
      <c r="AD153" s="31">
        <v>0.025</v>
      </c>
      <c r="AE153" s="32">
        <f t="shared" si="58"/>
        <v>9250</v>
      </c>
      <c r="AF153" s="33">
        <v>595.0</v>
      </c>
      <c r="AG153" s="34">
        <v>500.0</v>
      </c>
      <c r="AH153" s="34">
        <v>0.0</v>
      </c>
      <c r="AI153" s="34">
        <v>1095.0</v>
      </c>
      <c r="AJ153" s="34">
        <v>0.0</v>
      </c>
      <c r="AK153" s="35">
        <f>sum(AE153,-AJ153)*0.3</f>
        <v>2775</v>
      </c>
      <c r="AL153" s="36">
        <v>0.0</v>
      </c>
      <c r="AM153" s="37" t="s">
        <v>47</v>
      </c>
      <c r="AN153" s="38">
        <f t="shared" si="56"/>
        <v>7570</v>
      </c>
      <c r="AO153" s="39">
        <f t="shared" si="57"/>
        <v>3832.5</v>
      </c>
      <c r="AP153" s="40">
        <f t="shared" si="49"/>
        <v>3237.5</v>
      </c>
      <c r="AQ153" s="14"/>
      <c r="AR153" s="41"/>
      <c r="AS153" s="14"/>
      <c r="AT153" s="23" t="s">
        <v>570</v>
      </c>
      <c r="AU153" s="42"/>
      <c r="AV153" s="37" t="s">
        <v>1670</v>
      </c>
      <c r="AW153" s="37" t="s">
        <v>114</v>
      </c>
      <c r="AX153" s="113" t="s">
        <v>1671</v>
      </c>
      <c r="AY153" s="203">
        <v>46146.0</v>
      </c>
      <c r="AZ153" s="42"/>
    </row>
    <row r="154">
      <c r="A154" s="23" t="s">
        <v>1418</v>
      </c>
      <c r="B154" s="23" t="s">
        <v>47</v>
      </c>
      <c r="C154" s="106" t="s">
        <v>1672</v>
      </c>
      <c r="D154" s="23" t="s">
        <v>71</v>
      </c>
      <c r="E154" s="23">
        <v>92544.0</v>
      </c>
      <c r="F154" s="23" t="s">
        <v>50</v>
      </c>
      <c r="G154" s="23" t="s">
        <v>646</v>
      </c>
      <c r="H154" s="23" t="s">
        <v>73</v>
      </c>
      <c r="I154" s="23" t="s">
        <v>53</v>
      </c>
      <c r="J154" s="23" t="s">
        <v>54</v>
      </c>
      <c r="K154" s="25" t="s">
        <v>1673</v>
      </c>
      <c r="L154" s="26" t="s">
        <v>1674</v>
      </c>
      <c r="M154" s="26" t="s">
        <v>1675</v>
      </c>
      <c r="N154" s="27" t="s">
        <v>1676</v>
      </c>
      <c r="O154" s="47" t="s">
        <v>143</v>
      </c>
      <c r="P154" s="23" t="s">
        <v>60</v>
      </c>
      <c r="Q154" s="23" t="s">
        <v>61</v>
      </c>
      <c r="R154" s="23" t="s">
        <v>672</v>
      </c>
      <c r="S154" s="23" t="s">
        <v>1677</v>
      </c>
      <c r="T154" s="23" t="s">
        <v>1678</v>
      </c>
      <c r="U154" s="23" t="s">
        <v>109</v>
      </c>
      <c r="V154" s="28">
        <v>46126.0</v>
      </c>
      <c r="W154" s="28">
        <v>46136.0</v>
      </c>
      <c r="X154" s="28">
        <v>46139.0</v>
      </c>
      <c r="Y154" s="23" t="s">
        <v>109</v>
      </c>
      <c r="Z154" s="29"/>
      <c r="AA154" s="24" t="s">
        <v>65</v>
      </c>
      <c r="AB154" s="23" t="s">
        <v>167</v>
      </c>
      <c r="AC154" s="30">
        <v>485000.0</v>
      </c>
      <c r="AD154" s="31">
        <v>0.02</v>
      </c>
      <c r="AE154" s="32">
        <f t="shared" si="58"/>
        <v>9700</v>
      </c>
      <c r="AF154" s="33">
        <v>595.0</v>
      </c>
      <c r="AG154" s="34" t="s">
        <v>111</v>
      </c>
      <c r="AH154" s="34" t="s">
        <v>82</v>
      </c>
      <c r="AI154" s="34">
        <v>1095.0</v>
      </c>
      <c r="AJ154" s="34">
        <v>0.0</v>
      </c>
      <c r="AK154" s="34">
        <v>0.0</v>
      </c>
      <c r="AL154" s="36">
        <v>0.0</v>
      </c>
      <c r="AM154" s="37" t="s">
        <v>212</v>
      </c>
      <c r="AN154" s="38">
        <f t="shared" si="56"/>
        <v>10795</v>
      </c>
      <c r="AO154" s="39">
        <f t="shared" si="57"/>
        <v>2535</v>
      </c>
      <c r="AP154" s="40">
        <f t="shared" si="49"/>
        <v>8260</v>
      </c>
      <c r="AQ154" s="14"/>
      <c r="AR154" s="41"/>
      <c r="AS154" s="14"/>
      <c r="AT154" s="23" t="s">
        <v>570</v>
      </c>
      <c r="AU154" s="42"/>
      <c r="AV154" s="37" t="s">
        <v>1679</v>
      </c>
      <c r="AW154" s="37" t="s">
        <v>572</v>
      </c>
      <c r="AX154" s="112"/>
      <c r="AY154" s="202">
        <v>46147.0</v>
      </c>
      <c r="AZ154" s="42"/>
    </row>
    <row r="155" ht="15.0" customHeight="1">
      <c r="A155" s="23" t="s">
        <v>1418</v>
      </c>
      <c r="B155" s="23" t="s">
        <v>84</v>
      </c>
      <c r="C155" s="106" t="s">
        <v>1680</v>
      </c>
      <c r="D155" s="23" t="s">
        <v>71</v>
      </c>
      <c r="E155" s="23">
        <v>92544.0</v>
      </c>
      <c r="F155" s="23" t="s">
        <v>50</v>
      </c>
      <c r="G155" s="23" t="s">
        <v>102</v>
      </c>
      <c r="H155" s="23" t="s">
        <v>73</v>
      </c>
      <c r="I155" s="23" t="s">
        <v>74</v>
      </c>
      <c r="J155" s="23" t="s">
        <v>103</v>
      </c>
      <c r="K155" s="25" t="s">
        <v>1681</v>
      </c>
      <c r="L155" s="49" t="s">
        <v>1682</v>
      </c>
      <c r="M155" s="49" t="s">
        <v>1683</v>
      </c>
      <c r="N155" s="27" t="s">
        <v>92</v>
      </c>
      <c r="O155" s="47" t="s">
        <v>143</v>
      </c>
      <c r="P155" s="23" t="s">
        <v>898</v>
      </c>
      <c r="Q155" s="23" t="s">
        <v>132</v>
      </c>
      <c r="R155" s="23" t="s">
        <v>94</v>
      </c>
      <c r="S155" s="23" t="s">
        <v>1684</v>
      </c>
      <c r="T155" s="23" t="s">
        <v>1685</v>
      </c>
      <c r="U155" s="23" t="s">
        <v>109</v>
      </c>
      <c r="V155" s="28">
        <v>46115.0</v>
      </c>
      <c r="W155" s="28">
        <v>46133.0</v>
      </c>
      <c r="X155" s="28">
        <v>46140.0</v>
      </c>
      <c r="Y155" s="23" t="s">
        <v>109</v>
      </c>
      <c r="Z155" s="29"/>
      <c r="AA155" s="24" t="s">
        <v>124</v>
      </c>
      <c r="AB155" s="23" t="s">
        <v>145</v>
      </c>
      <c r="AC155" s="30">
        <v>243000.0</v>
      </c>
      <c r="AD155" s="31">
        <v>0.03</v>
      </c>
      <c r="AE155" s="32">
        <f t="shared" si="58"/>
        <v>7290</v>
      </c>
      <c r="AF155" s="33">
        <v>595.0</v>
      </c>
      <c r="AG155" s="34" t="s">
        <v>111</v>
      </c>
      <c r="AH155" s="34" t="s">
        <v>111</v>
      </c>
      <c r="AI155" s="34">
        <v>1250.0</v>
      </c>
      <c r="AJ155" s="34">
        <v>0.0</v>
      </c>
      <c r="AK155" s="35">
        <f>sum(AE155,-AJ155)*0.4</f>
        <v>2916</v>
      </c>
      <c r="AL155" s="36">
        <v>0.0</v>
      </c>
      <c r="AM155" s="37" t="s">
        <v>84</v>
      </c>
      <c r="AN155" s="38">
        <f t="shared" si="56"/>
        <v>5624</v>
      </c>
      <c r="AO155" s="39">
        <f t="shared" si="57"/>
        <v>2782</v>
      </c>
      <c r="AP155" s="40">
        <f t="shared" si="49"/>
        <v>2842</v>
      </c>
      <c r="AQ155" s="14"/>
      <c r="AR155" s="41"/>
      <c r="AS155" s="14"/>
      <c r="AT155" s="23" t="s">
        <v>570</v>
      </c>
      <c r="AU155" s="42"/>
      <c r="AV155" s="37" t="s">
        <v>1657</v>
      </c>
      <c r="AW155" s="37" t="s">
        <v>572</v>
      </c>
      <c r="AX155" s="112"/>
      <c r="AY155" s="202">
        <v>46147.0</v>
      </c>
      <c r="AZ155" s="42"/>
    </row>
    <row r="156">
      <c r="A156" s="23" t="s">
        <v>1418</v>
      </c>
      <c r="B156" s="23" t="s">
        <v>47</v>
      </c>
      <c r="C156" s="106" t="s">
        <v>1686</v>
      </c>
      <c r="D156" s="23" t="s">
        <v>49</v>
      </c>
      <c r="E156" s="23">
        <v>92586.0</v>
      </c>
      <c r="F156" s="23" t="s">
        <v>50</v>
      </c>
      <c r="G156" s="23" t="s">
        <v>719</v>
      </c>
      <c r="H156" s="23" t="s">
        <v>172</v>
      </c>
      <c r="I156" s="23" t="s">
        <v>53</v>
      </c>
      <c r="J156" s="23" t="s">
        <v>54</v>
      </c>
      <c r="K156" s="25" t="s">
        <v>1687</v>
      </c>
      <c r="L156" s="26" t="s">
        <v>1688</v>
      </c>
      <c r="M156" s="26" t="s">
        <v>1689</v>
      </c>
      <c r="N156" s="27" t="s">
        <v>1690</v>
      </c>
      <c r="O156" s="47" t="s">
        <v>143</v>
      </c>
      <c r="P156" s="23" t="s">
        <v>60</v>
      </c>
      <c r="Q156" s="23" t="s">
        <v>61</v>
      </c>
      <c r="R156" s="23"/>
      <c r="S156" s="23" t="s">
        <v>1691</v>
      </c>
      <c r="T156" s="23" t="s">
        <v>1692</v>
      </c>
      <c r="U156" s="23" t="s">
        <v>109</v>
      </c>
      <c r="V156" s="28">
        <v>46121.0</v>
      </c>
      <c r="W156" s="28">
        <v>46141.0</v>
      </c>
      <c r="X156" s="28">
        <v>46141.0</v>
      </c>
      <c r="Y156" s="23" t="s">
        <v>109</v>
      </c>
      <c r="Z156" s="29"/>
      <c r="AA156" s="24" t="s">
        <v>124</v>
      </c>
      <c r="AB156" s="23" t="s">
        <v>66</v>
      </c>
      <c r="AC156" s="30">
        <v>110000.0</v>
      </c>
      <c r="AD156" s="31">
        <v>0.025</v>
      </c>
      <c r="AE156" s="32">
        <f t="shared" si="58"/>
        <v>2750</v>
      </c>
      <c r="AF156" s="33">
        <v>595.0</v>
      </c>
      <c r="AG156" s="34">
        <v>500.0</v>
      </c>
      <c r="AH156" s="34" t="s">
        <v>82</v>
      </c>
      <c r="AI156" s="34">
        <v>1390.0</v>
      </c>
      <c r="AJ156" s="34">
        <v>0.0</v>
      </c>
      <c r="AK156" s="35">
        <f>sum(AE156,-AJ156)*0.15</f>
        <v>412.5</v>
      </c>
      <c r="AL156" s="36">
        <v>0.0</v>
      </c>
      <c r="AM156" s="37" t="s">
        <v>47</v>
      </c>
      <c r="AN156" s="38">
        <f t="shared" si="56"/>
        <v>3727.5</v>
      </c>
      <c r="AO156" s="39">
        <f t="shared" si="57"/>
        <v>1763.75</v>
      </c>
      <c r="AP156" s="40">
        <f t="shared" si="49"/>
        <v>1463.75</v>
      </c>
      <c r="AQ156" s="14"/>
      <c r="AR156" s="41"/>
      <c r="AS156" s="14"/>
      <c r="AT156" s="23" t="s">
        <v>570</v>
      </c>
      <c r="AU156" s="42"/>
      <c r="AV156" s="37" t="s">
        <v>1679</v>
      </c>
      <c r="AW156" s="37" t="s">
        <v>572</v>
      </c>
      <c r="AX156" s="112"/>
      <c r="AY156" s="202">
        <v>46147.0</v>
      </c>
      <c r="AZ156" s="42"/>
    </row>
    <row r="157">
      <c r="A157" s="23" t="s">
        <v>1418</v>
      </c>
      <c r="B157" s="23" t="s">
        <v>47</v>
      </c>
      <c r="C157" s="106" t="s">
        <v>1693</v>
      </c>
      <c r="D157" s="23" t="s">
        <v>170</v>
      </c>
      <c r="E157" s="23">
        <v>92596.0</v>
      </c>
      <c r="F157" s="23" t="s">
        <v>50</v>
      </c>
      <c r="G157" s="37" t="s">
        <v>88</v>
      </c>
      <c r="H157" s="23" t="s">
        <v>73</v>
      </c>
      <c r="I157" s="23" t="s">
        <v>53</v>
      </c>
      <c r="J157" s="23" t="s">
        <v>54</v>
      </c>
      <c r="K157" s="25" t="s">
        <v>1694</v>
      </c>
      <c r="L157" s="26" t="s">
        <v>1695</v>
      </c>
      <c r="M157" s="26" t="s">
        <v>1696</v>
      </c>
      <c r="N157" s="27" t="s">
        <v>79</v>
      </c>
      <c r="O157" s="23" t="s">
        <v>723</v>
      </c>
      <c r="P157" s="23" t="s">
        <v>343</v>
      </c>
      <c r="Q157" s="23" t="s">
        <v>343</v>
      </c>
      <c r="R157" s="23" t="s">
        <v>79</v>
      </c>
      <c r="S157" s="23" t="s">
        <v>1697</v>
      </c>
      <c r="T157" s="23" t="s">
        <v>1698</v>
      </c>
      <c r="U157" s="23" t="s">
        <v>64</v>
      </c>
      <c r="V157" s="28">
        <v>46112.0</v>
      </c>
      <c r="W157" s="28">
        <v>46141.0</v>
      </c>
      <c r="X157" s="28">
        <v>46141.0</v>
      </c>
      <c r="Y157" s="23" t="s">
        <v>109</v>
      </c>
      <c r="Z157" s="29"/>
      <c r="AA157" s="24" t="s">
        <v>343</v>
      </c>
      <c r="AB157" s="23" t="s">
        <v>66</v>
      </c>
      <c r="AC157" s="30">
        <v>659990.0</v>
      </c>
      <c r="AD157" s="31">
        <v>0.025</v>
      </c>
      <c r="AE157" s="32">
        <f t="shared" si="58"/>
        <v>16499.75</v>
      </c>
      <c r="AF157" s="33">
        <v>595.0</v>
      </c>
      <c r="AG157" s="34" t="s">
        <v>111</v>
      </c>
      <c r="AH157" s="34" t="s">
        <v>82</v>
      </c>
      <c r="AI157" s="34">
        <v>699.0</v>
      </c>
      <c r="AJ157" s="34">
        <v>0.0</v>
      </c>
      <c r="AK157" s="35">
        <f>sum(AE157,-AJ157)*0.4</f>
        <v>6599.9</v>
      </c>
      <c r="AL157" s="36">
        <v>0.0</v>
      </c>
      <c r="AM157" s="37" t="s">
        <v>47</v>
      </c>
      <c r="AN157" s="38">
        <f t="shared" si="56"/>
        <v>10598.85</v>
      </c>
      <c r="AO157" s="39">
        <f t="shared" si="57"/>
        <v>5544.925</v>
      </c>
      <c r="AP157" s="40">
        <f t="shared" si="49"/>
        <v>5053.925</v>
      </c>
      <c r="AQ157" s="14"/>
      <c r="AR157" s="41"/>
      <c r="AS157" s="14"/>
      <c r="AT157" s="23" t="s">
        <v>570</v>
      </c>
      <c r="AU157" s="42"/>
      <c r="AV157" s="37" t="s">
        <v>1679</v>
      </c>
      <c r="AW157" s="37" t="s">
        <v>572</v>
      </c>
      <c r="AX157" s="204"/>
      <c r="AY157" s="205">
        <v>46147.0</v>
      </c>
      <c r="AZ157" s="42"/>
    </row>
    <row r="158">
      <c r="A158" s="23" t="s">
        <v>1418</v>
      </c>
      <c r="B158" s="23" t="s">
        <v>84</v>
      </c>
      <c r="C158" s="106" t="s">
        <v>1699</v>
      </c>
      <c r="D158" s="23" t="s">
        <v>71</v>
      </c>
      <c r="E158" s="23">
        <v>92545.0</v>
      </c>
      <c r="F158" s="23" t="s">
        <v>50</v>
      </c>
      <c r="G158" s="23" t="s">
        <v>255</v>
      </c>
      <c r="H158" s="23" t="s">
        <v>256</v>
      </c>
      <c r="I158" s="23" t="s">
        <v>53</v>
      </c>
      <c r="J158" s="23" t="s">
        <v>103</v>
      </c>
      <c r="K158" s="25" t="s">
        <v>1700</v>
      </c>
      <c r="L158" s="49" t="s">
        <v>1701</v>
      </c>
      <c r="M158" s="49" t="s">
        <v>1702</v>
      </c>
      <c r="N158" s="27" t="s">
        <v>92</v>
      </c>
      <c r="O158" s="23" t="s">
        <v>1703</v>
      </c>
      <c r="P158" s="23" t="s">
        <v>60</v>
      </c>
      <c r="Q158" s="23" t="s">
        <v>132</v>
      </c>
      <c r="R158" s="23" t="s">
        <v>94</v>
      </c>
      <c r="S158" s="23" t="s">
        <v>1704</v>
      </c>
      <c r="T158" s="23" t="s">
        <v>1705</v>
      </c>
      <c r="U158" s="23" t="s">
        <v>109</v>
      </c>
      <c r="V158" s="28">
        <v>46114.0</v>
      </c>
      <c r="W158" s="28">
        <v>46143.0</v>
      </c>
      <c r="X158" s="206">
        <v>46142.0</v>
      </c>
      <c r="Y158" s="23" t="s">
        <v>109</v>
      </c>
      <c r="Z158" s="29"/>
      <c r="AA158" s="24" t="s">
        <v>65</v>
      </c>
      <c r="AB158" s="23" t="s">
        <v>262</v>
      </c>
      <c r="AC158" s="30">
        <v>215000.0</v>
      </c>
      <c r="AD158" s="31">
        <v>0.04</v>
      </c>
      <c r="AE158" s="32">
        <f t="shared" si="58"/>
        <v>8600</v>
      </c>
      <c r="AF158" s="33">
        <v>595.0</v>
      </c>
      <c r="AG158" s="34">
        <v>0.0</v>
      </c>
      <c r="AH158" s="34">
        <v>0.0</v>
      </c>
      <c r="AI158" s="34">
        <v>695.0</v>
      </c>
      <c r="AJ158" s="34">
        <v>0.0</v>
      </c>
      <c r="AK158" s="34">
        <f>AE158*0.25</f>
        <v>2150</v>
      </c>
      <c r="AL158" s="207">
        <v>11887.0</v>
      </c>
      <c r="AM158" s="37" t="s">
        <v>84</v>
      </c>
      <c r="AN158" s="38">
        <f t="shared" si="56"/>
        <v>7145</v>
      </c>
      <c r="AO158" s="110">
        <v>0.0</v>
      </c>
      <c r="AP158" s="40">
        <f t="shared" si="49"/>
        <v>7145</v>
      </c>
      <c r="AQ158" s="14"/>
      <c r="AR158" s="41" t="s">
        <v>1706</v>
      </c>
      <c r="AS158" s="14"/>
      <c r="AT158" s="23" t="s">
        <v>570</v>
      </c>
      <c r="AU158" s="42"/>
      <c r="AV158" s="37" t="s">
        <v>1679</v>
      </c>
      <c r="AW158" s="37" t="s">
        <v>572</v>
      </c>
      <c r="AX158" s="204"/>
      <c r="AY158" s="205">
        <v>46147.0</v>
      </c>
      <c r="AZ158" s="42"/>
    </row>
    <row r="159">
      <c r="A159" s="23" t="s">
        <v>1418</v>
      </c>
      <c r="B159" s="23" t="s">
        <v>84</v>
      </c>
      <c r="C159" s="106" t="s">
        <v>1707</v>
      </c>
      <c r="D159" s="23" t="s">
        <v>1708</v>
      </c>
      <c r="E159" s="23">
        <v>92344.0</v>
      </c>
      <c r="F159" s="23" t="s">
        <v>101</v>
      </c>
      <c r="G159" s="23" t="s">
        <v>139</v>
      </c>
      <c r="H159" s="23" t="s">
        <v>73</v>
      </c>
      <c r="I159" s="23" t="s">
        <v>53</v>
      </c>
      <c r="J159" s="23" t="s">
        <v>103</v>
      </c>
      <c r="K159" s="49" t="s">
        <v>1709</v>
      </c>
      <c r="L159" s="49" t="s">
        <v>1710</v>
      </c>
      <c r="M159" s="49" t="s">
        <v>1711</v>
      </c>
      <c r="N159" s="27" t="s">
        <v>92</v>
      </c>
      <c r="O159" s="23" t="s">
        <v>1712</v>
      </c>
      <c r="P159" s="23" t="s">
        <v>60</v>
      </c>
      <c r="Q159" s="23" t="s">
        <v>132</v>
      </c>
      <c r="R159" s="23" t="s">
        <v>94</v>
      </c>
      <c r="S159" s="23" t="s">
        <v>1713</v>
      </c>
      <c r="T159" s="23" t="s">
        <v>1714</v>
      </c>
      <c r="U159" s="23" t="s">
        <v>109</v>
      </c>
      <c r="V159" s="28">
        <v>46133.0</v>
      </c>
      <c r="W159" s="28">
        <v>46163.0</v>
      </c>
      <c r="X159" s="206">
        <v>46142.0</v>
      </c>
      <c r="Y159" s="23" t="s">
        <v>109</v>
      </c>
      <c r="Z159" s="29"/>
      <c r="AA159" s="24" t="s">
        <v>65</v>
      </c>
      <c r="AB159" s="23" t="s">
        <v>66</v>
      </c>
      <c r="AC159" s="30">
        <v>605000.0</v>
      </c>
      <c r="AD159" s="31">
        <v>0.025</v>
      </c>
      <c r="AE159" s="32">
        <f t="shared" si="58"/>
        <v>15125</v>
      </c>
      <c r="AF159" s="33">
        <v>595.0</v>
      </c>
      <c r="AG159" s="34">
        <v>500.0</v>
      </c>
      <c r="AH159" s="34">
        <v>250.0</v>
      </c>
      <c r="AI159" s="34">
        <v>995.0</v>
      </c>
      <c r="AJ159" s="34">
        <v>0.0</v>
      </c>
      <c r="AK159" s="34">
        <f>AE159*0.4</f>
        <v>6050</v>
      </c>
      <c r="AL159" s="36">
        <v>0.0</v>
      </c>
      <c r="AM159" s="37" t="s">
        <v>84</v>
      </c>
      <c r="AN159" s="38">
        <f t="shared" si="56"/>
        <v>10070</v>
      </c>
      <c r="AO159" s="39">
        <f t="shared" ref="AO159:AO164" si="59">if(AM159="Buyer",-sum((-AE159+AK159+AJ159)*50%),if(AM159="Seller",-sum((-AE159+AK159+AJ159)*50%),-sum(((-AE159+AK159+AJ159)*((100-right(AM159,2))/100)))))+if(AF159&lt;&gt;595,595, sum(AF159))</f>
        <v>5132.5</v>
      </c>
      <c r="AP159" s="40">
        <f t="shared" si="49"/>
        <v>4187.5</v>
      </c>
      <c r="AQ159" s="14"/>
      <c r="AR159" s="41"/>
      <c r="AS159" s="14"/>
      <c r="AT159" s="23" t="s">
        <v>570</v>
      </c>
      <c r="AU159" s="42"/>
      <c r="AV159" s="37" t="s">
        <v>1679</v>
      </c>
      <c r="AW159" s="37" t="s">
        <v>572</v>
      </c>
      <c r="AX159" s="204"/>
      <c r="AY159" s="205">
        <v>46147.0</v>
      </c>
      <c r="AZ159" s="42"/>
    </row>
    <row r="160">
      <c r="A160" s="23" t="s">
        <v>1418</v>
      </c>
      <c r="B160" s="23" t="s">
        <v>47</v>
      </c>
      <c r="C160" s="106" t="s">
        <v>1715</v>
      </c>
      <c r="D160" s="23" t="s">
        <v>1243</v>
      </c>
      <c r="E160" s="23">
        <v>92028.0</v>
      </c>
      <c r="F160" s="23" t="s">
        <v>87</v>
      </c>
      <c r="G160" s="23" t="s">
        <v>332</v>
      </c>
      <c r="H160" s="23" t="s">
        <v>73</v>
      </c>
      <c r="I160" s="23" t="s">
        <v>53</v>
      </c>
      <c r="J160" s="23" t="s">
        <v>103</v>
      </c>
      <c r="K160" s="25" t="s">
        <v>1716</v>
      </c>
      <c r="L160" s="26" t="s">
        <v>1717</v>
      </c>
      <c r="M160" s="26" t="s">
        <v>1718</v>
      </c>
      <c r="N160" s="27" t="s">
        <v>1719</v>
      </c>
      <c r="O160" s="23" t="s">
        <v>1720</v>
      </c>
      <c r="P160" s="23" t="s">
        <v>343</v>
      </c>
      <c r="Q160" s="23" t="s">
        <v>343</v>
      </c>
      <c r="R160" s="23" t="s">
        <v>1719</v>
      </c>
      <c r="S160" s="23" t="s">
        <v>1721</v>
      </c>
      <c r="T160" s="23" t="s">
        <v>1722</v>
      </c>
      <c r="U160" s="23" t="s">
        <v>64</v>
      </c>
      <c r="V160" s="28">
        <v>46095.0</v>
      </c>
      <c r="W160" s="28">
        <v>46157.0</v>
      </c>
      <c r="X160" s="206">
        <v>46142.0</v>
      </c>
      <c r="Y160" s="23" t="s">
        <v>109</v>
      </c>
      <c r="Z160" s="29"/>
      <c r="AA160" s="24" t="s">
        <v>343</v>
      </c>
      <c r="AB160" s="23" t="s">
        <v>66</v>
      </c>
      <c r="AC160" s="30">
        <v>945000.0</v>
      </c>
      <c r="AD160" s="31">
        <v>0.025</v>
      </c>
      <c r="AE160" s="32">
        <f t="shared" si="58"/>
        <v>23625</v>
      </c>
      <c r="AF160" s="33">
        <v>595.0</v>
      </c>
      <c r="AG160" s="34" t="s">
        <v>111</v>
      </c>
      <c r="AH160" s="34">
        <v>0.0</v>
      </c>
      <c r="AI160" s="34">
        <v>595.0</v>
      </c>
      <c r="AJ160" s="34">
        <v>0.0</v>
      </c>
      <c r="AK160" s="35">
        <f t="shared" ref="AK160:AK161" si="60">sum(AE160,-AJ160)*0.4</f>
        <v>9450</v>
      </c>
      <c r="AL160" s="36">
        <v>0.0</v>
      </c>
      <c r="AM160" s="37" t="s">
        <v>47</v>
      </c>
      <c r="AN160" s="38">
        <f t="shared" si="56"/>
        <v>14770</v>
      </c>
      <c r="AO160" s="39">
        <f t="shared" si="59"/>
        <v>7682.5</v>
      </c>
      <c r="AP160" s="40">
        <f t="shared" si="49"/>
        <v>7087.5</v>
      </c>
      <c r="AQ160" s="14"/>
      <c r="AR160" s="41"/>
      <c r="AS160" s="14"/>
      <c r="AT160" s="23" t="s">
        <v>570</v>
      </c>
      <c r="AU160" s="42"/>
      <c r="AV160" s="37" t="s">
        <v>1679</v>
      </c>
      <c r="AW160" s="37" t="s">
        <v>572</v>
      </c>
      <c r="AX160" s="204"/>
      <c r="AY160" s="205">
        <v>46147.0</v>
      </c>
      <c r="AZ160" s="42"/>
    </row>
    <row r="161">
      <c r="A161" s="37" t="s">
        <v>1418</v>
      </c>
      <c r="B161" s="37" t="s">
        <v>84</v>
      </c>
      <c r="C161" s="106" t="s">
        <v>1723</v>
      </c>
      <c r="D161" s="37" t="s">
        <v>1724</v>
      </c>
      <c r="E161" s="37">
        <v>91932.0</v>
      </c>
      <c r="F161" s="37" t="s">
        <v>87</v>
      </c>
      <c r="G161" s="37" t="s">
        <v>184</v>
      </c>
      <c r="H161" s="37" t="s">
        <v>73</v>
      </c>
      <c r="I161" s="23" t="s">
        <v>53</v>
      </c>
      <c r="J161" s="37" t="s">
        <v>185</v>
      </c>
      <c r="K161" s="56" t="s">
        <v>1725</v>
      </c>
      <c r="L161" s="49" t="s">
        <v>1726</v>
      </c>
      <c r="M161" s="49" t="s">
        <v>1727</v>
      </c>
      <c r="N161" s="108" t="s">
        <v>1728</v>
      </c>
      <c r="O161" s="37" t="s">
        <v>1728</v>
      </c>
      <c r="P161" s="37" t="s">
        <v>93</v>
      </c>
      <c r="Q161" s="37" t="s">
        <v>201</v>
      </c>
      <c r="R161" s="37" t="s">
        <v>1728</v>
      </c>
      <c r="S161" s="47" t="s">
        <v>680</v>
      </c>
      <c r="T161" s="47" t="s">
        <v>680</v>
      </c>
      <c r="U161" s="37" t="s">
        <v>1729</v>
      </c>
      <c r="V161" s="60">
        <v>46133.0</v>
      </c>
      <c r="W161" s="60">
        <v>46142.0</v>
      </c>
      <c r="X161" s="206">
        <v>46142.0</v>
      </c>
      <c r="Y161" s="23" t="s">
        <v>109</v>
      </c>
      <c r="Z161" s="29"/>
      <c r="AA161" s="54" t="s">
        <v>1728</v>
      </c>
      <c r="AB161" s="23" t="s">
        <v>145</v>
      </c>
      <c r="AC161" s="30">
        <v>700000.0</v>
      </c>
      <c r="AD161" s="31">
        <v>0.03</v>
      </c>
      <c r="AE161" s="32">
        <f t="shared" si="58"/>
        <v>21000</v>
      </c>
      <c r="AF161" s="33">
        <v>595.0</v>
      </c>
      <c r="AG161" s="34">
        <v>0.0</v>
      </c>
      <c r="AH161" s="34">
        <v>0.0</v>
      </c>
      <c r="AI161" s="34">
        <v>0.0</v>
      </c>
      <c r="AJ161" s="34">
        <v>0.0</v>
      </c>
      <c r="AK161" s="35">
        <f t="shared" si="60"/>
        <v>8400</v>
      </c>
      <c r="AL161" s="36">
        <v>0.0</v>
      </c>
      <c r="AM161" s="37" t="s">
        <v>84</v>
      </c>
      <c r="AN161" s="38">
        <f t="shared" si="56"/>
        <v>12600</v>
      </c>
      <c r="AO161" s="39">
        <f t="shared" si="59"/>
        <v>6895</v>
      </c>
      <c r="AP161" s="40">
        <f t="shared" si="49"/>
        <v>5705</v>
      </c>
      <c r="AQ161" s="14"/>
      <c r="AR161" s="41"/>
      <c r="AS161" s="14"/>
      <c r="AT161" s="23" t="s">
        <v>570</v>
      </c>
      <c r="AU161" s="42"/>
      <c r="AV161" s="37" t="s">
        <v>1679</v>
      </c>
      <c r="AW161" s="37" t="s">
        <v>572</v>
      </c>
      <c r="AX161" s="204"/>
      <c r="AY161" s="205">
        <v>46147.0</v>
      </c>
      <c r="AZ161" s="42"/>
    </row>
    <row r="162">
      <c r="A162" s="199" t="s">
        <v>46</v>
      </c>
      <c r="B162" s="199" t="s">
        <v>84</v>
      </c>
      <c r="C162" s="143" t="s">
        <v>1730</v>
      </c>
      <c r="D162" s="199" t="s">
        <v>1731</v>
      </c>
      <c r="E162" s="199">
        <v>92234.0</v>
      </c>
      <c r="F162" s="199" t="s">
        <v>50</v>
      </c>
      <c r="G162" s="199" t="s">
        <v>646</v>
      </c>
      <c r="H162" s="199" t="s">
        <v>73</v>
      </c>
      <c r="I162" s="199" t="s">
        <v>346</v>
      </c>
      <c r="J162" s="199" t="s">
        <v>54</v>
      </c>
      <c r="K162" s="200" t="s">
        <v>1732</v>
      </c>
      <c r="L162" s="208" t="s">
        <v>1733</v>
      </c>
      <c r="M162" s="208" t="s">
        <v>1734</v>
      </c>
      <c r="N162" s="209" t="s">
        <v>92</v>
      </c>
      <c r="O162" s="199" t="s">
        <v>482</v>
      </c>
      <c r="P162" s="199" t="s">
        <v>60</v>
      </c>
      <c r="Q162" s="199" t="s">
        <v>132</v>
      </c>
      <c r="R162" s="199" t="s">
        <v>94</v>
      </c>
      <c r="S162" s="210" t="s">
        <v>680</v>
      </c>
      <c r="T162" s="210" t="s">
        <v>680</v>
      </c>
      <c r="U162" s="199" t="s">
        <v>64</v>
      </c>
      <c r="V162" s="211">
        <v>46107.0</v>
      </c>
      <c r="W162" s="211">
        <v>46139.0</v>
      </c>
      <c r="X162" s="211">
        <v>46147.0</v>
      </c>
      <c r="Y162" s="199" t="s">
        <v>109</v>
      </c>
      <c r="Z162" s="212"/>
      <c r="AA162" s="213" t="s">
        <v>124</v>
      </c>
      <c r="AB162" s="199" t="s">
        <v>1735</v>
      </c>
      <c r="AC162" s="119">
        <v>60000.0</v>
      </c>
      <c r="AD162" s="214">
        <v>0.02</v>
      </c>
      <c r="AE162" s="215">
        <f t="shared" si="58"/>
        <v>1200</v>
      </c>
      <c r="AF162" s="216">
        <v>695.0</v>
      </c>
      <c r="AG162" s="217" t="s">
        <v>111</v>
      </c>
      <c r="AH162" s="217" t="s">
        <v>82</v>
      </c>
      <c r="AI162" s="217">
        <v>695.0</v>
      </c>
      <c r="AJ162" s="217">
        <v>0.0</v>
      </c>
      <c r="AK162" s="35">
        <f>sum(AE162,-AJ162)*0.35</f>
        <v>420</v>
      </c>
      <c r="AL162" s="110">
        <v>0.0</v>
      </c>
      <c r="AM162" s="130" t="s">
        <v>784</v>
      </c>
      <c r="AN162" s="35">
        <f t="shared" si="56"/>
        <v>1375</v>
      </c>
      <c r="AO162" s="39">
        <f t="shared" si="59"/>
        <v>1063</v>
      </c>
      <c r="AP162" s="218">
        <f t="shared" si="49"/>
        <v>312</v>
      </c>
      <c r="AQ162" s="219"/>
      <c r="AR162" s="220"/>
      <c r="AS162" s="219"/>
      <c r="AT162" s="199" t="s">
        <v>570</v>
      </c>
      <c r="AU162" s="221"/>
      <c r="AV162" s="199" t="s">
        <v>1736</v>
      </c>
      <c r="AW162" s="199" t="s">
        <v>572</v>
      </c>
      <c r="AX162" s="222"/>
      <c r="AY162" s="223">
        <v>46150.0</v>
      </c>
      <c r="AZ162" s="221"/>
    </row>
    <row r="163">
      <c r="A163" s="23" t="s">
        <v>46</v>
      </c>
      <c r="B163" s="23" t="s">
        <v>47</v>
      </c>
      <c r="C163" s="106" t="s">
        <v>1737</v>
      </c>
      <c r="D163" s="23" t="s">
        <v>1731</v>
      </c>
      <c r="E163" s="23">
        <v>92234.0</v>
      </c>
      <c r="F163" s="23" t="s">
        <v>50</v>
      </c>
      <c r="G163" s="23" t="s">
        <v>944</v>
      </c>
      <c r="H163" s="23" t="s">
        <v>52</v>
      </c>
      <c r="I163" s="23" t="s">
        <v>53</v>
      </c>
      <c r="J163" s="23" t="s">
        <v>185</v>
      </c>
      <c r="K163" s="25" t="s">
        <v>1738</v>
      </c>
      <c r="L163" s="26" t="s">
        <v>1739</v>
      </c>
      <c r="M163" s="26" t="s">
        <v>1740</v>
      </c>
      <c r="N163" s="27" t="s">
        <v>92</v>
      </c>
      <c r="O163" s="23"/>
      <c r="P163" s="23" t="s">
        <v>60</v>
      </c>
      <c r="Q163" s="23" t="s">
        <v>132</v>
      </c>
      <c r="R163" s="23" t="s">
        <v>602</v>
      </c>
      <c r="S163" s="47" t="s">
        <v>680</v>
      </c>
      <c r="T163" s="47" t="s">
        <v>680</v>
      </c>
      <c r="U163" s="23" t="s">
        <v>64</v>
      </c>
      <c r="V163" s="28">
        <v>46107.0</v>
      </c>
      <c r="W163" s="28">
        <v>46139.0</v>
      </c>
      <c r="X163" s="28">
        <v>46147.0</v>
      </c>
      <c r="Y163" s="23" t="s">
        <v>109</v>
      </c>
      <c r="Z163" s="29"/>
      <c r="AA163" s="24" t="s">
        <v>124</v>
      </c>
      <c r="AB163" s="23" t="s">
        <v>1061</v>
      </c>
      <c r="AC163" s="30">
        <v>60000.0</v>
      </c>
      <c r="AD163" s="31">
        <v>0.03</v>
      </c>
      <c r="AE163" s="32">
        <f t="shared" si="58"/>
        <v>1800</v>
      </c>
      <c r="AF163" s="33">
        <v>595.0</v>
      </c>
      <c r="AG163" s="34">
        <v>0.0</v>
      </c>
      <c r="AH163" s="34">
        <v>0.0</v>
      </c>
      <c r="AI163" s="34">
        <v>595.0</v>
      </c>
      <c r="AJ163" s="34">
        <v>0.0</v>
      </c>
      <c r="AK163" s="34">
        <v>0.0</v>
      </c>
      <c r="AL163" s="36">
        <v>0.0</v>
      </c>
      <c r="AM163" s="37" t="s">
        <v>47</v>
      </c>
      <c r="AN163" s="38">
        <f t="shared" si="56"/>
        <v>2395</v>
      </c>
      <c r="AO163" s="39">
        <f t="shared" si="59"/>
        <v>1495</v>
      </c>
      <c r="AP163" s="40">
        <f t="shared" si="49"/>
        <v>900</v>
      </c>
      <c r="AQ163" s="14"/>
      <c r="AR163" s="41"/>
      <c r="AS163" s="14"/>
      <c r="AT163" s="23" t="s">
        <v>570</v>
      </c>
      <c r="AU163" s="42"/>
      <c r="AV163" s="37" t="s">
        <v>1741</v>
      </c>
      <c r="AW163" s="37" t="s">
        <v>114</v>
      </c>
      <c r="AX163" s="112"/>
      <c r="AY163" s="203">
        <v>46150.0</v>
      </c>
      <c r="AZ163" s="42"/>
    </row>
    <row r="164">
      <c r="A164" s="23" t="s">
        <v>46</v>
      </c>
      <c r="B164" s="23" t="s">
        <v>47</v>
      </c>
      <c r="C164" s="106" t="s">
        <v>1742</v>
      </c>
      <c r="D164" s="23" t="s">
        <v>170</v>
      </c>
      <c r="E164" s="23">
        <v>92596.0</v>
      </c>
      <c r="F164" s="23" t="s">
        <v>50</v>
      </c>
      <c r="G164" s="23" t="s">
        <v>542</v>
      </c>
      <c r="H164" s="23" t="s">
        <v>52</v>
      </c>
      <c r="I164" s="23" t="s">
        <v>53</v>
      </c>
      <c r="J164" s="23" t="s">
        <v>54</v>
      </c>
      <c r="K164" s="25" t="s">
        <v>1743</v>
      </c>
      <c r="L164" s="26" t="s">
        <v>1744</v>
      </c>
      <c r="M164" s="26" t="s">
        <v>1745</v>
      </c>
      <c r="N164" s="27" t="s">
        <v>1746</v>
      </c>
      <c r="O164" s="23" t="s">
        <v>547</v>
      </c>
      <c r="P164" s="23" t="s">
        <v>60</v>
      </c>
      <c r="Q164" s="23" t="s">
        <v>61</v>
      </c>
      <c r="R164" s="23" t="s">
        <v>247</v>
      </c>
      <c r="S164" s="23" t="s">
        <v>1747</v>
      </c>
      <c r="T164" s="23" t="s">
        <v>1748</v>
      </c>
      <c r="U164" s="23" t="s">
        <v>109</v>
      </c>
      <c r="V164" s="28">
        <v>46123.0</v>
      </c>
      <c r="W164" s="28">
        <v>46148.0</v>
      </c>
      <c r="X164" s="206">
        <v>46148.0</v>
      </c>
      <c r="Y164" s="28"/>
      <c r="Z164" s="29"/>
      <c r="AA164" s="24" t="s">
        <v>65</v>
      </c>
      <c r="AB164" s="23" t="s">
        <v>551</v>
      </c>
      <c r="AC164" s="30">
        <v>565000.0</v>
      </c>
      <c r="AD164" s="51">
        <v>0.0</v>
      </c>
      <c r="AE164" s="62">
        <v>16950.0</v>
      </c>
      <c r="AF164" s="33">
        <v>595.0</v>
      </c>
      <c r="AG164" s="34">
        <v>500.0</v>
      </c>
      <c r="AH164" s="34" t="s">
        <v>82</v>
      </c>
      <c r="AI164" s="34">
        <v>1395.0</v>
      </c>
      <c r="AJ164" s="34">
        <v>0.0</v>
      </c>
      <c r="AK164" s="34">
        <v>0.0</v>
      </c>
      <c r="AL164" s="36">
        <v>0.0</v>
      </c>
      <c r="AM164" s="37" t="s">
        <v>552</v>
      </c>
      <c r="AN164" s="38">
        <f t="shared" si="56"/>
        <v>18345</v>
      </c>
      <c r="AO164" s="39">
        <f t="shared" si="59"/>
        <v>3137.5</v>
      </c>
      <c r="AP164" s="40">
        <f t="shared" si="49"/>
        <v>14707.5</v>
      </c>
      <c r="AQ164" s="14"/>
      <c r="AR164" s="41" t="s">
        <v>1749</v>
      </c>
      <c r="AS164" s="14"/>
      <c r="AT164" s="23" t="s">
        <v>570</v>
      </c>
      <c r="AU164" s="42"/>
      <c r="AV164" s="23" t="s">
        <v>1736</v>
      </c>
      <c r="AW164" s="23" t="s">
        <v>572</v>
      </c>
      <c r="AX164" s="112"/>
      <c r="AY164" s="203">
        <v>46150.0</v>
      </c>
      <c r="AZ164" s="42"/>
    </row>
    <row r="165">
      <c r="A165" s="23" t="s">
        <v>46</v>
      </c>
      <c r="B165" s="23" t="s">
        <v>47</v>
      </c>
      <c r="C165" s="106" t="s">
        <v>1750</v>
      </c>
      <c r="D165" s="23" t="s">
        <v>138</v>
      </c>
      <c r="E165" s="23">
        <v>92582.0</v>
      </c>
      <c r="F165" s="23" t="s">
        <v>50</v>
      </c>
      <c r="G165" s="23" t="s">
        <v>214</v>
      </c>
      <c r="H165" s="23" t="s">
        <v>172</v>
      </c>
      <c r="I165" s="23" t="s">
        <v>53</v>
      </c>
      <c r="J165" s="23" t="s">
        <v>54</v>
      </c>
      <c r="K165" s="25" t="s">
        <v>1751</v>
      </c>
      <c r="L165" s="26" t="s">
        <v>1752</v>
      </c>
      <c r="M165" s="26" t="s">
        <v>1753</v>
      </c>
      <c r="N165" s="27" t="s">
        <v>1754</v>
      </c>
      <c r="O165" s="23" t="s">
        <v>1755</v>
      </c>
      <c r="P165" s="23" t="s">
        <v>343</v>
      </c>
      <c r="Q165" s="23" t="s">
        <v>343</v>
      </c>
      <c r="R165" s="27" t="s">
        <v>1754</v>
      </c>
      <c r="S165" s="47" t="s">
        <v>359</v>
      </c>
      <c r="T165" s="47" t="s">
        <v>359</v>
      </c>
      <c r="U165" s="23" t="s">
        <v>109</v>
      </c>
      <c r="V165" s="28">
        <v>46114.0</v>
      </c>
      <c r="W165" s="28">
        <v>46147.0</v>
      </c>
      <c r="X165" s="28">
        <v>46148.0</v>
      </c>
      <c r="Y165" s="28"/>
      <c r="Z165" s="29"/>
      <c r="AA165" s="24" t="s">
        <v>343</v>
      </c>
      <c r="AB165" s="23" t="s">
        <v>66</v>
      </c>
      <c r="AC165" s="30">
        <v>520900.0</v>
      </c>
      <c r="AD165" s="31">
        <v>0.025</v>
      </c>
      <c r="AE165" s="32">
        <f t="shared" ref="AE165:AE171" si="61">SUM(AC165*AD165)</f>
        <v>13022.5</v>
      </c>
      <c r="AF165" s="33" t="s">
        <v>93</v>
      </c>
      <c r="AG165" s="34">
        <v>0.0</v>
      </c>
      <c r="AH165" s="34" t="s">
        <v>82</v>
      </c>
      <c r="AI165" s="224">
        <v>0.0</v>
      </c>
      <c r="AJ165" s="34">
        <v>0.0</v>
      </c>
      <c r="AK165" s="35">
        <f>sum(AE165,-AJ165)*0.4</f>
        <v>5209</v>
      </c>
      <c r="AL165" s="36">
        <v>0.0</v>
      </c>
      <c r="AM165" s="37" t="s">
        <v>47</v>
      </c>
      <c r="AN165" s="38">
        <f t="shared" si="56"/>
        <v>8408.5</v>
      </c>
      <c r="AO165" s="39">
        <f>if(AM165="Buyer",-sum((-AE165+AK165+AJ165)*50%),if(AM165="Seller",-sum((-AE165+AK165+AJ165)*50%),-sum(((-AE165+AK165+AJ165)*((100-right(AM165,2))/100)))))+if(AF165&lt;&gt;595,595, sum(AF165))+200</f>
        <v>4701.75</v>
      </c>
      <c r="AP165" s="40">
        <f>sum(AN165-AO165)+-sum(AG165:AH165)-595</f>
        <v>3111.75</v>
      </c>
      <c r="AQ165" s="14"/>
      <c r="AR165" s="41" t="s">
        <v>1756</v>
      </c>
      <c r="AS165" s="14"/>
      <c r="AT165" s="23" t="s">
        <v>570</v>
      </c>
      <c r="AU165" s="42"/>
      <c r="AV165" s="23" t="s">
        <v>1757</v>
      </c>
      <c r="AW165" s="23" t="s">
        <v>572</v>
      </c>
      <c r="AX165" s="112"/>
      <c r="AY165" s="203">
        <v>46150.0</v>
      </c>
      <c r="AZ165" s="42"/>
    </row>
    <row r="166">
      <c r="A166" s="23" t="s">
        <v>46</v>
      </c>
      <c r="B166" s="23" t="s">
        <v>84</v>
      </c>
      <c r="C166" s="106" t="s">
        <v>1758</v>
      </c>
      <c r="D166" s="23" t="s">
        <v>170</v>
      </c>
      <c r="E166" s="23">
        <v>92596.0</v>
      </c>
      <c r="F166" s="23" t="s">
        <v>50</v>
      </c>
      <c r="G166" s="23" t="s">
        <v>214</v>
      </c>
      <c r="H166" s="23" t="s">
        <v>172</v>
      </c>
      <c r="I166" s="23" t="s">
        <v>53</v>
      </c>
      <c r="J166" s="23" t="s">
        <v>54</v>
      </c>
      <c r="K166" s="25" t="s">
        <v>1759</v>
      </c>
      <c r="L166" s="26" t="s">
        <v>1760</v>
      </c>
      <c r="M166" s="26" t="s">
        <v>1761</v>
      </c>
      <c r="N166" s="27" t="s">
        <v>92</v>
      </c>
      <c r="O166" s="23" t="s">
        <v>59</v>
      </c>
      <c r="P166" s="23" t="s">
        <v>197</v>
      </c>
      <c r="Q166" s="23" t="s">
        <v>132</v>
      </c>
      <c r="R166" s="23" t="s">
        <v>94</v>
      </c>
      <c r="S166" s="23" t="s">
        <v>1762</v>
      </c>
      <c r="T166" s="23" t="s">
        <v>1763</v>
      </c>
      <c r="U166" s="23" t="s">
        <v>109</v>
      </c>
      <c r="V166" s="28">
        <v>46119.0</v>
      </c>
      <c r="W166" s="28">
        <v>46149.0</v>
      </c>
      <c r="X166" s="28">
        <v>46149.0</v>
      </c>
      <c r="Y166" s="23" t="s">
        <v>109</v>
      </c>
      <c r="Z166" s="29"/>
      <c r="AA166" s="24" t="s">
        <v>65</v>
      </c>
      <c r="AB166" s="23" t="s">
        <v>167</v>
      </c>
      <c r="AC166" s="30">
        <v>615999.0</v>
      </c>
      <c r="AD166" s="31">
        <v>0.025</v>
      </c>
      <c r="AE166" s="32">
        <f t="shared" si="61"/>
        <v>15399.975</v>
      </c>
      <c r="AF166" s="33">
        <v>595.0</v>
      </c>
      <c r="AG166" s="34">
        <v>500.0</v>
      </c>
      <c r="AH166" s="34" t="s">
        <v>1206</v>
      </c>
      <c r="AI166" s="34">
        <v>1350.0</v>
      </c>
      <c r="AJ166" s="34">
        <v>0.0</v>
      </c>
      <c r="AK166" s="34">
        <v>0.0</v>
      </c>
      <c r="AL166" s="36">
        <v>0.0</v>
      </c>
      <c r="AM166" s="37" t="s">
        <v>212</v>
      </c>
      <c r="AN166" s="38">
        <f t="shared" si="56"/>
        <v>16749.975</v>
      </c>
      <c r="AO166" s="39">
        <f t="shared" ref="AO166:AO169" si="62">if(AM166="Buyer",-sum((-AE166+AK166+AJ166)*50%),if(AM166="Seller",-sum((-AE166+AK166+AJ166)*50%),-sum(((-AE166+AK166+AJ166)*((100-right(AM166,2))/100)))))+if(AF166&lt;&gt;595,595, sum(AF166))</f>
        <v>3674.995</v>
      </c>
      <c r="AP166" s="40">
        <f t="shared" ref="AP166:AP174" si="63">sum(AN166-AO166)+-sum(AG166:AH166)</f>
        <v>12574.98</v>
      </c>
      <c r="AQ166" s="14"/>
      <c r="AR166" s="41"/>
      <c r="AS166" s="14"/>
      <c r="AT166" s="23" t="s">
        <v>570</v>
      </c>
      <c r="AU166" s="42"/>
      <c r="AV166" s="23" t="s">
        <v>1764</v>
      </c>
      <c r="AW166" s="23" t="s">
        <v>572</v>
      </c>
      <c r="AX166" s="112"/>
      <c r="AY166" s="202">
        <v>46162.0</v>
      </c>
      <c r="AZ166" s="42"/>
    </row>
    <row r="167">
      <c r="A167" s="158" t="s">
        <v>46</v>
      </c>
      <c r="B167" s="158" t="s">
        <v>84</v>
      </c>
      <c r="C167" s="117" t="s">
        <v>1765</v>
      </c>
      <c r="D167" s="158" t="s">
        <v>1766</v>
      </c>
      <c r="E167" s="158">
        <v>92548.0</v>
      </c>
      <c r="F167" s="158" t="s">
        <v>50</v>
      </c>
      <c r="G167" s="158" t="s">
        <v>399</v>
      </c>
      <c r="H167" s="158" t="s">
        <v>73</v>
      </c>
      <c r="I167" s="158" t="s">
        <v>53</v>
      </c>
      <c r="J167" s="158" t="s">
        <v>103</v>
      </c>
      <c r="K167" s="225" t="s">
        <v>1767</v>
      </c>
      <c r="L167" s="204" t="s">
        <v>1768</v>
      </c>
      <c r="M167" s="204" t="s">
        <v>1769</v>
      </c>
      <c r="N167" s="226" t="s">
        <v>92</v>
      </c>
      <c r="O167" s="163" t="s">
        <v>143</v>
      </c>
      <c r="P167" s="158" t="s">
        <v>93</v>
      </c>
      <c r="Q167" s="158" t="s">
        <v>132</v>
      </c>
      <c r="R167" s="158" t="s">
        <v>94</v>
      </c>
      <c r="S167" s="163" t="s">
        <v>680</v>
      </c>
      <c r="T167" s="163" t="s">
        <v>680</v>
      </c>
      <c r="U167" s="164" t="s">
        <v>64</v>
      </c>
      <c r="V167" s="164">
        <v>46069.0</v>
      </c>
      <c r="W167" s="164">
        <v>46080.0</v>
      </c>
      <c r="X167" s="164">
        <v>46150.0</v>
      </c>
      <c r="Y167" s="170" t="s">
        <v>109</v>
      </c>
      <c r="Z167" s="166"/>
      <c r="AA167" s="167" t="s">
        <v>124</v>
      </c>
      <c r="AB167" s="158" t="s">
        <v>167</v>
      </c>
      <c r="AC167" s="30">
        <v>140000.0</v>
      </c>
      <c r="AD167" s="51">
        <v>0.02</v>
      </c>
      <c r="AE167" s="32">
        <f t="shared" si="61"/>
        <v>2800</v>
      </c>
      <c r="AF167" s="168">
        <v>595.0</v>
      </c>
      <c r="AG167" s="38">
        <v>500.0</v>
      </c>
      <c r="AH167" s="38">
        <v>250.0</v>
      </c>
      <c r="AI167" s="38">
        <v>1345.0</v>
      </c>
      <c r="AJ167" s="38">
        <v>0.0</v>
      </c>
      <c r="AK167" s="38">
        <v>0.0</v>
      </c>
      <c r="AL167" s="38">
        <v>0.0</v>
      </c>
      <c r="AM167" s="116" t="s">
        <v>212</v>
      </c>
      <c r="AN167" s="38">
        <f t="shared" si="56"/>
        <v>4145</v>
      </c>
      <c r="AO167" s="38">
        <f t="shared" si="62"/>
        <v>1155</v>
      </c>
      <c r="AP167" s="40">
        <f t="shared" si="63"/>
        <v>2240</v>
      </c>
      <c r="AQ167" s="169"/>
      <c r="AR167" s="227" t="s">
        <v>1770</v>
      </c>
      <c r="AS167" s="169"/>
      <c r="AT167" s="23" t="s">
        <v>570</v>
      </c>
      <c r="AU167" s="145"/>
      <c r="AV167" s="23" t="s">
        <v>1764</v>
      </c>
      <c r="AW167" s="23" t="s">
        <v>572</v>
      </c>
      <c r="AX167" s="112"/>
      <c r="AY167" s="202">
        <v>46162.0</v>
      </c>
      <c r="AZ167" s="145"/>
    </row>
    <row r="168">
      <c r="A168" s="158" t="s">
        <v>46</v>
      </c>
      <c r="B168" s="158" t="s">
        <v>47</v>
      </c>
      <c r="C168" s="117" t="s">
        <v>1765</v>
      </c>
      <c r="D168" s="158" t="s">
        <v>1766</v>
      </c>
      <c r="E168" s="158">
        <v>92548.0</v>
      </c>
      <c r="F168" s="158" t="s">
        <v>50</v>
      </c>
      <c r="G168" s="158" t="s">
        <v>399</v>
      </c>
      <c r="H168" s="158" t="s">
        <v>73</v>
      </c>
      <c r="I168" s="158" t="s">
        <v>53</v>
      </c>
      <c r="J168" s="158" t="s">
        <v>103</v>
      </c>
      <c r="K168" s="160" t="s">
        <v>1771</v>
      </c>
      <c r="L168" s="161" t="s">
        <v>1772</v>
      </c>
      <c r="M168" s="161" t="s">
        <v>1773</v>
      </c>
      <c r="N168" s="226" t="s">
        <v>92</v>
      </c>
      <c r="O168" s="163" t="s">
        <v>143</v>
      </c>
      <c r="P168" s="158" t="s">
        <v>93</v>
      </c>
      <c r="Q168" s="158" t="s">
        <v>132</v>
      </c>
      <c r="R168" s="158" t="s">
        <v>94</v>
      </c>
      <c r="S168" s="163" t="s">
        <v>680</v>
      </c>
      <c r="T168" s="163" t="s">
        <v>680</v>
      </c>
      <c r="U168" s="164" t="s">
        <v>64</v>
      </c>
      <c r="V168" s="164">
        <v>46069.0</v>
      </c>
      <c r="W168" s="164">
        <v>46080.0</v>
      </c>
      <c r="X168" s="164">
        <v>46150.0</v>
      </c>
      <c r="Y168" s="170" t="s">
        <v>109</v>
      </c>
      <c r="Z168" s="166"/>
      <c r="AA168" s="167" t="s">
        <v>124</v>
      </c>
      <c r="AB168" s="158" t="s">
        <v>167</v>
      </c>
      <c r="AC168" s="30">
        <v>140000.0</v>
      </c>
      <c r="AD168" s="51">
        <v>0.02</v>
      </c>
      <c r="AE168" s="32">
        <f t="shared" si="61"/>
        <v>2800</v>
      </c>
      <c r="AF168" s="168">
        <v>595.0</v>
      </c>
      <c r="AG168" s="38">
        <v>200.0</v>
      </c>
      <c r="AH168" s="38">
        <v>0.0</v>
      </c>
      <c r="AI168" s="38">
        <v>0.0</v>
      </c>
      <c r="AJ168" s="38">
        <v>0.0</v>
      </c>
      <c r="AK168" s="38">
        <v>0.0</v>
      </c>
      <c r="AL168" s="38">
        <v>0.0</v>
      </c>
      <c r="AM168" s="116" t="s">
        <v>212</v>
      </c>
      <c r="AN168" s="38">
        <f t="shared" si="56"/>
        <v>2800</v>
      </c>
      <c r="AO168" s="38">
        <f t="shared" si="62"/>
        <v>1155</v>
      </c>
      <c r="AP168" s="40">
        <f t="shared" si="63"/>
        <v>1445</v>
      </c>
      <c r="AQ168" s="169"/>
      <c r="AR168" s="227" t="s">
        <v>1770</v>
      </c>
      <c r="AS168" s="169"/>
      <c r="AT168" s="23" t="s">
        <v>570</v>
      </c>
      <c r="AU168" s="145"/>
      <c r="AV168" s="23" t="s">
        <v>1764</v>
      </c>
      <c r="AW168" s="23" t="s">
        <v>572</v>
      </c>
      <c r="AX168" s="112"/>
      <c r="AY168" s="202">
        <v>46162.0</v>
      </c>
      <c r="AZ168" s="145"/>
    </row>
    <row r="169">
      <c r="A169" s="23" t="s">
        <v>46</v>
      </c>
      <c r="B169" s="23" t="s">
        <v>47</v>
      </c>
      <c r="C169" s="106" t="s">
        <v>1774</v>
      </c>
      <c r="D169" s="23" t="s">
        <v>71</v>
      </c>
      <c r="E169" s="23">
        <v>92345.0</v>
      </c>
      <c r="F169" s="23" t="s">
        <v>50</v>
      </c>
      <c r="G169" s="23" t="s">
        <v>633</v>
      </c>
      <c r="H169" s="23" t="s">
        <v>172</v>
      </c>
      <c r="I169" s="23" t="s">
        <v>215</v>
      </c>
      <c r="J169" s="23" t="s">
        <v>103</v>
      </c>
      <c r="K169" s="25" t="s">
        <v>1775</v>
      </c>
      <c r="L169" s="26" t="s">
        <v>1776</v>
      </c>
      <c r="M169" s="27" t="s">
        <v>1777</v>
      </c>
      <c r="N169" s="27" t="s">
        <v>1778</v>
      </c>
      <c r="O169" s="23" t="s">
        <v>436</v>
      </c>
      <c r="P169" s="23" t="s">
        <v>60</v>
      </c>
      <c r="Q169" s="23" t="s">
        <v>1553</v>
      </c>
      <c r="R169" s="23" t="s">
        <v>602</v>
      </c>
      <c r="S169" s="23" t="s">
        <v>1779</v>
      </c>
      <c r="T169" s="23" t="s">
        <v>1780</v>
      </c>
      <c r="U169" s="23" t="s">
        <v>64</v>
      </c>
      <c r="V169" s="28">
        <v>46052.0</v>
      </c>
      <c r="W169" s="28">
        <v>46097.0</v>
      </c>
      <c r="X169" s="28">
        <v>46150.0</v>
      </c>
      <c r="Y169" s="23" t="s">
        <v>109</v>
      </c>
      <c r="Z169" s="29"/>
      <c r="AA169" s="24" t="s">
        <v>124</v>
      </c>
      <c r="AB169" s="37" t="s">
        <v>1781</v>
      </c>
      <c r="AC169" s="30">
        <v>85000.0</v>
      </c>
      <c r="AD169" s="31">
        <v>0.03</v>
      </c>
      <c r="AE169" s="32">
        <f t="shared" si="61"/>
        <v>2550</v>
      </c>
      <c r="AF169" s="33">
        <v>595.0</v>
      </c>
      <c r="AG169" s="34">
        <v>500.0</v>
      </c>
      <c r="AH169" s="34">
        <v>0.0</v>
      </c>
      <c r="AI169" s="147">
        <v>1095.0</v>
      </c>
      <c r="AJ169" s="34">
        <v>0.0</v>
      </c>
      <c r="AK169" s="34">
        <v>0.0</v>
      </c>
      <c r="AL169" s="36">
        <v>0.0</v>
      </c>
      <c r="AM169" s="37" t="s">
        <v>47</v>
      </c>
      <c r="AN169" s="38">
        <f t="shared" si="56"/>
        <v>3645</v>
      </c>
      <c r="AO169" s="39">
        <f t="shared" si="62"/>
        <v>1870</v>
      </c>
      <c r="AP169" s="40">
        <f t="shared" si="63"/>
        <v>1275</v>
      </c>
      <c r="AQ169" s="14"/>
      <c r="AR169" s="41"/>
      <c r="AS169" s="14"/>
      <c r="AT169" s="23" t="s">
        <v>570</v>
      </c>
      <c r="AU169" s="42"/>
      <c r="AV169" s="23" t="s">
        <v>1764</v>
      </c>
      <c r="AW169" s="23" t="s">
        <v>572</v>
      </c>
      <c r="AX169" s="112"/>
      <c r="AY169" s="202">
        <v>46162.0</v>
      </c>
      <c r="AZ169" s="42"/>
    </row>
    <row r="170">
      <c r="A170" s="37" t="s">
        <v>46</v>
      </c>
      <c r="B170" s="23" t="s">
        <v>84</v>
      </c>
      <c r="C170" s="106" t="s">
        <v>1782</v>
      </c>
      <c r="D170" s="37" t="s">
        <v>100</v>
      </c>
      <c r="E170" s="37">
        <v>92394.0</v>
      </c>
      <c r="F170" s="37" t="s">
        <v>101</v>
      </c>
      <c r="G170" s="37" t="s">
        <v>139</v>
      </c>
      <c r="H170" s="57" t="s">
        <v>73</v>
      </c>
      <c r="I170" s="23" t="s">
        <v>371</v>
      </c>
      <c r="J170" s="37" t="s">
        <v>103</v>
      </c>
      <c r="K170" s="56" t="s">
        <v>1783</v>
      </c>
      <c r="L170" s="228" t="s">
        <v>1784</v>
      </c>
      <c r="M170" s="49" t="s">
        <v>1785</v>
      </c>
      <c r="N170" s="142"/>
      <c r="O170" s="37"/>
      <c r="P170" s="37"/>
      <c r="Q170" s="37"/>
      <c r="R170" s="37"/>
      <c r="S170" s="37" t="s">
        <v>680</v>
      </c>
      <c r="T170" s="37" t="s">
        <v>680</v>
      </c>
      <c r="U170" s="60"/>
      <c r="V170" s="60">
        <v>46139.0</v>
      </c>
      <c r="W170" s="60">
        <v>46161.0</v>
      </c>
      <c r="X170" s="60">
        <v>46150.0</v>
      </c>
      <c r="Y170" s="23" t="s">
        <v>109</v>
      </c>
      <c r="Z170" s="29"/>
      <c r="AA170" s="54" t="s">
        <v>106</v>
      </c>
      <c r="AB170" s="37" t="s">
        <v>110</v>
      </c>
      <c r="AC170" s="30">
        <v>417800.0</v>
      </c>
      <c r="AD170" s="31">
        <v>0.01</v>
      </c>
      <c r="AE170" s="32">
        <f t="shared" si="61"/>
        <v>4178</v>
      </c>
      <c r="AF170" s="33" t="s">
        <v>93</v>
      </c>
      <c r="AG170" s="34" t="s">
        <v>53</v>
      </c>
      <c r="AH170" s="34" t="s">
        <v>82</v>
      </c>
      <c r="AI170" s="34">
        <v>0.0</v>
      </c>
      <c r="AJ170" s="34">
        <v>0.0</v>
      </c>
      <c r="AK170" s="34">
        <v>0.0</v>
      </c>
      <c r="AL170" s="36">
        <v>0.0</v>
      </c>
      <c r="AM170" s="37" t="s">
        <v>84</v>
      </c>
      <c r="AN170" s="38">
        <f>if(AF170=595, SUM(AE170+AI170-AK170-AJ170),sum(AE170-AJ170-AK170))</f>
        <v>4178</v>
      </c>
      <c r="AO170" s="39">
        <f>if(AM170="Buyer",-sum((-AE170+AK170+AJ170)*50%),if(AM170="Seller",-sum((-AE170+AK170+AJ170)*50%),-sum(((-AE170+AK170+AJ170)*((100-right(AM170,2))/100)))))+if(AF170&lt;&gt;595,0, sum(AF170))</f>
        <v>2089</v>
      </c>
      <c r="AP170" s="40">
        <f t="shared" si="63"/>
        <v>2089</v>
      </c>
      <c r="AQ170" s="111"/>
      <c r="AR170" s="37"/>
      <c r="AS170" s="14"/>
      <c r="AT170" s="37" t="s">
        <v>570</v>
      </c>
      <c r="AU170" s="42"/>
      <c r="AV170" s="23" t="s">
        <v>1786</v>
      </c>
      <c r="AW170" s="23" t="s">
        <v>114</v>
      </c>
      <c r="AX170" s="37"/>
      <c r="AY170" s="203">
        <v>46176.0</v>
      </c>
      <c r="AZ170" s="42"/>
    </row>
    <row r="171">
      <c r="A171" s="23" t="s">
        <v>46</v>
      </c>
      <c r="B171" s="23" t="s">
        <v>84</v>
      </c>
      <c r="C171" s="106" t="s">
        <v>1787</v>
      </c>
      <c r="D171" s="23" t="s">
        <v>71</v>
      </c>
      <c r="E171" s="23">
        <v>92545.0</v>
      </c>
      <c r="F171" s="23" t="s">
        <v>50</v>
      </c>
      <c r="G171" s="23" t="s">
        <v>646</v>
      </c>
      <c r="H171" s="23" t="s">
        <v>73</v>
      </c>
      <c r="I171" s="23" t="s">
        <v>53</v>
      </c>
      <c r="J171" s="23" t="s">
        <v>54</v>
      </c>
      <c r="K171" s="25" t="s">
        <v>1788</v>
      </c>
      <c r="L171" s="26" t="s">
        <v>1789</v>
      </c>
      <c r="M171" s="26" t="s">
        <v>1790</v>
      </c>
      <c r="N171" s="27" t="s">
        <v>92</v>
      </c>
      <c r="O171" s="23" t="s">
        <v>1791</v>
      </c>
      <c r="P171" s="23" t="s">
        <v>60</v>
      </c>
      <c r="Q171" s="23" t="s">
        <v>132</v>
      </c>
      <c r="R171" s="23" t="s">
        <v>94</v>
      </c>
      <c r="S171" s="23" t="s">
        <v>1792</v>
      </c>
      <c r="T171" s="23" t="s">
        <v>1793</v>
      </c>
      <c r="U171" s="23" t="s">
        <v>109</v>
      </c>
      <c r="V171" s="28">
        <v>46132.0</v>
      </c>
      <c r="W171" s="28">
        <v>46146.0</v>
      </c>
      <c r="X171" s="28">
        <v>46150.0</v>
      </c>
      <c r="Y171" s="28"/>
      <c r="Z171" s="29"/>
      <c r="AA171" s="24" t="s">
        <v>65</v>
      </c>
      <c r="AB171" s="23" t="s">
        <v>66</v>
      </c>
      <c r="AC171" s="30">
        <v>320000.0</v>
      </c>
      <c r="AD171" s="31">
        <v>0.045</v>
      </c>
      <c r="AE171" s="32">
        <f t="shared" si="61"/>
        <v>14400</v>
      </c>
      <c r="AF171" s="33">
        <v>595.0</v>
      </c>
      <c r="AG171" s="224" t="s">
        <v>111</v>
      </c>
      <c r="AH171" s="34" t="s">
        <v>82</v>
      </c>
      <c r="AI171" s="34">
        <v>1350.0</v>
      </c>
      <c r="AJ171" s="34">
        <v>0.0</v>
      </c>
      <c r="AK171" s="34">
        <f>AE171*0.4</f>
        <v>5760</v>
      </c>
      <c r="AL171" s="36">
        <v>0.0</v>
      </c>
      <c r="AM171" s="37" t="s">
        <v>84</v>
      </c>
      <c r="AN171" s="38">
        <f t="shared" ref="AN171:AN174" si="64">if(AF171=595, SUM(AE171+AI171-AK171-AJ171),sum(AE171-AJ171-AK171,595))</f>
        <v>9990</v>
      </c>
      <c r="AO171" s="39">
        <f t="shared" ref="AO171:AO174" si="65">if(AM171="Buyer",-sum((-AE171+AK171+AJ171)*50%),if(AM171="Seller",-sum((-AE171+AK171+AJ171)*50%),-sum(((-AE171+AK171+AJ171)*((100-right(AM171,2))/100)))))+if(AF171&lt;&gt;595,595, sum(AF171))</f>
        <v>4915</v>
      </c>
      <c r="AP171" s="40">
        <f t="shared" si="63"/>
        <v>5075</v>
      </c>
      <c r="AQ171" s="14"/>
      <c r="AR171" s="41"/>
      <c r="AS171" s="14"/>
      <c r="AT171" s="23" t="s">
        <v>570</v>
      </c>
      <c r="AU171" s="42"/>
      <c r="AV171" s="23" t="s">
        <v>1757</v>
      </c>
      <c r="AW171" s="23" t="s">
        <v>572</v>
      </c>
      <c r="AX171" s="112"/>
      <c r="AY171" s="203">
        <v>46150.0</v>
      </c>
      <c r="AZ171" s="42"/>
    </row>
    <row r="172">
      <c r="A172" s="199" t="s">
        <v>46</v>
      </c>
      <c r="B172" s="199" t="s">
        <v>84</v>
      </c>
      <c r="C172" s="143" t="s">
        <v>1794</v>
      </c>
      <c r="D172" s="199" t="s">
        <v>1731</v>
      </c>
      <c r="E172" s="199">
        <v>92234.0</v>
      </c>
      <c r="F172" s="199" t="s">
        <v>50</v>
      </c>
      <c r="G172" s="199" t="s">
        <v>944</v>
      </c>
      <c r="H172" s="199" t="s">
        <v>172</v>
      </c>
      <c r="I172" s="199" t="s">
        <v>53</v>
      </c>
      <c r="J172" s="199" t="s">
        <v>185</v>
      </c>
      <c r="K172" s="229" t="s">
        <v>1795</v>
      </c>
      <c r="L172" s="123" t="s">
        <v>1796</v>
      </c>
      <c r="M172" s="123" t="s">
        <v>1734</v>
      </c>
      <c r="N172" s="209" t="s">
        <v>92</v>
      </c>
      <c r="O172" s="210" t="s">
        <v>143</v>
      </c>
      <c r="P172" s="199" t="s">
        <v>60</v>
      </c>
      <c r="Q172" s="199" t="s">
        <v>132</v>
      </c>
      <c r="R172" s="199" t="s">
        <v>1797</v>
      </c>
      <c r="S172" s="199" t="s">
        <v>53</v>
      </c>
      <c r="T172" s="199" t="s">
        <v>53</v>
      </c>
      <c r="U172" s="199" t="s">
        <v>109</v>
      </c>
      <c r="V172" s="211">
        <v>46138.0</v>
      </c>
      <c r="W172" s="211">
        <v>46150.0</v>
      </c>
      <c r="X172" s="211">
        <v>46150.0</v>
      </c>
      <c r="Y172" s="199" t="s">
        <v>109</v>
      </c>
      <c r="Z172" s="212"/>
      <c r="AA172" s="213" t="s">
        <v>124</v>
      </c>
      <c r="AB172" s="199" t="s">
        <v>167</v>
      </c>
      <c r="AC172" s="119">
        <v>52000.0</v>
      </c>
      <c r="AD172" s="230">
        <v>0.0</v>
      </c>
      <c r="AE172" s="231">
        <v>5100.0</v>
      </c>
      <c r="AF172" s="216">
        <v>595.0</v>
      </c>
      <c r="AG172" s="217">
        <v>0.0</v>
      </c>
      <c r="AH172" s="217">
        <v>0.0</v>
      </c>
      <c r="AI172" s="217">
        <v>595.0</v>
      </c>
      <c r="AJ172" s="217">
        <v>0.0</v>
      </c>
      <c r="AK172" s="217">
        <v>0.0</v>
      </c>
      <c r="AL172" s="110">
        <v>0.0</v>
      </c>
      <c r="AM172" s="130" t="s">
        <v>202</v>
      </c>
      <c r="AN172" s="35">
        <f t="shared" si="64"/>
        <v>5695</v>
      </c>
      <c r="AO172" s="39">
        <f t="shared" si="65"/>
        <v>2125</v>
      </c>
      <c r="AP172" s="218">
        <f t="shared" si="63"/>
        <v>3570</v>
      </c>
      <c r="AQ172" s="219"/>
      <c r="AR172" s="220"/>
      <c r="AS172" s="219"/>
      <c r="AT172" s="199" t="s">
        <v>570</v>
      </c>
      <c r="AU172" s="221"/>
      <c r="AV172" s="199" t="s">
        <v>1764</v>
      </c>
      <c r="AW172" s="199" t="s">
        <v>572</v>
      </c>
      <c r="AX172" s="222"/>
      <c r="AY172" s="223">
        <v>46150.0</v>
      </c>
      <c r="AZ172" s="221"/>
    </row>
    <row r="173">
      <c r="A173" s="23" t="s">
        <v>46</v>
      </c>
      <c r="B173" s="23" t="s">
        <v>47</v>
      </c>
      <c r="C173" s="106" t="s">
        <v>1794</v>
      </c>
      <c r="D173" s="23" t="s">
        <v>1731</v>
      </c>
      <c r="E173" s="23">
        <v>92234.0</v>
      </c>
      <c r="F173" s="23" t="s">
        <v>50</v>
      </c>
      <c r="G173" s="23" t="s">
        <v>944</v>
      </c>
      <c r="H173" s="23" t="s">
        <v>172</v>
      </c>
      <c r="I173" s="23" t="s">
        <v>53</v>
      </c>
      <c r="J173" s="23" t="s">
        <v>185</v>
      </c>
      <c r="K173" s="25" t="s">
        <v>1798</v>
      </c>
      <c r="L173" s="26" t="s">
        <v>1799</v>
      </c>
      <c r="M173" s="26" t="s">
        <v>1800</v>
      </c>
      <c r="N173" s="27" t="s">
        <v>92</v>
      </c>
      <c r="O173" s="47" t="s">
        <v>143</v>
      </c>
      <c r="P173" s="23" t="s">
        <v>60</v>
      </c>
      <c r="Q173" s="23" t="s">
        <v>132</v>
      </c>
      <c r="R173" s="23" t="s">
        <v>1797</v>
      </c>
      <c r="S173" s="23" t="s">
        <v>53</v>
      </c>
      <c r="T173" s="23" t="s">
        <v>53</v>
      </c>
      <c r="U173" s="23" t="s">
        <v>109</v>
      </c>
      <c r="V173" s="28">
        <v>46138.0</v>
      </c>
      <c r="W173" s="28">
        <v>46150.0</v>
      </c>
      <c r="X173" s="28">
        <v>46150.0</v>
      </c>
      <c r="Y173" s="23" t="s">
        <v>109</v>
      </c>
      <c r="Z173" s="29"/>
      <c r="AA173" s="24" t="s">
        <v>124</v>
      </c>
      <c r="AB173" s="23" t="s">
        <v>167</v>
      </c>
      <c r="AC173" s="30">
        <v>52000.0</v>
      </c>
      <c r="AD173" s="51">
        <v>0.0</v>
      </c>
      <c r="AE173" s="62">
        <v>3000.0</v>
      </c>
      <c r="AF173" s="33">
        <v>595.0</v>
      </c>
      <c r="AG173" s="34">
        <v>0.0</v>
      </c>
      <c r="AH173" s="34">
        <v>0.0</v>
      </c>
      <c r="AI173" s="34">
        <v>595.0</v>
      </c>
      <c r="AJ173" s="34">
        <v>0.0</v>
      </c>
      <c r="AK173" s="34">
        <v>0.0</v>
      </c>
      <c r="AL173" s="36">
        <v>0.0</v>
      </c>
      <c r="AM173" s="37" t="s">
        <v>202</v>
      </c>
      <c r="AN173" s="38">
        <f t="shared" si="64"/>
        <v>3595</v>
      </c>
      <c r="AO173" s="39">
        <f t="shared" si="65"/>
        <v>1495</v>
      </c>
      <c r="AP173" s="40">
        <f t="shared" si="63"/>
        <v>2100</v>
      </c>
      <c r="AQ173" s="14"/>
      <c r="AR173" s="41"/>
      <c r="AS173" s="14"/>
      <c r="AT173" s="23" t="s">
        <v>570</v>
      </c>
      <c r="AU173" s="42"/>
      <c r="AV173" s="23" t="s">
        <v>1764</v>
      </c>
      <c r="AW173" s="23" t="s">
        <v>572</v>
      </c>
      <c r="AX173" s="112"/>
      <c r="AY173" s="202">
        <v>46162.0</v>
      </c>
      <c r="AZ173" s="42"/>
    </row>
    <row r="174">
      <c r="A174" s="23" t="s">
        <v>46</v>
      </c>
      <c r="B174" s="23" t="s">
        <v>47</v>
      </c>
      <c r="C174" s="106" t="s">
        <v>1801</v>
      </c>
      <c r="D174" s="23" t="s">
        <v>398</v>
      </c>
      <c r="E174" s="23">
        <v>92595.0</v>
      </c>
      <c r="F174" s="23" t="s">
        <v>50</v>
      </c>
      <c r="G174" s="23" t="s">
        <v>646</v>
      </c>
      <c r="H174" s="23" t="s">
        <v>73</v>
      </c>
      <c r="I174" s="23" t="s">
        <v>53</v>
      </c>
      <c r="J174" s="23" t="s">
        <v>54</v>
      </c>
      <c r="K174" s="25" t="s">
        <v>1802</v>
      </c>
      <c r="L174" s="26" t="s">
        <v>1803</v>
      </c>
      <c r="M174" s="26" t="s">
        <v>1804</v>
      </c>
      <c r="N174" s="27" t="s">
        <v>546</v>
      </c>
      <c r="O174" s="23" t="s">
        <v>1805</v>
      </c>
      <c r="P174" s="23" t="s">
        <v>60</v>
      </c>
      <c r="Q174" s="23" t="s">
        <v>61</v>
      </c>
      <c r="R174" s="23" t="s">
        <v>178</v>
      </c>
      <c r="S174" s="23" t="s">
        <v>1806</v>
      </c>
      <c r="T174" s="23" t="s">
        <v>1807</v>
      </c>
      <c r="U174" s="23" t="s">
        <v>109</v>
      </c>
      <c r="V174" s="28">
        <v>46132.0</v>
      </c>
      <c r="W174" s="28">
        <v>46153.0</v>
      </c>
      <c r="X174" s="28">
        <v>46153.0</v>
      </c>
      <c r="Y174" s="23" t="s">
        <v>109</v>
      </c>
      <c r="Z174" s="29"/>
      <c r="AA174" s="24" t="s">
        <v>65</v>
      </c>
      <c r="AB174" s="23" t="s">
        <v>201</v>
      </c>
      <c r="AC174" s="30">
        <v>605000.0</v>
      </c>
      <c r="AD174" s="31">
        <v>0.025</v>
      </c>
      <c r="AE174" s="32">
        <f t="shared" ref="AE174:AE203" si="66">SUM(AC174*AD174)</f>
        <v>15125</v>
      </c>
      <c r="AF174" s="33">
        <v>595.0</v>
      </c>
      <c r="AG174" s="34" t="s">
        <v>111</v>
      </c>
      <c r="AH174" s="34" t="s">
        <v>82</v>
      </c>
      <c r="AI174" s="34">
        <v>695.0</v>
      </c>
      <c r="AJ174" s="34">
        <v>0.0</v>
      </c>
      <c r="AK174" s="34">
        <f>AE174*0.25</f>
        <v>3781.25</v>
      </c>
      <c r="AL174" s="36">
        <v>0.0</v>
      </c>
      <c r="AM174" s="37" t="s">
        <v>212</v>
      </c>
      <c r="AN174" s="38">
        <f t="shared" si="64"/>
        <v>12038.75</v>
      </c>
      <c r="AO174" s="39">
        <f t="shared" si="65"/>
        <v>2863.75</v>
      </c>
      <c r="AP174" s="40">
        <f t="shared" si="63"/>
        <v>9175</v>
      </c>
      <c r="AQ174" s="14"/>
      <c r="AR174" s="41"/>
      <c r="AS174" s="14"/>
      <c r="AT174" s="23" t="s">
        <v>570</v>
      </c>
      <c r="AU174" s="42"/>
      <c r="AV174" s="23" t="s">
        <v>1764</v>
      </c>
      <c r="AW174" s="23" t="s">
        <v>572</v>
      </c>
      <c r="AX174" s="112"/>
      <c r="AY174" s="202">
        <v>46162.0</v>
      </c>
      <c r="AZ174" s="42"/>
    </row>
    <row r="175">
      <c r="A175" s="23" t="s">
        <v>46</v>
      </c>
      <c r="B175" s="23" t="s">
        <v>47</v>
      </c>
      <c r="C175" s="106" t="s">
        <v>1808</v>
      </c>
      <c r="D175" s="23" t="s">
        <v>148</v>
      </c>
      <c r="E175" s="23">
        <v>92883.0</v>
      </c>
      <c r="F175" s="23" t="s">
        <v>50</v>
      </c>
      <c r="G175" s="23" t="s">
        <v>1809</v>
      </c>
      <c r="H175" s="23" t="s">
        <v>52</v>
      </c>
      <c r="I175" s="23" t="s">
        <v>53</v>
      </c>
      <c r="J175" s="23" t="s">
        <v>54</v>
      </c>
      <c r="K175" s="25" t="s">
        <v>1810</v>
      </c>
      <c r="L175" s="26" t="s">
        <v>1811</v>
      </c>
      <c r="M175" s="26" t="s">
        <v>1812</v>
      </c>
      <c r="N175" s="27" t="s">
        <v>546</v>
      </c>
      <c r="O175" s="23" t="s">
        <v>1813</v>
      </c>
      <c r="P175" s="23" t="s">
        <v>664</v>
      </c>
      <c r="Q175" s="23" t="s">
        <v>61</v>
      </c>
      <c r="R175" s="23" t="s">
        <v>94</v>
      </c>
      <c r="S175" s="23" t="s">
        <v>1814</v>
      </c>
      <c r="T175" s="23" t="s">
        <v>1815</v>
      </c>
      <c r="U175" s="23" t="s">
        <v>109</v>
      </c>
      <c r="V175" s="28">
        <v>46121.0</v>
      </c>
      <c r="W175" s="28">
        <v>46154.0</v>
      </c>
      <c r="X175" s="28">
        <v>46154.0</v>
      </c>
      <c r="Y175" s="23" t="s">
        <v>109</v>
      </c>
      <c r="Z175" s="29"/>
      <c r="AA175" s="24" t="s">
        <v>65</v>
      </c>
      <c r="AB175" s="23" t="s">
        <v>1061</v>
      </c>
      <c r="AC175" s="30">
        <v>1135000.0</v>
      </c>
      <c r="AD175" s="31">
        <v>0.03</v>
      </c>
      <c r="AE175" s="32">
        <f t="shared" si="66"/>
        <v>34050</v>
      </c>
      <c r="AF175" s="33">
        <v>595.0</v>
      </c>
      <c r="AG175" s="34">
        <v>500.0</v>
      </c>
      <c r="AH175" s="34" t="s">
        <v>82</v>
      </c>
      <c r="AI175" s="34">
        <v>0.0</v>
      </c>
      <c r="AJ175" s="34">
        <v>985.0</v>
      </c>
      <c r="AK175" s="34">
        <v>0.0</v>
      </c>
      <c r="AL175" s="36">
        <v>0.0</v>
      </c>
      <c r="AM175" s="37" t="s">
        <v>552</v>
      </c>
      <c r="AN175" s="38">
        <f>if(AF175=595, SUM(AE175+AI175-AK175),sum(AE175-AJ175-AK175,595))</f>
        <v>34050</v>
      </c>
      <c r="AO175" s="39">
        <f>if(AM175="Buyer",-sum((-AE175+AK175)*50%),if(AM175="Seller",-sum((-AE175+AK175+AJ175)*50%),-sum(((-AE175+AK175)*((100-right(AM175,2))/100)))))+if(AF175&lt;&gt;595,595, sum(AF175))</f>
        <v>5702.5</v>
      </c>
      <c r="AP175" s="40">
        <f>sum(AN175-AO175)+-sum(AG175:AH175,AJ175)</f>
        <v>26862.5</v>
      </c>
      <c r="AQ175" s="14"/>
      <c r="AR175" s="41"/>
      <c r="AS175" s="14"/>
      <c r="AT175" s="23" t="s">
        <v>570</v>
      </c>
      <c r="AU175" s="42"/>
      <c r="AV175" s="23" t="s">
        <v>1816</v>
      </c>
      <c r="AW175" s="23" t="s">
        <v>114</v>
      </c>
      <c r="AX175" s="112"/>
      <c r="AY175" s="202">
        <v>46162.0</v>
      </c>
      <c r="AZ175" s="42"/>
    </row>
    <row r="176">
      <c r="A176" s="23" t="s">
        <v>46</v>
      </c>
      <c r="B176" s="23" t="s">
        <v>84</v>
      </c>
      <c r="C176" s="106" t="s">
        <v>1817</v>
      </c>
      <c r="D176" s="23" t="s">
        <v>148</v>
      </c>
      <c r="E176" s="23">
        <v>92883.0</v>
      </c>
      <c r="F176" s="23" t="s">
        <v>50</v>
      </c>
      <c r="G176" s="23" t="s">
        <v>184</v>
      </c>
      <c r="H176" s="23" t="s">
        <v>73</v>
      </c>
      <c r="I176" s="23" t="s">
        <v>53</v>
      </c>
      <c r="J176" s="23" t="s">
        <v>185</v>
      </c>
      <c r="K176" s="25" t="s">
        <v>1818</v>
      </c>
      <c r="L176" s="26" t="s">
        <v>1819</v>
      </c>
      <c r="M176" s="26" t="s">
        <v>1820</v>
      </c>
      <c r="N176" s="27" t="s">
        <v>92</v>
      </c>
      <c r="O176" s="23"/>
      <c r="P176" s="23" t="s">
        <v>60</v>
      </c>
      <c r="Q176" s="23" t="s">
        <v>132</v>
      </c>
      <c r="R176" s="23" t="s">
        <v>94</v>
      </c>
      <c r="S176" s="23" t="s">
        <v>1821</v>
      </c>
      <c r="T176" s="23" t="s">
        <v>1822</v>
      </c>
      <c r="U176" s="23" t="s">
        <v>109</v>
      </c>
      <c r="V176" s="28">
        <v>46131.0</v>
      </c>
      <c r="W176" s="28">
        <v>46152.0</v>
      </c>
      <c r="X176" s="28">
        <v>46154.0</v>
      </c>
      <c r="Y176" s="23" t="s">
        <v>109</v>
      </c>
      <c r="Z176" s="29"/>
      <c r="AA176" s="24" t="s">
        <v>65</v>
      </c>
      <c r="AB176" s="23" t="s">
        <v>167</v>
      </c>
      <c r="AC176" s="30">
        <v>625000.0</v>
      </c>
      <c r="AD176" s="31">
        <v>0.03</v>
      </c>
      <c r="AE176" s="32">
        <f t="shared" si="66"/>
        <v>18750</v>
      </c>
      <c r="AF176" s="33">
        <v>595.0</v>
      </c>
      <c r="AG176" s="34">
        <v>0.0</v>
      </c>
      <c r="AH176" s="34" t="s">
        <v>82</v>
      </c>
      <c r="AI176" s="34">
        <v>595.0</v>
      </c>
      <c r="AJ176" s="34">
        <v>475.0</v>
      </c>
      <c r="AK176" s="34">
        <v>0.0</v>
      </c>
      <c r="AL176" s="36">
        <v>0.0</v>
      </c>
      <c r="AM176" s="37" t="s">
        <v>277</v>
      </c>
      <c r="AN176" s="38">
        <f>if(AF176=595, SUM(AE176+AI176-AK176-AJ176),sum(AE176-AJ176-AK176,695))</f>
        <v>18870</v>
      </c>
      <c r="AO176" s="39">
        <f>if(AM176="Buyer",-sum((-AE176+AK176+AJ176)*50%),if(AM176="Seller",-sum((-AE176+AK176+AJ176)*100%),-sum(((-AE176+AK176+AJ176)*((100-right(AM176,3))/100)))))+if(AF176&lt;&gt;595,695, sum(AF176))</f>
        <v>595</v>
      </c>
      <c r="AP176" s="40">
        <f t="shared" ref="AP176:AP243" si="67">sum(AN176-AO176)+-sum(AG176:AH176)</f>
        <v>18275</v>
      </c>
      <c r="AQ176" s="14"/>
      <c r="AR176" s="41"/>
      <c r="AS176" s="14"/>
      <c r="AT176" s="23" t="s">
        <v>570</v>
      </c>
      <c r="AU176" s="42"/>
      <c r="AV176" s="23" t="s">
        <v>1823</v>
      </c>
      <c r="AW176" s="23" t="s">
        <v>572</v>
      </c>
      <c r="AX176" s="112"/>
      <c r="AY176" s="202">
        <v>46162.0</v>
      </c>
      <c r="AZ176" s="42"/>
    </row>
    <row r="177">
      <c r="A177" s="23" t="s">
        <v>46</v>
      </c>
      <c r="B177" s="23" t="s">
        <v>47</v>
      </c>
      <c r="C177" s="106" t="s">
        <v>1824</v>
      </c>
      <c r="D177" s="23" t="s">
        <v>398</v>
      </c>
      <c r="E177" s="23">
        <v>92595.0</v>
      </c>
      <c r="F177" s="23" t="s">
        <v>50</v>
      </c>
      <c r="G177" s="23" t="s">
        <v>376</v>
      </c>
      <c r="H177" s="23" t="s">
        <v>52</v>
      </c>
      <c r="I177" s="23" t="s">
        <v>53</v>
      </c>
      <c r="J177" s="23" t="s">
        <v>103</v>
      </c>
      <c r="K177" s="25" t="s">
        <v>1825</v>
      </c>
      <c r="L177" s="27" t="s">
        <v>1826</v>
      </c>
      <c r="M177" s="26" t="s">
        <v>1827</v>
      </c>
      <c r="N177" s="27" t="s">
        <v>320</v>
      </c>
      <c r="O177" s="23" t="s">
        <v>482</v>
      </c>
      <c r="P177" s="23" t="s">
        <v>60</v>
      </c>
      <c r="Q177" s="23" t="s">
        <v>61</v>
      </c>
      <c r="R177" s="23" t="s">
        <v>1828</v>
      </c>
      <c r="S177" s="23" t="s">
        <v>1829</v>
      </c>
      <c r="T177" s="23" t="s">
        <v>1830</v>
      </c>
      <c r="U177" s="23" t="s">
        <v>109</v>
      </c>
      <c r="V177" s="28">
        <v>46127.0</v>
      </c>
      <c r="W177" s="28">
        <v>46157.0</v>
      </c>
      <c r="X177" s="28">
        <v>46155.0</v>
      </c>
      <c r="Y177" s="23" t="s">
        <v>109</v>
      </c>
      <c r="Z177" s="29"/>
      <c r="AA177" s="24" t="s">
        <v>65</v>
      </c>
      <c r="AB177" s="23" t="s">
        <v>167</v>
      </c>
      <c r="AC177" s="30">
        <v>635000.0</v>
      </c>
      <c r="AD177" s="31">
        <v>0.02</v>
      </c>
      <c r="AE177" s="32">
        <f t="shared" si="66"/>
        <v>12700</v>
      </c>
      <c r="AF177" s="33">
        <v>595.0</v>
      </c>
      <c r="AG177" s="34">
        <v>0.0</v>
      </c>
      <c r="AH177" s="34" t="s">
        <v>82</v>
      </c>
      <c r="AI177" s="34">
        <v>1095.0</v>
      </c>
      <c r="AJ177" s="34">
        <v>0.0</v>
      </c>
      <c r="AK177" s="34">
        <v>0.0</v>
      </c>
      <c r="AL177" s="36">
        <v>0.0</v>
      </c>
      <c r="AM177" s="37" t="s">
        <v>212</v>
      </c>
      <c r="AN177" s="38">
        <f t="shared" ref="AN177:AN197" si="68">if(AF177=595, SUM(AE177+AI177-AK177-AJ177),sum(AE177-AJ177-AK177,595))</f>
        <v>13795</v>
      </c>
      <c r="AO177" s="39">
        <f t="shared" ref="AO177:AO178" si="69">if(AM177="Buyer",-sum((-AE177+AK177+AJ177)*50%),if(AM177="Seller",-sum((-AE177+AK177+AJ177)*50%),-sum(((-AE177+AK177+AJ177)*((100-right(AM177,2))/100)))))+if(AF177&lt;&gt;595,595, sum(AF177))</f>
        <v>3135</v>
      </c>
      <c r="AP177" s="40">
        <f t="shared" si="67"/>
        <v>10660</v>
      </c>
      <c r="AQ177" s="14"/>
      <c r="AR177" s="41"/>
      <c r="AS177" s="14"/>
      <c r="AT177" s="23" t="s">
        <v>570</v>
      </c>
      <c r="AU177" s="42"/>
      <c r="AV177" s="23" t="s">
        <v>1764</v>
      </c>
      <c r="AW177" s="23" t="s">
        <v>572</v>
      </c>
      <c r="AX177" s="112"/>
      <c r="AY177" s="202">
        <v>46162.0</v>
      </c>
      <c r="AZ177" s="42"/>
    </row>
    <row r="178">
      <c r="A178" s="23" t="s">
        <v>46</v>
      </c>
      <c r="B178" s="23" t="s">
        <v>47</v>
      </c>
      <c r="C178" s="106" t="s">
        <v>1831</v>
      </c>
      <c r="D178" s="23" t="s">
        <v>316</v>
      </c>
      <c r="E178" s="23">
        <v>92563.0</v>
      </c>
      <c r="F178" s="23" t="s">
        <v>50</v>
      </c>
      <c r="G178" s="23" t="s">
        <v>226</v>
      </c>
      <c r="H178" s="23" t="s">
        <v>172</v>
      </c>
      <c r="I178" s="23" t="s">
        <v>53</v>
      </c>
      <c r="J178" s="23" t="s">
        <v>54</v>
      </c>
      <c r="K178" s="25" t="s">
        <v>1832</v>
      </c>
      <c r="L178" s="26" t="s">
        <v>1833</v>
      </c>
      <c r="M178" s="26" t="s">
        <v>1834</v>
      </c>
      <c r="N178" s="27" t="s">
        <v>1598</v>
      </c>
      <c r="O178" s="23" t="s">
        <v>59</v>
      </c>
      <c r="P178" s="23" t="s">
        <v>197</v>
      </c>
      <c r="Q178" s="23" t="s">
        <v>61</v>
      </c>
      <c r="R178" s="23" t="s">
        <v>178</v>
      </c>
      <c r="S178" s="23" t="s">
        <v>1835</v>
      </c>
      <c r="T178" s="23" t="s">
        <v>1836</v>
      </c>
      <c r="U178" s="23" t="s">
        <v>109</v>
      </c>
      <c r="V178" s="28">
        <v>46124.0</v>
      </c>
      <c r="W178" s="28">
        <v>46154.0</v>
      </c>
      <c r="X178" s="28">
        <v>46155.0</v>
      </c>
      <c r="Y178" s="23" t="s">
        <v>109</v>
      </c>
      <c r="Z178" s="29"/>
      <c r="AA178" s="24" t="s">
        <v>65</v>
      </c>
      <c r="AB178" s="23" t="s">
        <v>66</v>
      </c>
      <c r="AC178" s="30">
        <v>720000.0</v>
      </c>
      <c r="AD178" s="31">
        <v>0.025</v>
      </c>
      <c r="AE178" s="32">
        <f t="shared" si="66"/>
        <v>18000</v>
      </c>
      <c r="AF178" s="33">
        <v>595.0</v>
      </c>
      <c r="AG178" s="34" t="s">
        <v>111</v>
      </c>
      <c r="AH178" s="34" t="s">
        <v>82</v>
      </c>
      <c r="AI178" s="34">
        <v>1095.0</v>
      </c>
      <c r="AJ178" s="34">
        <v>0.0</v>
      </c>
      <c r="AK178" s="35">
        <f>sum(AE178,-AJ178)*0.4</f>
        <v>7200</v>
      </c>
      <c r="AL178" s="36">
        <v>0.0</v>
      </c>
      <c r="AM178" s="37" t="s">
        <v>47</v>
      </c>
      <c r="AN178" s="38">
        <f t="shared" si="68"/>
        <v>11895</v>
      </c>
      <c r="AO178" s="39">
        <f t="shared" si="69"/>
        <v>5995</v>
      </c>
      <c r="AP178" s="40">
        <f t="shared" si="67"/>
        <v>5900</v>
      </c>
      <c r="AQ178" s="14"/>
      <c r="AR178" s="41"/>
      <c r="AS178" s="14"/>
      <c r="AT178" s="23" t="s">
        <v>570</v>
      </c>
      <c r="AU178" s="42"/>
      <c r="AV178" s="23" t="s">
        <v>1764</v>
      </c>
      <c r="AW178" s="23" t="s">
        <v>572</v>
      </c>
      <c r="AX178" s="112"/>
      <c r="AY178" s="202">
        <v>46162.0</v>
      </c>
      <c r="AZ178" s="42"/>
    </row>
    <row r="179">
      <c r="A179" s="23" t="s">
        <v>46</v>
      </c>
      <c r="B179" s="23" t="s">
        <v>47</v>
      </c>
      <c r="C179" s="106" t="s">
        <v>1837</v>
      </c>
      <c r="D179" s="23" t="s">
        <v>389</v>
      </c>
      <c r="E179" s="23">
        <v>92081.0</v>
      </c>
      <c r="F179" s="23" t="s">
        <v>87</v>
      </c>
      <c r="G179" s="23" t="s">
        <v>540</v>
      </c>
      <c r="H179" s="23" t="s">
        <v>52</v>
      </c>
      <c r="I179" s="23" t="s">
        <v>53</v>
      </c>
      <c r="J179" s="23" t="s">
        <v>54</v>
      </c>
      <c r="K179" s="25" t="s">
        <v>1838</v>
      </c>
      <c r="L179" s="26" t="s">
        <v>1839</v>
      </c>
      <c r="M179" s="26" t="s">
        <v>1840</v>
      </c>
      <c r="N179" s="27" t="s">
        <v>825</v>
      </c>
      <c r="O179" s="23" t="s">
        <v>1841</v>
      </c>
      <c r="P179" s="23" t="s">
        <v>93</v>
      </c>
      <c r="Q179" s="23" t="s">
        <v>61</v>
      </c>
      <c r="R179" s="23" t="s">
        <v>1842</v>
      </c>
      <c r="S179" s="23" t="s">
        <v>1843</v>
      </c>
      <c r="T179" s="23" t="s">
        <v>1844</v>
      </c>
      <c r="U179" s="23" t="s">
        <v>64</v>
      </c>
      <c r="V179" s="28">
        <v>46105.0</v>
      </c>
      <c r="W179" s="28">
        <v>46126.0</v>
      </c>
      <c r="X179" s="28">
        <v>46156.0</v>
      </c>
      <c r="Y179" s="23" t="s">
        <v>109</v>
      </c>
      <c r="Z179" s="29"/>
      <c r="AA179" s="24" t="s">
        <v>65</v>
      </c>
      <c r="AB179" s="23" t="s">
        <v>66</v>
      </c>
      <c r="AC179" s="30">
        <v>615000.0</v>
      </c>
      <c r="AD179" s="31">
        <v>0.02</v>
      </c>
      <c r="AE179" s="32">
        <f t="shared" si="66"/>
        <v>12300</v>
      </c>
      <c r="AF179" s="33">
        <v>595.0</v>
      </c>
      <c r="AG179" s="34">
        <v>0.0</v>
      </c>
      <c r="AH179" s="34">
        <v>0.0</v>
      </c>
      <c r="AI179" s="34">
        <v>1095.0</v>
      </c>
      <c r="AJ179" s="34">
        <v>500.0</v>
      </c>
      <c r="AK179" s="35">
        <f>sum(AE179)*0.3</f>
        <v>3690</v>
      </c>
      <c r="AL179" s="36">
        <v>0.0</v>
      </c>
      <c r="AM179" s="37" t="s">
        <v>47</v>
      </c>
      <c r="AN179" s="38">
        <f t="shared" si="68"/>
        <v>9205</v>
      </c>
      <c r="AO179" s="39">
        <f>if(AM179="Buyer",-sum((-AE179+AK179)*50%),if(AM179="Seller",-sum((-AE179+AK179+AJ179)*50%),-sum(((-AE179+AK179+AJ179)*((100-right(AM179,2))/100)))))+if(AF179&lt;&gt;595,595, sum(AF179))</f>
        <v>4900</v>
      </c>
      <c r="AP179" s="40">
        <f t="shared" si="67"/>
        <v>4305</v>
      </c>
      <c r="AQ179" s="14"/>
      <c r="AR179" s="196" t="s">
        <v>1845</v>
      </c>
      <c r="AS179" s="14"/>
      <c r="AT179" s="23" t="s">
        <v>570</v>
      </c>
      <c r="AU179" s="42"/>
      <c r="AV179" s="23" t="s">
        <v>1846</v>
      </c>
      <c r="AW179" s="23" t="s">
        <v>572</v>
      </c>
      <c r="AX179" s="112"/>
      <c r="AY179" s="202">
        <v>46162.0</v>
      </c>
      <c r="AZ179" s="42"/>
    </row>
    <row r="180">
      <c r="A180" s="23" t="s">
        <v>46</v>
      </c>
      <c r="B180" s="23" t="s">
        <v>84</v>
      </c>
      <c r="C180" s="106" t="s">
        <v>1847</v>
      </c>
      <c r="D180" s="23" t="s">
        <v>158</v>
      </c>
      <c r="E180" s="23">
        <v>92530.0</v>
      </c>
      <c r="F180" s="23" t="s">
        <v>50</v>
      </c>
      <c r="G180" s="23" t="s">
        <v>633</v>
      </c>
      <c r="H180" s="23" t="s">
        <v>172</v>
      </c>
      <c r="I180" s="23" t="s">
        <v>53</v>
      </c>
      <c r="J180" s="23" t="s">
        <v>103</v>
      </c>
      <c r="K180" s="25" t="s">
        <v>1848</v>
      </c>
      <c r="L180" s="26" t="s">
        <v>1849</v>
      </c>
      <c r="M180" s="26" t="s">
        <v>1850</v>
      </c>
      <c r="N180" s="27" t="s">
        <v>92</v>
      </c>
      <c r="O180" s="23" t="s">
        <v>1851</v>
      </c>
      <c r="P180" s="23" t="s">
        <v>60</v>
      </c>
      <c r="Q180" s="23" t="s">
        <v>132</v>
      </c>
      <c r="R180" s="23" t="s">
        <v>94</v>
      </c>
      <c r="S180" s="23" t="s">
        <v>1852</v>
      </c>
      <c r="T180" s="23" t="s">
        <v>1853</v>
      </c>
      <c r="U180" s="23" t="s">
        <v>109</v>
      </c>
      <c r="V180" s="28">
        <v>46139.0</v>
      </c>
      <c r="W180" s="28">
        <v>46154.0</v>
      </c>
      <c r="X180" s="28">
        <v>46157.0</v>
      </c>
      <c r="Y180" s="23" t="s">
        <v>109</v>
      </c>
      <c r="Z180" s="29"/>
      <c r="AA180" s="24" t="s">
        <v>65</v>
      </c>
      <c r="AB180" s="23" t="s">
        <v>66</v>
      </c>
      <c r="AC180" s="30">
        <v>530000.0</v>
      </c>
      <c r="AD180" s="31">
        <v>0.05</v>
      </c>
      <c r="AE180" s="32">
        <f t="shared" si="66"/>
        <v>26500</v>
      </c>
      <c r="AF180" s="33">
        <v>595.0</v>
      </c>
      <c r="AG180" s="34">
        <v>500.0</v>
      </c>
      <c r="AH180" s="34">
        <v>250.0</v>
      </c>
      <c r="AI180" s="34">
        <v>1345.0</v>
      </c>
      <c r="AJ180" s="34">
        <v>0.0</v>
      </c>
      <c r="AK180" s="34">
        <f>AE180*0.4</f>
        <v>10600</v>
      </c>
      <c r="AL180" s="36">
        <v>0.0</v>
      </c>
      <c r="AM180" s="37" t="s">
        <v>84</v>
      </c>
      <c r="AN180" s="38">
        <f t="shared" si="68"/>
        <v>17245</v>
      </c>
      <c r="AO180" s="39">
        <f t="shared" ref="AO180:AO197" si="70">if(AM180="Buyer",-sum((-AE180+AK180+AJ180)*50%),if(AM180="Seller",-sum((-AE180+AK180+AJ180)*50%),-sum(((-AE180+AK180+AJ180)*((100-right(AM180,2))/100)))))+if(AF180&lt;&gt;595,595, sum(AF180))</f>
        <v>8545</v>
      </c>
      <c r="AP180" s="40">
        <f t="shared" si="67"/>
        <v>7950</v>
      </c>
      <c r="AQ180" s="14"/>
      <c r="AR180" s="41" t="s">
        <v>1854</v>
      </c>
      <c r="AS180" s="14"/>
      <c r="AT180" s="23" t="s">
        <v>570</v>
      </c>
      <c r="AU180" s="42"/>
      <c r="AV180" s="23" t="s">
        <v>1846</v>
      </c>
      <c r="AW180" s="23" t="s">
        <v>572</v>
      </c>
      <c r="AY180" s="202">
        <v>46162.0</v>
      </c>
      <c r="AZ180" s="42"/>
    </row>
    <row r="181">
      <c r="A181" s="23" t="s">
        <v>46</v>
      </c>
      <c r="B181" s="23" t="s">
        <v>47</v>
      </c>
      <c r="C181" s="106" t="s">
        <v>1855</v>
      </c>
      <c r="D181" s="23" t="s">
        <v>446</v>
      </c>
      <c r="E181" s="23">
        <v>92336.0</v>
      </c>
      <c r="F181" s="23" t="s">
        <v>50</v>
      </c>
      <c r="G181" s="23" t="s">
        <v>1337</v>
      </c>
      <c r="H181" s="23" t="s">
        <v>172</v>
      </c>
      <c r="I181" s="23" t="s">
        <v>215</v>
      </c>
      <c r="J181" s="23" t="s">
        <v>54</v>
      </c>
      <c r="K181" s="25" t="s">
        <v>1856</v>
      </c>
      <c r="L181" s="26" t="s">
        <v>1857</v>
      </c>
      <c r="M181" s="26" t="s">
        <v>1858</v>
      </c>
      <c r="N181" s="27" t="s">
        <v>1859</v>
      </c>
      <c r="O181" s="23" t="s">
        <v>1860</v>
      </c>
      <c r="P181" s="23" t="s">
        <v>60</v>
      </c>
      <c r="Q181" s="23" t="s">
        <v>61</v>
      </c>
      <c r="R181" s="23" t="s">
        <v>247</v>
      </c>
      <c r="S181" s="23" t="s">
        <v>1861</v>
      </c>
      <c r="T181" s="23" t="s">
        <v>1862</v>
      </c>
      <c r="U181" s="23" t="s">
        <v>109</v>
      </c>
      <c r="V181" s="28">
        <v>46121.0</v>
      </c>
      <c r="W181" s="28">
        <v>46142.0</v>
      </c>
      <c r="X181" s="172">
        <v>46157.0</v>
      </c>
      <c r="Y181" s="23" t="s">
        <v>109</v>
      </c>
      <c r="Z181" s="29"/>
      <c r="AA181" s="24" t="s">
        <v>414</v>
      </c>
      <c r="AB181" s="23" t="s">
        <v>1863</v>
      </c>
      <c r="AC181" s="30">
        <v>550000.0</v>
      </c>
      <c r="AD181" s="31">
        <v>0.02</v>
      </c>
      <c r="AE181" s="32">
        <f t="shared" si="66"/>
        <v>11000</v>
      </c>
      <c r="AF181" s="33">
        <v>595.0</v>
      </c>
      <c r="AG181" s="34">
        <v>500.0</v>
      </c>
      <c r="AH181" s="34" t="s">
        <v>82</v>
      </c>
      <c r="AI181" s="34">
        <v>1095.0</v>
      </c>
      <c r="AJ181" s="34">
        <v>0.0</v>
      </c>
      <c r="AK181" s="34">
        <v>0.0</v>
      </c>
      <c r="AL181" s="36">
        <v>0.0</v>
      </c>
      <c r="AM181" s="37" t="s">
        <v>47</v>
      </c>
      <c r="AN181" s="38">
        <f t="shared" si="68"/>
        <v>12095</v>
      </c>
      <c r="AO181" s="39">
        <f t="shared" si="70"/>
        <v>6095</v>
      </c>
      <c r="AP181" s="40">
        <f t="shared" si="67"/>
        <v>5500</v>
      </c>
      <c r="AQ181" s="14"/>
      <c r="AR181" s="41"/>
      <c r="AS181" s="14"/>
      <c r="AT181" s="23" t="s">
        <v>570</v>
      </c>
      <c r="AU181" s="42"/>
      <c r="AV181" s="23" t="s">
        <v>1823</v>
      </c>
      <c r="AW181" s="23" t="s">
        <v>572</v>
      </c>
      <c r="AX181" s="112"/>
      <c r="AY181" s="202">
        <v>46162.0</v>
      </c>
      <c r="AZ181" s="42"/>
    </row>
    <row r="182">
      <c r="A182" s="23" t="s">
        <v>46</v>
      </c>
      <c r="B182" s="23" t="s">
        <v>84</v>
      </c>
      <c r="C182" s="106" t="s">
        <v>1864</v>
      </c>
      <c r="D182" s="23" t="s">
        <v>49</v>
      </c>
      <c r="E182" s="23">
        <v>92587.0</v>
      </c>
      <c r="F182" s="23" t="s">
        <v>50</v>
      </c>
      <c r="G182" s="23" t="s">
        <v>1073</v>
      </c>
      <c r="H182" s="23" t="s">
        <v>73</v>
      </c>
      <c r="I182" s="23" t="s">
        <v>53</v>
      </c>
      <c r="J182" s="23" t="s">
        <v>54</v>
      </c>
      <c r="K182" s="25" t="s">
        <v>1865</v>
      </c>
      <c r="L182" s="26" t="s">
        <v>1866</v>
      </c>
      <c r="M182" s="26" t="s">
        <v>1867</v>
      </c>
      <c r="N182" s="27" t="s">
        <v>92</v>
      </c>
      <c r="O182" s="23" t="s">
        <v>1868</v>
      </c>
      <c r="P182" s="23" t="s">
        <v>60</v>
      </c>
      <c r="Q182" s="23" t="s">
        <v>132</v>
      </c>
      <c r="R182" s="23" t="s">
        <v>94</v>
      </c>
      <c r="S182" s="23" t="s">
        <v>1869</v>
      </c>
      <c r="T182" s="23" t="s">
        <v>1870</v>
      </c>
      <c r="U182" s="23" t="s">
        <v>109</v>
      </c>
      <c r="V182" s="28">
        <v>46139.0</v>
      </c>
      <c r="W182" s="28">
        <v>46160.0</v>
      </c>
      <c r="X182" s="28">
        <v>46160.0</v>
      </c>
      <c r="Y182" s="23" t="s">
        <v>109</v>
      </c>
      <c r="Z182" s="29"/>
      <c r="AA182" s="24" t="s">
        <v>65</v>
      </c>
      <c r="AB182" s="23" t="s">
        <v>167</v>
      </c>
      <c r="AC182" s="30">
        <v>513000.0</v>
      </c>
      <c r="AD182" s="31">
        <v>0.03</v>
      </c>
      <c r="AE182" s="32">
        <f t="shared" si="66"/>
        <v>15390</v>
      </c>
      <c r="AF182" s="33">
        <v>595.0</v>
      </c>
      <c r="AG182" s="34">
        <v>500.0</v>
      </c>
      <c r="AH182" s="34" t="s">
        <v>82</v>
      </c>
      <c r="AI182" s="34">
        <v>0.0</v>
      </c>
      <c r="AJ182" s="34">
        <v>0.0</v>
      </c>
      <c r="AK182" s="34">
        <v>0.0</v>
      </c>
      <c r="AL182" s="36">
        <v>0.0</v>
      </c>
      <c r="AM182" s="37" t="s">
        <v>212</v>
      </c>
      <c r="AN182" s="38">
        <f t="shared" si="68"/>
        <v>15390</v>
      </c>
      <c r="AO182" s="39">
        <f t="shared" si="70"/>
        <v>3673</v>
      </c>
      <c r="AP182" s="40">
        <f t="shared" si="67"/>
        <v>11217</v>
      </c>
      <c r="AQ182" s="14"/>
      <c r="AR182" s="41"/>
      <c r="AS182" s="14"/>
      <c r="AT182" s="23" t="s">
        <v>570</v>
      </c>
      <c r="AU182" s="42"/>
      <c r="AV182" s="23" t="s">
        <v>1871</v>
      </c>
      <c r="AW182" s="23" t="s">
        <v>114</v>
      </c>
      <c r="AX182" s="112"/>
      <c r="AY182" s="202">
        <v>46161.0</v>
      </c>
      <c r="AZ182" s="42"/>
    </row>
    <row r="183">
      <c r="A183" s="23" t="s">
        <v>46</v>
      </c>
      <c r="B183" s="23" t="s">
        <v>47</v>
      </c>
      <c r="C183" s="106" t="s">
        <v>1872</v>
      </c>
      <c r="D183" s="23" t="s">
        <v>316</v>
      </c>
      <c r="E183" s="23">
        <v>92562.0</v>
      </c>
      <c r="F183" s="23" t="s">
        <v>50</v>
      </c>
      <c r="G183" s="23" t="s">
        <v>424</v>
      </c>
      <c r="H183" s="23" t="s">
        <v>172</v>
      </c>
      <c r="I183" s="23" t="s">
        <v>53</v>
      </c>
      <c r="J183" s="23" t="s">
        <v>54</v>
      </c>
      <c r="K183" s="122" t="s">
        <v>1873</v>
      </c>
      <c r="L183" s="26" t="s">
        <v>1874</v>
      </c>
      <c r="M183" s="26" t="s">
        <v>1875</v>
      </c>
      <c r="N183" s="232" t="s">
        <v>1876</v>
      </c>
      <c r="O183" s="47" t="s">
        <v>143</v>
      </c>
      <c r="P183" s="23" t="s">
        <v>60</v>
      </c>
      <c r="Q183" s="23" t="s">
        <v>61</v>
      </c>
      <c r="R183" s="23" t="s">
        <v>1877</v>
      </c>
      <c r="S183" s="23" t="s">
        <v>1878</v>
      </c>
      <c r="T183" s="23" t="s">
        <v>1879</v>
      </c>
      <c r="U183" s="23" t="s">
        <v>109</v>
      </c>
      <c r="V183" s="28">
        <v>46147.0</v>
      </c>
      <c r="W183" s="28">
        <v>46161.0</v>
      </c>
      <c r="X183" s="28">
        <v>46161.0</v>
      </c>
      <c r="Y183" s="23" t="s">
        <v>109</v>
      </c>
      <c r="Z183" s="29"/>
      <c r="AA183" s="24" t="s">
        <v>65</v>
      </c>
      <c r="AB183" s="23" t="s">
        <v>66</v>
      </c>
      <c r="AC183" s="30">
        <v>549900.0</v>
      </c>
      <c r="AD183" s="31">
        <v>0.02</v>
      </c>
      <c r="AE183" s="32">
        <f t="shared" si="66"/>
        <v>10998</v>
      </c>
      <c r="AF183" s="33">
        <v>595.0</v>
      </c>
      <c r="AG183" s="34">
        <v>500.0</v>
      </c>
      <c r="AH183" s="34" t="s">
        <v>82</v>
      </c>
      <c r="AI183" s="34">
        <v>1095.0</v>
      </c>
      <c r="AJ183" s="34">
        <v>0.0</v>
      </c>
      <c r="AK183" s="34">
        <f>AE183*0.4</f>
        <v>4399.2</v>
      </c>
      <c r="AL183" s="36">
        <v>0.0</v>
      </c>
      <c r="AM183" s="37" t="s">
        <v>47</v>
      </c>
      <c r="AN183" s="38">
        <f t="shared" si="68"/>
        <v>7693.8</v>
      </c>
      <c r="AO183" s="39">
        <f t="shared" si="70"/>
        <v>3894.4</v>
      </c>
      <c r="AP183" s="40">
        <f t="shared" si="67"/>
        <v>3299.4</v>
      </c>
      <c r="AQ183" s="14"/>
      <c r="AR183" s="41"/>
      <c r="AS183" s="14"/>
      <c r="AT183" s="23" t="s">
        <v>570</v>
      </c>
      <c r="AU183" s="42"/>
      <c r="AV183" s="37" t="s">
        <v>1880</v>
      </c>
      <c r="AW183" s="37" t="s">
        <v>572</v>
      </c>
      <c r="AX183" s="112"/>
      <c r="AY183" s="202">
        <v>46163.0</v>
      </c>
      <c r="AZ183" s="42"/>
    </row>
    <row r="184">
      <c r="A184" s="23" t="s">
        <v>46</v>
      </c>
      <c r="B184" s="23" t="s">
        <v>84</v>
      </c>
      <c r="C184" s="106" t="s">
        <v>1881</v>
      </c>
      <c r="D184" s="23" t="s">
        <v>170</v>
      </c>
      <c r="E184" s="23">
        <v>92596.0</v>
      </c>
      <c r="F184" s="23" t="s">
        <v>50</v>
      </c>
      <c r="G184" s="23" t="s">
        <v>399</v>
      </c>
      <c r="H184" s="23" t="s">
        <v>73</v>
      </c>
      <c r="I184" s="23" t="s">
        <v>53</v>
      </c>
      <c r="J184" s="23" t="s">
        <v>103</v>
      </c>
      <c r="K184" s="25" t="s">
        <v>1882</v>
      </c>
      <c r="L184" s="43"/>
      <c r="M184" s="26" t="s">
        <v>1883</v>
      </c>
      <c r="N184" s="27" t="s">
        <v>92</v>
      </c>
      <c r="O184" s="23" t="s">
        <v>1884</v>
      </c>
      <c r="P184" s="23" t="s">
        <v>60</v>
      </c>
      <c r="Q184" s="23" t="s">
        <v>132</v>
      </c>
      <c r="R184" s="23" t="s">
        <v>1884</v>
      </c>
      <c r="S184" s="23" t="s">
        <v>1885</v>
      </c>
      <c r="T184" s="23" t="s">
        <v>1886</v>
      </c>
      <c r="U184" s="23" t="s">
        <v>109</v>
      </c>
      <c r="V184" s="28">
        <v>46124.0</v>
      </c>
      <c r="W184" s="28">
        <v>46169.0</v>
      </c>
      <c r="X184" s="28">
        <v>46163.0</v>
      </c>
      <c r="Y184" s="23" t="s">
        <v>109</v>
      </c>
      <c r="Z184" s="29"/>
      <c r="AA184" s="24" t="s">
        <v>65</v>
      </c>
      <c r="AB184" s="23" t="s">
        <v>167</v>
      </c>
      <c r="AC184" s="30">
        <v>640000.0</v>
      </c>
      <c r="AD184" s="31">
        <v>0.02</v>
      </c>
      <c r="AE184" s="32">
        <f t="shared" si="66"/>
        <v>12800</v>
      </c>
      <c r="AF184" s="33">
        <v>595.0</v>
      </c>
      <c r="AG184" s="34">
        <v>0.0</v>
      </c>
      <c r="AH184" s="34" t="s">
        <v>82</v>
      </c>
      <c r="AI184" s="34">
        <v>595.0</v>
      </c>
      <c r="AJ184" s="34">
        <v>0.0</v>
      </c>
      <c r="AK184" s="34">
        <v>0.0</v>
      </c>
      <c r="AL184" s="36">
        <v>0.0</v>
      </c>
      <c r="AM184" s="37" t="s">
        <v>212</v>
      </c>
      <c r="AN184" s="38">
        <f t="shared" si="68"/>
        <v>13395</v>
      </c>
      <c r="AO184" s="39">
        <f t="shared" si="70"/>
        <v>3155</v>
      </c>
      <c r="AP184" s="40">
        <f t="shared" si="67"/>
        <v>10240</v>
      </c>
      <c r="AQ184" s="14"/>
      <c r="AR184" s="41"/>
      <c r="AS184" s="14"/>
      <c r="AT184" s="23" t="s">
        <v>570</v>
      </c>
      <c r="AU184" s="42"/>
      <c r="AV184" s="37" t="s">
        <v>1887</v>
      </c>
      <c r="AW184" s="37" t="s">
        <v>572</v>
      </c>
      <c r="AX184" s="112"/>
      <c r="AY184" s="203">
        <v>46176.0</v>
      </c>
      <c r="AZ184" s="42"/>
    </row>
    <row r="185">
      <c r="A185" s="23" t="s">
        <v>46</v>
      </c>
      <c r="B185" s="23" t="s">
        <v>47</v>
      </c>
      <c r="C185" s="106" t="s">
        <v>1888</v>
      </c>
      <c r="D185" s="23" t="s">
        <v>49</v>
      </c>
      <c r="E185" s="23">
        <v>92584.0</v>
      </c>
      <c r="F185" s="23" t="s">
        <v>50</v>
      </c>
      <c r="G185" s="23" t="s">
        <v>641</v>
      </c>
      <c r="H185" s="23" t="s">
        <v>172</v>
      </c>
      <c r="I185" s="23" t="s">
        <v>53</v>
      </c>
      <c r="J185" s="23" t="s">
        <v>103</v>
      </c>
      <c r="K185" s="25" t="s">
        <v>1889</v>
      </c>
      <c r="L185" s="26" t="s">
        <v>1890</v>
      </c>
      <c r="M185" s="26" t="s">
        <v>1891</v>
      </c>
      <c r="N185" s="27" t="s">
        <v>1077</v>
      </c>
      <c r="O185" s="23" t="s">
        <v>482</v>
      </c>
      <c r="P185" s="23" t="s">
        <v>60</v>
      </c>
      <c r="Q185" s="23" t="s">
        <v>61</v>
      </c>
      <c r="R185" s="23"/>
      <c r="S185" s="23" t="s">
        <v>1892</v>
      </c>
      <c r="T185" s="23" t="s">
        <v>1893</v>
      </c>
      <c r="U185" s="23" t="s">
        <v>109</v>
      </c>
      <c r="V185" s="28">
        <v>46129.0</v>
      </c>
      <c r="W185" s="28">
        <v>46160.0</v>
      </c>
      <c r="X185" s="28">
        <v>46164.0</v>
      </c>
      <c r="Y185" s="23" t="s">
        <v>109</v>
      </c>
      <c r="Z185" s="29"/>
      <c r="AA185" s="24" t="s">
        <v>65</v>
      </c>
      <c r="AB185" s="23" t="s">
        <v>167</v>
      </c>
      <c r="AC185" s="30">
        <v>600000.0</v>
      </c>
      <c r="AD185" s="31">
        <v>0.03</v>
      </c>
      <c r="AE185" s="32">
        <f t="shared" si="66"/>
        <v>18000</v>
      </c>
      <c r="AF185" s="33">
        <v>595.0</v>
      </c>
      <c r="AG185" s="34" t="s">
        <v>111</v>
      </c>
      <c r="AH185" s="34" t="s">
        <v>82</v>
      </c>
      <c r="AI185" s="34">
        <v>1095.0</v>
      </c>
      <c r="AJ185" s="34">
        <v>0.0</v>
      </c>
      <c r="AK185" s="34">
        <v>0.0</v>
      </c>
      <c r="AL185" s="36">
        <v>0.0</v>
      </c>
      <c r="AM185" s="37" t="s">
        <v>168</v>
      </c>
      <c r="AN185" s="38">
        <f t="shared" si="68"/>
        <v>19095</v>
      </c>
      <c r="AO185" s="39">
        <f t="shared" si="70"/>
        <v>2395</v>
      </c>
      <c r="AP185" s="40">
        <f t="shared" si="67"/>
        <v>16700</v>
      </c>
      <c r="AQ185" s="14"/>
      <c r="AR185" s="41"/>
      <c r="AS185" s="14"/>
      <c r="AT185" s="23" t="s">
        <v>570</v>
      </c>
      <c r="AU185" s="42"/>
      <c r="AV185" s="37" t="s">
        <v>1887</v>
      </c>
      <c r="AW185" s="37" t="s">
        <v>572</v>
      </c>
      <c r="AX185" s="112"/>
      <c r="AY185" s="203">
        <v>46176.0</v>
      </c>
      <c r="AZ185" s="42"/>
    </row>
    <row r="186">
      <c r="A186" s="23" t="s">
        <v>46</v>
      </c>
      <c r="B186" s="23" t="s">
        <v>47</v>
      </c>
      <c r="C186" s="106" t="s">
        <v>1894</v>
      </c>
      <c r="D186" s="23" t="s">
        <v>71</v>
      </c>
      <c r="E186" s="23">
        <v>92543.0</v>
      </c>
      <c r="F186" s="23" t="s">
        <v>50</v>
      </c>
      <c r="G186" s="23" t="s">
        <v>399</v>
      </c>
      <c r="H186" s="23" t="s">
        <v>73</v>
      </c>
      <c r="I186" s="23" t="s">
        <v>53</v>
      </c>
      <c r="J186" s="23" t="s">
        <v>103</v>
      </c>
      <c r="K186" s="25" t="s">
        <v>1895</v>
      </c>
      <c r="L186" s="26" t="s">
        <v>1896</v>
      </c>
      <c r="M186" s="26" t="s">
        <v>1897</v>
      </c>
      <c r="N186" s="27" t="s">
        <v>1898</v>
      </c>
      <c r="O186" s="23" t="s">
        <v>482</v>
      </c>
      <c r="P186" s="23" t="s">
        <v>60</v>
      </c>
      <c r="Q186" s="23" t="s">
        <v>61</v>
      </c>
      <c r="R186" s="23"/>
      <c r="S186" s="233" t="s">
        <v>1899</v>
      </c>
      <c r="T186" s="23" t="s">
        <v>1900</v>
      </c>
      <c r="U186" s="23" t="s">
        <v>109</v>
      </c>
      <c r="V186" s="28">
        <v>46120.0</v>
      </c>
      <c r="W186" s="28">
        <v>46150.0</v>
      </c>
      <c r="X186" s="28">
        <v>46164.0</v>
      </c>
      <c r="Y186" s="23" t="s">
        <v>109</v>
      </c>
      <c r="Z186" s="29"/>
      <c r="AA186" s="24" t="s">
        <v>124</v>
      </c>
      <c r="AB186" s="23" t="s">
        <v>167</v>
      </c>
      <c r="AC186" s="30">
        <v>300000.0</v>
      </c>
      <c r="AD186" s="31">
        <v>0.03</v>
      </c>
      <c r="AE186" s="32">
        <f t="shared" si="66"/>
        <v>9000</v>
      </c>
      <c r="AF186" s="33">
        <v>595.0</v>
      </c>
      <c r="AG186" s="34" t="s">
        <v>111</v>
      </c>
      <c r="AH186" s="34">
        <v>0.0</v>
      </c>
      <c r="AI186" s="34">
        <v>1345.0</v>
      </c>
      <c r="AJ186" s="34">
        <v>0.0</v>
      </c>
      <c r="AK186" s="34">
        <v>0.0</v>
      </c>
      <c r="AL186" s="36">
        <v>0.0</v>
      </c>
      <c r="AM186" s="37" t="s">
        <v>212</v>
      </c>
      <c r="AN186" s="38">
        <f t="shared" si="68"/>
        <v>10345</v>
      </c>
      <c r="AO186" s="39">
        <f t="shared" si="70"/>
        <v>2395</v>
      </c>
      <c r="AP186" s="40">
        <f t="shared" si="67"/>
        <v>7950</v>
      </c>
      <c r="AQ186" s="14"/>
      <c r="AR186" s="41"/>
      <c r="AS186" s="14"/>
      <c r="AT186" s="23" t="s">
        <v>570</v>
      </c>
      <c r="AU186" s="42"/>
      <c r="AV186" s="37" t="s">
        <v>1887</v>
      </c>
      <c r="AW186" s="37" t="s">
        <v>572</v>
      </c>
      <c r="AX186" s="112"/>
      <c r="AY186" s="203">
        <v>46176.0</v>
      </c>
      <c r="AZ186" s="42"/>
    </row>
    <row r="187">
      <c r="A187" s="23" t="s">
        <v>46</v>
      </c>
      <c r="B187" s="23" t="s">
        <v>84</v>
      </c>
      <c r="C187" s="106" t="s">
        <v>1901</v>
      </c>
      <c r="D187" s="23" t="s">
        <v>1641</v>
      </c>
      <c r="E187" s="23">
        <v>92129.0</v>
      </c>
      <c r="F187" s="23" t="s">
        <v>87</v>
      </c>
      <c r="G187" s="23" t="s">
        <v>72</v>
      </c>
      <c r="H187" s="23" t="s">
        <v>73</v>
      </c>
      <c r="I187" s="23" t="s">
        <v>53</v>
      </c>
      <c r="J187" s="23" t="s">
        <v>54</v>
      </c>
      <c r="K187" s="25" t="s">
        <v>1902</v>
      </c>
      <c r="L187" s="26" t="s">
        <v>1903</v>
      </c>
      <c r="M187" s="26" t="s">
        <v>1904</v>
      </c>
      <c r="N187" s="27" t="s">
        <v>92</v>
      </c>
      <c r="O187" s="47" t="s">
        <v>143</v>
      </c>
      <c r="P187" s="23" t="s">
        <v>60</v>
      </c>
      <c r="Q187" s="23" t="s">
        <v>132</v>
      </c>
      <c r="R187" s="23" t="s">
        <v>94</v>
      </c>
      <c r="S187" s="23" t="s">
        <v>1905</v>
      </c>
      <c r="T187" s="23" t="s">
        <v>1906</v>
      </c>
      <c r="U187" s="23" t="s">
        <v>109</v>
      </c>
      <c r="V187" s="28">
        <v>46143.0</v>
      </c>
      <c r="W187" s="28">
        <v>46164.0</v>
      </c>
      <c r="X187" s="28">
        <v>46164.0</v>
      </c>
      <c r="Y187" s="23" t="s">
        <v>109</v>
      </c>
      <c r="Z187" s="29"/>
      <c r="AA187" s="24" t="s">
        <v>414</v>
      </c>
      <c r="AB187" s="23" t="s">
        <v>167</v>
      </c>
      <c r="AC187" s="30">
        <v>585000.0</v>
      </c>
      <c r="AD187" s="31">
        <v>0.02</v>
      </c>
      <c r="AE187" s="32">
        <f t="shared" si="66"/>
        <v>11700</v>
      </c>
      <c r="AF187" s="33">
        <v>595.0</v>
      </c>
      <c r="AG187" s="34">
        <v>500.0</v>
      </c>
      <c r="AH187" s="34">
        <v>250.0</v>
      </c>
      <c r="AI187" s="34">
        <v>1350.0</v>
      </c>
      <c r="AJ187" s="34">
        <v>0.0</v>
      </c>
      <c r="AK187" s="34">
        <v>0.0</v>
      </c>
      <c r="AL187" s="36">
        <v>0.0</v>
      </c>
      <c r="AM187" s="37" t="s">
        <v>202</v>
      </c>
      <c r="AN187" s="38">
        <f t="shared" si="68"/>
        <v>13050</v>
      </c>
      <c r="AO187" s="39">
        <f t="shared" si="70"/>
        <v>4105</v>
      </c>
      <c r="AP187" s="40">
        <f t="shared" si="67"/>
        <v>8195</v>
      </c>
      <c r="AQ187" s="14"/>
      <c r="AR187" s="41"/>
      <c r="AS187" s="14"/>
      <c r="AT187" s="23" t="s">
        <v>570</v>
      </c>
      <c r="AU187" s="42"/>
      <c r="AV187" s="37" t="s">
        <v>1887</v>
      </c>
      <c r="AW187" s="37" t="s">
        <v>572</v>
      </c>
      <c r="AX187" s="112"/>
      <c r="AY187" s="203">
        <v>46176.0</v>
      </c>
      <c r="AZ187" s="42"/>
    </row>
    <row r="188" ht="15.0" customHeight="1">
      <c r="A188" s="23" t="s">
        <v>46</v>
      </c>
      <c r="B188" s="23" t="s">
        <v>84</v>
      </c>
      <c r="C188" s="106" t="s">
        <v>1907</v>
      </c>
      <c r="D188" s="23" t="s">
        <v>1908</v>
      </c>
      <c r="E188" s="23">
        <v>90620.0</v>
      </c>
      <c r="F188" s="23" t="s">
        <v>1909</v>
      </c>
      <c r="G188" s="23" t="s">
        <v>646</v>
      </c>
      <c r="H188" s="23" t="s">
        <v>73</v>
      </c>
      <c r="I188" s="23" t="s">
        <v>53</v>
      </c>
      <c r="J188" s="23" t="s">
        <v>54</v>
      </c>
      <c r="K188" s="25" t="s">
        <v>1910</v>
      </c>
      <c r="L188" s="26" t="s">
        <v>1911</v>
      </c>
      <c r="M188" s="26" t="s">
        <v>1912</v>
      </c>
      <c r="N188" s="27" t="s">
        <v>92</v>
      </c>
      <c r="O188" s="23" t="s">
        <v>1913</v>
      </c>
      <c r="P188" s="23" t="s">
        <v>60</v>
      </c>
      <c r="Q188" s="23" t="s">
        <v>132</v>
      </c>
      <c r="R188" s="23" t="s">
        <v>94</v>
      </c>
      <c r="S188" s="23" t="s">
        <v>1914</v>
      </c>
      <c r="T188" s="23" t="s">
        <v>1915</v>
      </c>
      <c r="U188" s="23" t="s">
        <v>109</v>
      </c>
      <c r="V188" s="28">
        <v>46135.0</v>
      </c>
      <c r="W188" s="28">
        <v>46168.0</v>
      </c>
      <c r="X188" s="60">
        <v>46168.0</v>
      </c>
      <c r="Y188" s="23" t="s">
        <v>109</v>
      </c>
      <c r="Z188" s="29"/>
      <c r="AA188" s="24" t="s">
        <v>65</v>
      </c>
      <c r="AB188" s="23" t="s">
        <v>167</v>
      </c>
      <c r="AC188" s="30">
        <v>940000.0</v>
      </c>
      <c r="AD188" s="31">
        <v>0.03</v>
      </c>
      <c r="AE188" s="32">
        <f t="shared" si="66"/>
        <v>28200</v>
      </c>
      <c r="AF188" s="33">
        <v>595.0</v>
      </c>
      <c r="AG188" s="34" t="s">
        <v>111</v>
      </c>
      <c r="AH188" s="34" t="s">
        <v>111</v>
      </c>
      <c r="AI188" s="34">
        <v>1350.0</v>
      </c>
      <c r="AJ188" s="34">
        <v>0.0</v>
      </c>
      <c r="AK188" s="34">
        <v>0.0</v>
      </c>
      <c r="AL188" s="36">
        <v>0.0</v>
      </c>
      <c r="AM188" s="37" t="s">
        <v>212</v>
      </c>
      <c r="AN188" s="38">
        <f t="shared" si="68"/>
        <v>29550</v>
      </c>
      <c r="AO188" s="39">
        <f t="shared" si="70"/>
        <v>6235</v>
      </c>
      <c r="AP188" s="40">
        <f t="shared" si="67"/>
        <v>23315</v>
      </c>
      <c r="AQ188" s="14"/>
      <c r="AR188" s="41"/>
      <c r="AS188" s="14"/>
      <c r="AT188" s="23" t="s">
        <v>570</v>
      </c>
      <c r="AU188" s="42"/>
      <c r="AV188" s="37" t="s">
        <v>1887</v>
      </c>
      <c r="AW188" s="37" t="s">
        <v>572</v>
      </c>
      <c r="AX188" s="112"/>
      <c r="AY188" s="203">
        <v>46176.0</v>
      </c>
      <c r="AZ188" s="42"/>
    </row>
    <row r="189">
      <c r="A189" s="23" t="s">
        <v>46</v>
      </c>
      <c r="B189" s="23" t="s">
        <v>47</v>
      </c>
      <c r="C189" s="106" t="s">
        <v>1916</v>
      </c>
      <c r="D189" s="23" t="s">
        <v>158</v>
      </c>
      <c r="E189" s="23">
        <v>92530.0</v>
      </c>
      <c r="F189" s="23" t="s">
        <v>50</v>
      </c>
      <c r="G189" s="23" t="s">
        <v>1337</v>
      </c>
      <c r="H189" s="23" t="s">
        <v>172</v>
      </c>
      <c r="I189" s="23" t="s">
        <v>53</v>
      </c>
      <c r="J189" s="23" t="s">
        <v>54</v>
      </c>
      <c r="K189" s="25" t="s">
        <v>1917</v>
      </c>
      <c r="L189" s="26" t="s">
        <v>1918</v>
      </c>
      <c r="M189" s="26" t="s">
        <v>1919</v>
      </c>
      <c r="N189" s="27" t="s">
        <v>1920</v>
      </c>
      <c r="O189" s="23" t="s">
        <v>1860</v>
      </c>
      <c r="P189" s="23" t="s">
        <v>60</v>
      </c>
      <c r="Q189" s="23" t="s">
        <v>61</v>
      </c>
      <c r="R189" s="23"/>
      <c r="S189" s="23" t="s">
        <v>1921</v>
      </c>
      <c r="T189" s="23" t="s">
        <v>1922</v>
      </c>
      <c r="U189" s="23" t="s">
        <v>109</v>
      </c>
      <c r="V189" s="28"/>
      <c r="W189" s="28">
        <v>46174.0</v>
      </c>
      <c r="X189" s="28">
        <v>46168.0</v>
      </c>
      <c r="Y189" s="23" t="s">
        <v>109</v>
      </c>
      <c r="Z189" s="29"/>
      <c r="AA189" s="24" t="s">
        <v>414</v>
      </c>
      <c r="AB189" s="23" t="s">
        <v>66</v>
      </c>
      <c r="AC189" s="30">
        <v>355000.0</v>
      </c>
      <c r="AD189" s="31">
        <v>0.025</v>
      </c>
      <c r="AE189" s="32">
        <f t="shared" si="66"/>
        <v>8875</v>
      </c>
      <c r="AF189" s="33">
        <v>595.0</v>
      </c>
      <c r="AG189" s="34">
        <v>500.0</v>
      </c>
      <c r="AH189" s="34" t="s">
        <v>82</v>
      </c>
      <c r="AI189" s="34">
        <v>1095.0</v>
      </c>
      <c r="AJ189" s="34">
        <v>0.0</v>
      </c>
      <c r="AK189" s="34">
        <f>AE189*0.3</f>
        <v>2662.5</v>
      </c>
      <c r="AL189" s="36">
        <v>0.0</v>
      </c>
      <c r="AM189" s="37" t="s">
        <v>47</v>
      </c>
      <c r="AN189" s="38">
        <f t="shared" si="68"/>
        <v>7307.5</v>
      </c>
      <c r="AO189" s="39">
        <f t="shared" si="70"/>
        <v>3701.25</v>
      </c>
      <c r="AP189" s="40">
        <f t="shared" si="67"/>
        <v>3106.25</v>
      </c>
      <c r="AQ189" s="14"/>
      <c r="AR189" s="41"/>
      <c r="AS189" s="14"/>
      <c r="AT189" s="23" t="s">
        <v>570</v>
      </c>
      <c r="AU189" s="42"/>
      <c r="AV189" s="37" t="s">
        <v>1887</v>
      </c>
      <c r="AW189" s="37" t="s">
        <v>572</v>
      </c>
      <c r="AX189" s="112"/>
      <c r="AY189" s="203">
        <v>46170.0</v>
      </c>
      <c r="AZ189" s="112"/>
    </row>
    <row r="190">
      <c r="A190" s="23" t="s">
        <v>46</v>
      </c>
      <c r="B190" s="23" t="s">
        <v>47</v>
      </c>
      <c r="C190" s="106" t="s">
        <v>1923</v>
      </c>
      <c r="D190" s="23" t="s">
        <v>1924</v>
      </c>
      <c r="E190" s="23">
        <v>92707.0</v>
      </c>
      <c r="F190" s="23" t="s">
        <v>1909</v>
      </c>
      <c r="G190" s="23" t="s">
        <v>646</v>
      </c>
      <c r="H190" s="23" t="s">
        <v>73</v>
      </c>
      <c r="I190" s="23" t="s">
        <v>53</v>
      </c>
      <c r="J190" s="23" t="s">
        <v>54</v>
      </c>
      <c r="K190" s="25" t="s">
        <v>1925</v>
      </c>
      <c r="L190" s="234" t="s">
        <v>1926</v>
      </c>
      <c r="M190" s="26" t="s">
        <v>1927</v>
      </c>
      <c r="N190" s="27" t="s">
        <v>1430</v>
      </c>
      <c r="O190" s="47" t="s">
        <v>143</v>
      </c>
      <c r="P190" s="23" t="s">
        <v>60</v>
      </c>
      <c r="Q190" s="23" t="s">
        <v>61</v>
      </c>
      <c r="R190" s="23" t="s">
        <v>220</v>
      </c>
      <c r="S190" s="23" t="s">
        <v>1928</v>
      </c>
      <c r="T190" s="23" t="s">
        <v>1929</v>
      </c>
      <c r="U190" s="23" t="s">
        <v>109</v>
      </c>
      <c r="V190" s="28">
        <v>46142.0</v>
      </c>
      <c r="W190" s="28">
        <v>46160.0</v>
      </c>
      <c r="X190" s="235">
        <v>46169.0</v>
      </c>
      <c r="Y190" s="23" t="s">
        <v>109</v>
      </c>
      <c r="Z190" s="29"/>
      <c r="AA190" s="24" t="s">
        <v>414</v>
      </c>
      <c r="AB190" s="23" t="s">
        <v>167</v>
      </c>
      <c r="AC190" s="30">
        <v>429000.0</v>
      </c>
      <c r="AD190" s="31">
        <v>0.025</v>
      </c>
      <c r="AE190" s="32">
        <f t="shared" si="66"/>
        <v>10725</v>
      </c>
      <c r="AF190" s="33">
        <v>595.0</v>
      </c>
      <c r="AG190" s="34">
        <v>0.0</v>
      </c>
      <c r="AH190" s="34" t="s">
        <v>82</v>
      </c>
      <c r="AI190" s="34">
        <v>595.0</v>
      </c>
      <c r="AJ190" s="34">
        <v>0.0</v>
      </c>
      <c r="AK190" s="34">
        <v>0.0</v>
      </c>
      <c r="AL190" s="36">
        <v>0.0</v>
      </c>
      <c r="AM190" s="37" t="s">
        <v>212</v>
      </c>
      <c r="AN190" s="38">
        <f t="shared" si="68"/>
        <v>11320</v>
      </c>
      <c r="AO190" s="39">
        <f t="shared" si="70"/>
        <v>2740</v>
      </c>
      <c r="AP190" s="40">
        <f t="shared" si="67"/>
        <v>8580</v>
      </c>
      <c r="AQ190" s="14"/>
      <c r="AR190" s="41"/>
      <c r="AS190" s="14"/>
      <c r="AT190" s="23" t="s">
        <v>570</v>
      </c>
      <c r="AU190" s="42"/>
      <c r="AV190" s="37" t="s">
        <v>1930</v>
      </c>
      <c r="AW190" s="37" t="s">
        <v>572</v>
      </c>
      <c r="AX190" s="112"/>
      <c r="AY190" s="203">
        <v>46176.0</v>
      </c>
      <c r="AZ190" s="42"/>
    </row>
    <row r="191">
      <c r="A191" s="23" t="s">
        <v>46</v>
      </c>
      <c r="B191" s="23" t="s">
        <v>47</v>
      </c>
      <c r="C191" s="106" t="s">
        <v>1931</v>
      </c>
      <c r="D191" s="23" t="s">
        <v>49</v>
      </c>
      <c r="E191" s="23">
        <v>92584.0</v>
      </c>
      <c r="F191" s="23" t="s">
        <v>50</v>
      </c>
      <c r="G191" s="23" t="s">
        <v>288</v>
      </c>
      <c r="H191" s="23" t="s">
        <v>73</v>
      </c>
      <c r="I191" s="23" t="s">
        <v>53</v>
      </c>
      <c r="J191" s="23" t="s">
        <v>103</v>
      </c>
      <c r="K191" s="65" t="s">
        <v>1932</v>
      </c>
      <c r="L191" s="234" t="s">
        <v>1933</v>
      </c>
      <c r="M191" s="26" t="s">
        <v>1934</v>
      </c>
      <c r="N191" s="27" t="s">
        <v>1935</v>
      </c>
      <c r="O191" s="23" t="s">
        <v>1936</v>
      </c>
      <c r="P191" s="23" t="s">
        <v>60</v>
      </c>
      <c r="Q191" s="23" t="s">
        <v>61</v>
      </c>
      <c r="R191" s="23"/>
      <c r="S191" s="23" t="s">
        <v>1937</v>
      </c>
      <c r="T191" s="23" t="s">
        <v>1938</v>
      </c>
      <c r="U191" s="23" t="s">
        <v>109</v>
      </c>
      <c r="V191" s="28">
        <v>46139.0</v>
      </c>
      <c r="W191" s="28">
        <v>46169.0</v>
      </c>
      <c r="X191" s="28">
        <v>46170.0</v>
      </c>
      <c r="Y191" s="23" t="s">
        <v>109</v>
      </c>
      <c r="Z191" s="29"/>
      <c r="AA191" s="24" t="s">
        <v>65</v>
      </c>
      <c r="AB191" s="23" t="s">
        <v>66</v>
      </c>
      <c r="AC191" s="30">
        <v>622000.0</v>
      </c>
      <c r="AD191" s="31">
        <v>0.025</v>
      </c>
      <c r="AE191" s="32">
        <f t="shared" si="66"/>
        <v>15550</v>
      </c>
      <c r="AF191" s="33">
        <v>595.0</v>
      </c>
      <c r="AG191" s="34">
        <v>500.0</v>
      </c>
      <c r="AH191" s="34">
        <v>0.0</v>
      </c>
      <c r="AI191" s="34">
        <v>1095.0</v>
      </c>
      <c r="AJ191" s="34">
        <v>0.0</v>
      </c>
      <c r="AK191" s="34">
        <f t="shared" ref="AK191:AK192" si="71">AE191*0.4</f>
        <v>6220</v>
      </c>
      <c r="AL191" s="36">
        <v>0.0</v>
      </c>
      <c r="AM191" s="37" t="s">
        <v>47</v>
      </c>
      <c r="AN191" s="38">
        <f t="shared" si="68"/>
        <v>10425</v>
      </c>
      <c r="AO191" s="39">
        <f t="shared" si="70"/>
        <v>5260</v>
      </c>
      <c r="AP191" s="40">
        <f t="shared" si="67"/>
        <v>4665</v>
      </c>
      <c r="AQ191" s="14"/>
      <c r="AR191" s="41"/>
      <c r="AS191" s="14"/>
      <c r="AT191" s="23" t="s">
        <v>570</v>
      </c>
      <c r="AU191" s="42"/>
      <c r="AV191" s="37" t="s">
        <v>1930</v>
      </c>
      <c r="AW191" s="37" t="s">
        <v>572</v>
      </c>
      <c r="AX191" s="112"/>
      <c r="AY191" s="203">
        <v>46176.0</v>
      </c>
      <c r="AZ191" s="42"/>
    </row>
    <row r="192">
      <c r="A192" s="158" t="s">
        <v>46</v>
      </c>
      <c r="B192" s="158" t="s">
        <v>84</v>
      </c>
      <c r="C192" s="117" t="s">
        <v>1939</v>
      </c>
      <c r="D192" s="158" t="s">
        <v>659</v>
      </c>
      <c r="E192" s="158">
        <v>92410.0</v>
      </c>
      <c r="F192" s="158" t="s">
        <v>101</v>
      </c>
      <c r="G192" s="158" t="s">
        <v>641</v>
      </c>
      <c r="H192" s="158" t="s">
        <v>172</v>
      </c>
      <c r="I192" s="158" t="s">
        <v>53</v>
      </c>
      <c r="J192" s="158" t="s">
        <v>103</v>
      </c>
      <c r="K192" s="160" t="s">
        <v>1940</v>
      </c>
      <c r="L192" s="236" t="s">
        <v>1941</v>
      </c>
      <c r="M192" s="161" t="s">
        <v>1942</v>
      </c>
      <c r="N192" s="226" t="s">
        <v>92</v>
      </c>
      <c r="O192" s="163" t="s">
        <v>143</v>
      </c>
      <c r="P192" s="158" t="s">
        <v>60</v>
      </c>
      <c r="Q192" s="158" t="s">
        <v>132</v>
      </c>
      <c r="R192" s="158" t="s">
        <v>94</v>
      </c>
      <c r="S192" s="163" t="s">
        <v>680</v>
      </c>
      <c r="T192" s="163" t="s">
        <v>680</v>
      </c>
      <c r="U192" s="164" t="s">
        <v>109</v>
      </c>
      <c r="V192" s="164">
        <v>46157.0</v>
      </c>
      <c r="W192" s="164">
        <v>45803.0</v>
      </c>
      <c r="X192" s="165">
        <v>46171.0</v>
      </c>
      <c r="Y192" s="170" t="s">
        <v>109</v>
      </c>
      <c r="Z192" s="166"/>
      <c r="AA192" s="167" t="s">
        <v>124</v>
      </c>
      <c r="AB192" s="158" t="s">
        <v>66</v>
      </c>
      <c r="AC192" s="38">
        <v>50000.0</v>
      </c>
      <c r="AD192" s="31">
        <v>0.04</v>
      </c>
      <c r="AE192" s="32">
        <f t="shared" si="66"/>
        <v>2000</v>
      </c>
      <c r="AF192" s="237">
        <v>595.0</v>
      </c>
      <c r="AG192" s="38">
        <v>0.0</v>
      </c>
      <c r="AH192" s="38" t="s">
        <v>82</v>
      </c>
      <c r="AI192" s="38">
        <v>695.0</v>
      </c>
      <c r="AJ192" s="38">
        <v>0.0</v>
      </c>
      <c r="AK192" s="38">
        <f t="shared" si="71"/>
        <v>800</v>
      </c>
      <c r="AL192" s="38">
        <v>0.0</v>
      </c>
      <c r="AM192" s="116" t="s">
        <v>84</v>
      </c>
      <c r="AN192" s="38">
        <f t="shared" si="68"/>
        <v>1895</v>
      </c>
      <c r="AO192" s="38">
        <f t="shared" si="70"/>
        <v>1195</v>
      </c>
      <c r="AP192" s="40">
        <f t="shared" si="67"/>
        <v>700</v>
      </c>
      <c r="AQ192" s="169"/>
      <c r="AR192" s="225"/>
      <c r="AS192" s="169"/>
      <c r="AT192" s="159" t="s">
        <v>570</v>
      </c>
      <c r="AU192" s="145"/>
      <c r="AV192" s="37" t="s">
        <v>1930</v>
      </c>
      <c r="AW192" s="37" t="s">
        <v>572</v>
      </c>
      <c r="AX192" s="112"/>
      <c r="AY192" s="203">
        <v>46176.0</v>
      </c>
      <c r="AZ192" s="145"/>
    </row>
    <row r="193">
      <c r="A193" s="158" t="s">
        <v>46</v>
      </c>
      <c r="B193" s="158" t="s">
        <v>47</v>
      </c>
      <c r="C193" s="117" t="s">
        <v>1939</v>
      </c>
      <c r="D193" s="158" t="s">
        <v>659</v>
      </c>
      <c r="E193" s="158">
        <v>92410.0</v>
      </c>
      <c r="F193" s="158" t="s">
        <v>101</v>
      </c>
      <c r="G193" s="158" t="s">
        <v>542</v>
      </c>
      <c r="H193" s="158" t="s">
        <v>52</v>
      </c>
      <c r="I193" s="158" t="s">
        <v>53</v>
      </c>
      <c r="J193" s="158" t="s">
        <v>54</v>
      </c>
      <c r="K193" s="160" t="s">
        <v>1943</v>
      </c>
      <c r="L193" s="236" t="s">
        <v>1944</v>
      </c>
      <c r="M193" s="161" t="s">
        <v>1945</v>
      </c>
      <c r="N193" s="226" t="s">
        <v>92</v>
      </c>
      <c r="O193" s="163" t="s">
        <v>143</v>
      </c>
      <c r="P193" s="158" t="s">
        <v>60</v>
      </c>
      <c r="Q193" s="158" t="s">
        <v>132</v>
      </c>
      <c r="R193" s="158" t="s">
        <v>94</v>
      </c>
      <c r="S193" s="163" t="s">
        <v>680</v>
      </c>
      <c r="T193" s="163" t="s">
        <v>680</v>
      </c>
      <c r="U193" s="164" t="s">
        <v>109</v>
      </c>
      <c r="V193" s="164">
        <v>46157.0</v>
      </c>
      <c r="W193" s="164">
        <v>45803.0</v>
      </c>
      <c r="X193" s="165">
        <v>46171.0</v>
      </c>
      <c r="Y193" s="170" t="s">
        <v>109</v>
      </c>
      <c r="Z193" s="166"/>
      <c r="AA193" s="167" t="s">
        <v>124</v>
      </c>
      <c r="AB193" s="158" t="s">
        <v>1061</v>
      </c>
      <c r="AC193" s="38">
        <v>50000.0</v>
      </c>
      <c r="AD193" s="31">
        <v>0.08</v>
      </c>
      <c r="AE193" s="32">
        <f t="shared" si="66"/>
        <v>4000</v>
      </c>
      <c r="AF193" s="168">
        <v>595.0</v>
      </c>
      <c r="AG193" s="38">
        <v>500.0</v>
      </c>
      <c r="AH193" s="38" t="s">
        <v>82</v>
      </c>
      <c r="AI193" s="38">
        <v>1395.0</v>
      </c>
      <c r="AJ193" s="38">
        <v>0.0</v>
      </c>
      <c r="AK193" s="30">
        <v>0.0</v>
      </c>
      <c r="AL193" s="38">
        <v>0.0</v>
      </c>
      <c r="AM193" s="116" t="s">
        <v>47</v>
      </c>
      <c r="AN193" s="38">
        <f t="shared" si="68"/>
        <v>5395</v>
      </c>
      <c r="AO193" s="38">
        <f t="shared" si="70"/>
        <v>2595</v>
      </c>
      <c r="AP193" s="40">
        <f t="shared" si="67"/>
        <v>2300</v>
      </c>
      <c r="AQ193" s="169"/>
      <c r="AR193" s="225"/>
      <c r="AS193" s="169"/>
      <c r="AT193" s="159" t="s">
        <v>570</v>
      </c>
      <c r="AU193" s="145"/>
      <c r="AV193" s="118" t="s">
        <v>1946</v>
      </c>
      <c r="AW193" s="116" t="s">
        <v>114</v>
      </c>
      <c r="AX193" s="112"/>
      <c r="AY193" s="203">
        <v>46176.0</v>
      </c>
      <c r="AZ193" s="145"/>
    </row>
    <row r="194">
      <c r="A194" s="23" t="s">
        <v>46</v>
      </c>
      <c r="B194" s="23" t="s">
        <v>84</v>
      </c>
      <c r="C194" s="106" t="s">
        <v>1947</v>
      </c>
      <c r="D194" s="23" t="s">
        <v>1576</v>
      </c>
      <c r="E194" s="23">
        <v>91709.0</v>
      </c>
      <c r="F194" s="23" t="s">
        <v>101</v>
      </c>
      <c r="G194" s="23" t="s">
        <v>184</v>
      </c>
      <c r="H194" s="23" t="s">
        <v>73</v>
      </c>
      <c r="I194" s="23" t="s">
        <v>371</v>
      </c>
      <c r="J194" s="23" t="s">
        <v>185</v>
      </c>
      <c r="K194" s="25" t="s">
        <v>1948</v>
      </c>
      <c r="L194" s="26" t="s">
        <v>1949</v>
      </c>
      <c r="M194" s="26" t="s">
        <v>1950</v>
      </c>
      <c r="N194" s="27" t="s">
        <v>92</v>
      </c>
      <c r="O194" s="23" t="s">
        <v>1951</v>
      </c>
      <c r="P194" s="23" t="s">
        <v>60</v>
      </c>
      <c r="Q194" s="23" t="s">
        <v>132</v>
      </c>
      <c r="R194" s="23" t="s">
        <v>94</v>
      </c>
      <c r="S194" s="23" t="s">
        <v>1952</v>
      </c>
      <c r="T194" s="23" t="s">
        <v>1953</v>
      </c>
      <c r="U194" s="23" t="s">
        <v>109</v>
      </c>
      <c r="V194" s="28">
        <v>46146.0</v>
      </c>
      <c r="W194" s="28">
        <v>46167.0</v>
      </c>
      <c r="X194" s="28">
        <v>46171.0</v>
      </c>
      <c r="Y194" s="23" t="s">
        <v>109</v>
      </c>
      <c r="Z194" s="29"/>
      <c r="AA194" s="24" t="s">
        <v>65</v>
      </c>
      <c r="AB194" s="23" t="s">
        <v>145</v>
      </c>
      <c r="AC194" s="30">
        <v>825000.0</v>
      </c>
      <c r="AD194" s="31">
        <v>0.03</v>
      </c>
      <c r="AE194" s="32">
        <f t="shared" si="66"/>
        <v>24750</v>
      </c>
      <c r="AF194" s="33">
        <v>595.0</v>
      </c>
      <c r="AG194" s="34">
        <v>0.0</v>
      </c>
      <c r="AH194" s="34">
        <v>0.0</v>
      </c>
      <c r="AI194" s="34">
        <v>595.0</v>
      </c>
      <c r="AJ194" s="34">
        <v>0.0</v>
      </c>
      <c r="AK194" s="34">
        <f t="shared" ref="AK194:AK196" si="72">AE194*0.4</f>
        <v>9900</v>
      </c>
      <c r="AL194" s="36">
        <v>0.0</v>
      </c>
      <c r="AM194" s="37" t="s">
        <v>84</v>
      </c>
      <c r="AN194" s="38">
        <f t="shared" si="68"/>
        <v>15445</v>
      </c>
      <c r="AO194" s="39">
        <f t="shared" si="70"/>
        <v>8020</v>
      </c>
      <c r="AP194" s="40">
        <f t="shared" si="67"/>
        <v>7425</v>
      </c>
      <c r="AQ194" s="14"/>
      <c r="AR194" s="41"/>
      <c r="AS194" s="14"/>
      <c r="AT194" s="23" t="s">
        <v>570</v>
      </c>
      <c r="AU194" s="42"/>
      <c r="AV194" s="37" t="s">
        <v>1954</v>
      </c>
      <c r="AW194" s="37" t="s">
        <v>572</v>
      </c>
      <c r="AX194" s="112"/>
      <c r="AY194" s="203">
        <v>46176.0</v>
      </c>
      <c r="AZ194" s="42"/>
    </row>
    <row r="195">
      <c r="A195" s="23" t="s">
        <v>98</v>
      </c>
      <c r="B195" s="23" t="s">
        <v>47</v>
      </c>
      <c r="C195" s="201" t="s">
        <v>1955</v>
      </c>
      <c r="D195" s="23" t="s">
        <v>316</v>
      </c>
      <c r="E195" s="23">
        <v>92563.0</v>
      </c>
      <c r="F195" s="23" t="s">
        <v>50</v>
      </c>
      <c r="G195" s="23" t="s">
        <v>288</v>
      </c>
      <c r="H195" s="23" t="s">
        <v>73</v>
      </c>
      <c r="I195" s="23" t="s">
        <v>53</v>
      </c>
      <c r="J195" s="23" t="s">
        <v>103</v>
      </c>
      <c r="K195" s="25" t="s">
        <v>1956</v>
      </c>
      <c r="L195" s="26" t="s">
        <v>1957</v>
      </c>
      <c r="M195" s="26" t="s">
        <v>1958</v>
      </c>
      <c r="N195" s="27" t="s">
        <v>1959</v>
      </c>
      <c r="O195" s="23" t="s">
        <v>1960</v>
      </c>
      <c r="P195" s="23" t="s">
        <v>60</v>
      </c>
      <c r="Q195" s="23" t="s">
        <v>61</v>
      </c>
      <c r="R195" s="23" t="s">
        <v>1961</v>
      </c>
      <c r="S195" s="23" t="s">
        <v>1962</v>
      </c>
      <c r="T195" s="23" t="s">
        <v>1963</v>
      </c>
      <c r="U195" s="23" t="s">
        <v>109</v>
      </c>
      <c r="V195" s="28">
        <v>46153.0</v>
      </c>
      <c r="W195" s="28">
        <v>46174.0</v>
      </c>
      <c r="X195" s="28">
        <v>46174.0</v>
      </c>
      <c r="Y195" s="23" t="s">
        <v>109</v>
      </c>
      <c r="Z195" s="29"/>
      <c r="AA195" s="24" t="s">
        <v>65</v>
      </c>
      <c r="AB195" s="23" t="s">
        <v>66</v>
      </c>
      <c r="AC195" s="30">
        <v>655000.0</v>
      </c>
      <c r="AD195" s="31">
        <v>0.03</v>
      </c>
      <c r="AE195" s="32">
        <f t="shared" si="66"/>
        <v>19650</v>
      </c>
      <c r="AF195" s="33">
        <v>595.0</v>
      </c>
      <c r="AG195" s="34">
        <v>500.0</v>
      </c>
      <c r="AH195" s="34" t="s">
        <v>82</v>
      </c>
      <c r="AI195" s="34">
        <v>1095.0</v>
      </c>
      <c r="AJ195" s="34">
        <v>0.0</v>
      </c>
      <c r="AK195" s="34">
        <f t="shared" si="72"/>
        <v>7860</v>
      </c>
      <c r="AL195" s="36">
        <v>0.0</v>
      </c>
      <c r="AM195" s="37" t="s">
        <v>47</v>
      </c>
      <c r="AN195" s="38">
        <f t="shared" si="68"/>
        <v>12885</v>
      </c>
      <c r="AO195" s="39">
        <f t="shared" si="70"/>
        <v>6490</v>
      </c>
      <c r="AP195" s="40">
        <f t="shared" si="67"/>
        <v>5895</v>
      </c>
      <c r="AQ195" s="14"/>
      <c r="AR195" s="41"/>
      <c r="AS195" s="14"/>
      <c r="AT195" s="23" t="s">
        <v>570</v>
      </c>
      <c r="AU195" s="42"/>
      <c r="AV195" s="37" t="s">
        <v>1930</v>
      </c>
      <c r="AW195" s="37" t="s">
        <v>572</v>
      </c>
      <c r="AX195" s="112"/>
      <c r="AY195" s="203">
        <v>46184.0</v>
      </c>
      <c r="AZ195" s="42"/>
    </row>
    <row r="196">
      <c r="A196" s="23" t="s">
        <v>98</v>
      </c>
      <c r="B196" s="23" t="s">
        <v>84</v>
      </c>
      <c r="C196" s="106" t="s">
        <v>1964</v>
      </c>
      <c r="D196" s="23" t="s">
        <v>1426</v>
      </c>
      <c r="E196" s="23">
        <v>92377.0</v>
      </c>
      <c r="F196" s="23" t="s">
        <v>101</v>
      </c>
      <c r="G196" s="23" t="s">
        <v>332</v>
      </c>
      <c r="H196" s="23" t="s">
        <v>73</v>
      </c>
      <c r="I196" s="23" t="s">
        <v>53</v>
      </c>
      <c r="J196" s="23" t="s">
        <v>103</v>
      </c>
      <c r="K196" s="25" t="s">
        <v>1965</v>
      </c>
      <c r="L196" s="26" t="s">
        <v>1966</v>
      </c>
      <c r="M196" s="26" t="s">
        <v>1967</v>
      </c>
      <c r="N196" s="27" t="s">
        <v>108</v>
      </c>
      <c r="O196" s="23" t="s">
        <v>106</v>
      </c>
      <c r="P196" s="23" t="s">
        <v>106</v>
      </c>
      <c r="Q196" s="23" t="s">
        <v>106</v>
      </c>
      <c r="R196" s="23"/>
      <c r="S196" s="23" t="s">
        <v>53</v>
      </c>
      <c r="T196" s="23" t="s">
        <v>53</v>
      </c>
      <c r="U196" s="23" t="s">
        <v>109</v>
      </c>
      <c r="V196" s="28">
        <v>46147.0</v>
      </c>
      <c r="W196" s="28">
        <v>46174.0</v>
      </c>
      <c r="X196" s="28">
        <v>46174.0</v>
      </c>
      <c r="Y196" s="23" t="s">
        <v>109</v>
      </c>
      <c r="Z196" s="29"/>
      <c r="AA196" s="24" t="s">
        <v>106</v>
      </c>
      <c r="AB196" s="23" t="s">
        <v>66</v>
      </c>
      <c r="AC196" s="30">
        <v>730800.0</v>
      </c>
      <c r="AD196" s="31">
        <v>0.01</v>
      </c>
      <c r="AE196" s="32">
        <f t="shared" si="66"/>
        <v>7308</v>
      </c>
      <c r="AF196" s="33">
        <v>595.0</v>
      </c>
      <c r="AG196" s="34" t="s">
        <v>111</v>
      </c>
      <c r="AH196" s="34">
        <v>0.0</v>
      </c>
      <c r="AI196" s="34">
        <v>1827.0</v>
      </c>
      <c r="AJ196" s="34">
        <v>0.0</v>
      </c>
      <c r="AK196" s="34">
        <f t="shared" si="72"/>
        <v>2923.2</v>
      </c>
      <c r="AL196" s="36">
        <v>0.0</v>
      </c>
      <c r="AM196" s="37" t="s">
        <v>84</v>
      </c>
      <c r="AN196" s="38">
        <f t="shared" si="68"/>
        <v>6211.8</v>
      </c>
      <c r="AO196" s="39">
        <f t="shared" si="70"/>
        <v>2787.4</v>
      </c>
      <c r="AP196" s="40">
        <f t="shared" si="67"/>
        <v>3424.4</v>
      </c>
      <c r="AQ196" s="14"/>
      <c r="AR196" s="41" t="s">
        <v>1968</v>
      </c>
      <c r="AS196" s="14"/>
      <c r="AT196" s="23" t="s">
        <v>570</v>
      </c>
      <c r="AU196" s="42"/>
      <c r="AV196" s="37" t="s">
        <v>1969</v>
      </c>
      <c r="AW196" s="37" t="s">
        <v>114</v>
      </c>
      <c r="AX196" s="112"/>
      <c r="AY196" s="203">
        <v>46176.0</v>
      </c>
      <c r="AZ196" s="42"/>
    </row>
    <row r="197">
      <c r="A197" s="37" t="s">
        <v>98</v>
      </c>
      <c r="B197" s="37" t="s">
        <v>84</v>
      </c>
      <c r="C197" s="106" t="s">
        <v>1970</v>
      </c>
      <c r="D197" s="37" t="s">
        <v>1971</v>
      </c>
      <c r="E197" s="37">
        <v>92308.0</v>
      </c>
      <c r="F197" s="37" t="s">
        <v>101</v>
      </c>
      <c r="G197" s="37" t="s">
        <v>1118</v>
      </c>
      <c r="H197" s="37" t="s">
        <v>172</v>
      </c>
      <c r="I197" s="37" t="s">
        <v>53</v>
      </c>
      <c r="J197" s="37" t="s">
        <v>185</v>
      </c>
      <c r="K197" s="56" t="s">
        <v>1972</v>
      </c>
      <c r="L197" s="49" t="s">
        <v>1973</v>
      </c>
      <c r="M197" s="49" t="s">
        <v>1974</v>
      </c>
      <c r="N197" s="108" t="s">
        <v>1975</v>
      </c>
      <c r="O197" s="37" t="s">
        <v>1976</v>
      </c>
      <c r="P197" s="37"/>
      <c r="Q197" s="37" t="s">
        <v>61</v>
      </c>
      <c r="R197" s="37" t="s">
        <v>859</v>
      </c>
      <c r="S197" s="37"/>
      <c r="T197" s="37"/>
      <c r="U197" s="23" t="s">
        <v>109</v>
      </c>
      <c r="V197" s="60">
        <v>46113.0</v>
      </c>
      <c r="W197" s="60">
        <v>46173.0</v>
      </c>
      <c r="X197" s="60">
        <v>46174.0</v>
      </c>
      <c r="Y197" s="23" t="s">
        <v>109</v>
      </c>
      <c r="Z197" s="29"/>
      <c r="AA197" s="54" t="s">
        <v>1977</v>
      </c>
      <c r="AB197" s="23" t="s">
        <v>167</v>
      </c>
      <c r="AC197" s="30">
        <v>310000.0</v>
      </c>
      <c r="AD197" s="31">
        <v>0.025</v>
      </c>
      <c r="AE197" s="32">
        <f t="shared" si="66"/>
        <v>7750</v>
      </c>
      <c r="AF197" s="33">
        <v>595.0</v>
      </c>
      <c r="AG197" s="38">
        <v>0.0</v>
      </c>
      <c r="AH197" s="34">
        <v>0.0</v>
      </c>
      <c r="AI197" s="34">
        <v>0.0</v>
      </c>
      <c r="AJ197" s="34">
        <v>0.0</v>
      </c>
      <c r="AK197" s="34">
        <v>0.0</v>
      </c>
      <c r="AL197" s="36">
        <v>0.0</v>
      </c>
      <c r="AM197" s="37" t="s">
        <v>1978</v>
      </c>
      <c r="AN197" s="38">
        <f t="shared" si="68"/>
        <v>7750</v>
      </c>
      <c r="AO197" s="39">
        <f t="shared" si="70"/>
        <v>2532.5</v>
      </c>
      <c r="AP197" s="40">
        <f t="shared" si="67"/>
        <v>5217.5</v>
      </c>
      <c r="AQ197" s="111"/>
      <c r="AR197" s="37"/>
      <c r="AS197" s="14"/>
      <c r="AT197" s="37" t="s">
        <v>570</v>
      </c>
      <c r="AU197" s="42"/>
      <c r="AV197" s="37" t="s">
        <v>1979</v>
      </c>
      <c r="AW197" s="37" t="s">
        <v>572</v>
      </c>
      <c r="AX197" s="112"/>
      <c r="AY197" s="203">
        <v>46184.0</v>
      </c>
      <c r="AZ197" s="42"/>
    </row>
    <row r="198">
      <c r="A198" s="23" t="s">
        <v>98</v>
      </c>
      <c r="B198" s="23" t="s">
        <v>47</v>
      </c>
      <c r="C198" s="106" t="s">
        <v>1980</v>
      </c>
      <c r="D198" s="23" t="s">
        <v>158</v>
      </c>
      <c r="E198" s="23">
        <v>92530.0</v>
      </c>
      <c r="F198" s="23" t="s">
        <v>50</v>
      </c>
      <c r="G198" s="23" t="s">
        <v>1073</v>
      </c>
      <c r="H198" s="23" t="s">
        <v>73</v>
      </c>
      <c r="I198" s="23" t="s">
        <v>89</v>
      </c>
      <c r="J198" s="23" t="s">
        <v>54</v>
      </c>
      <c r="K198" s="25" t="s">
        <v>1981</v>
      </c>
      <c r="L198" s="26" t="s">
        <v>1982</v>
      </c>
      <c r="M198" s="26" t="s">
        <v>1983</v>
      </c>
      <c r="N198" s="27" t="s">
        <v>208</v>
      </c>
      <c r="O198" s="47" t="s">
        <v>143</v>
      </c>
      <c r="P198" s="23" t="s">
        <v>558</v>
      </c>
      <c r="Q198" s="23" t="s">
        <v>61</v>
      </c>
      <c r="R198" s="23" t="s">
        <v>1984</v>
      </c>
      <c r="S198" s="23" t="s">
        <v>1985</v>
      </c>
      <c r="T198" s="23" t="s">
        <v>1986</v>
      </c>
      <c r="U198" s="23" t="s">
        <v>109</v>
      </c>
      <c r="V198" s="28">
        <v>46163.0</v>
      </c>
      <c r="W198" s="28">
        <v>46174.0</v>
      </c>
      <c r="X198" s="28">
        <v>46174.0</v>
      </c>
      <c r="Y198" s="23" t="s">
        <v>109</v>
      </c>
      <c r="Z198" s="29"/>
      <c r="AA198" s="24" t="s">
        <v>558</v>
      </c>
      <c r="AB198" s="23" t="s">
        <v>344</v>
      </c>
      <c r="AC198" s="30">
        <v>45000.0</v>
      </c>
      <c r="AD198" s="31">
        <v>0.03</v>
      </c>
      <c r="AE198" s="32">
        <f t="shared" si="66"/>
        <v>1350</v>
      </c>
      <c r="AF198" s="33">
        <v>595.0</v>
      </c>
      <c r="AG198" s="34">
        <v>500.0</v>
      </c>
      <c r="AH198" s="34" t="s">
        <v>82</v>
      </c>
      <c r="AI198" s="34">
        <v>0.0</v>
      </c>
      <c r="AJ198" s="34">
        <v>0.0</v>
      </c>
      <c r="AK198" s="34">
        <v>0.0</v>
      </c>
      <c r="AL198" s="36">
        <v>0.0</v>
      </c>
      <c r="AM198" s="37" t="s">
        <v>47</v>
      </c>
      <c r="AN198" s="38">
        <f>if(AF198=595, SUM(AE198+AI198-AK198-AJ198),sum(AE198-AJ198-AK198))</f>
        <v>1350</v>
      </c>
      <c r="AO198" s="39">
        <f>if(AM198="Buyer",-sum((-AE198+AK198+AJ198)*50%),if(AM198="Seller",-sum((-AE198+AK198+AJ198)*50%),-sum(((-AE198+AK198+AJ198)*((100-right(AM198,2))/100)))))+if(AF198&lt;&gt;595,0, sum(AF198))</f>
        <v>1270</v>
      </c>
      <c r="AP198" s="40">
        <f t="shared" si="67"/>
        <v>-420</v>
      </c>
      <c r="AQ198" s="14"/>
      <c r="AR198" s="41"/>
      <c r="AS198" s="14"/>
      <c r="AT198" s="23" t="s">
        <v>570</v>
      </c>
      <c r="AU198" s="42"/>
      <c r="AV198" s="37" t="s">
        <v>1987</v>
      </c>
      <c r="AW198" s="37" t="s">
        <v>572</v>
      </c>
      <c r="AX198" s="112"/>
      <c r="AY198" s="203">
        <v>46190.0</v>
      </c>
      <c r="AZ198" s="42"/>
    </row>
    <row r="199">
      <c r="A199" s="23" t="s">
        <v>98</v>
      </c>
      <c r="B199" s="23" t="s">
        <v>84</v>
      </c>
      <c r="C199" s="106" t="s">
        <v>1988</v>
      </c>
      <c r="D199" s="23" t="s">
        <v>1576</v>
      </c>
      <c r="E199" s="23" t="s">
        <v>1989</v>
      </c>
      <c r="F199" s="23" t="s">
        <v>101</v>
      </c>
      <c r="G199" s="23" t="s">
        <v>376</v>
      </c>
      <c r="H199" s="23" t="s">
        <v>52</v>
      </c>
      <c r="I199" s="23" t="s">
        <v>53</v>
      </c>
      <c r="J199" s="23" t="s">
        <v>103</v>
      </c>
      <c r="K199" s="25" t="s">
        <v>786</v>
      </c>
      <c r="L199" s="43"/>
      <c r="M199" s="26" t="s">
        <v>1297</v>
      </c>
      <c r="N199" s="27" t="s">
        <v>92</v>
      </c>
      <c r="O199" s="23" t="s">
        <v>1990</v>
      </c>
      <c r="P199" s="23" t="s">
        <v>60</v>
      </c>
      <c r="Q199" s="23" t="s">
        <v>132</v>
      </c>
      <c r="R199" s="23" t="s">
        <v>94</v>
      </c>
      <c r="S199" s="23" t="s">
        <v>1991</v>
      </c>
      <c r="T199" s="23" t="s">
        <v>1992</v>
      </c>
      <c r="U199" s="23" t="s">
        <v>109</v>
      </c>
      <c r="V199" s="28">
        <v>46160.0</v>
      </c>
      <c r="W199" s="28">
        <v>46174.0</v>
      </c>
      <c r="X199" s="28">
        <v>46174.0</v>
      </c>
      <c r="Y199" s="23" t="s">
        <v>109</v>
      </c>
      <c r="Z199" s="29"/>
      <c r="AA199" s="24" t="s">
        <v>65</v>
      </c>
      <c r="AB199" s="23" t="s">
        <v>262</v>
      </c>
      <c r="AC199" s="30">
        <v>770000.0</v>
      </c>
      <c r="AD199" s="51">
        <v>0.0</v>
      </c>
      <c r="AE199" s="32">
        <f t="shared" si="66"/>
        <v>0</v>
      </c>
      <c r="AF199" s="33" t="s">
        <v>93</v>
      </c>
      <c r="AG199" s="34">
        <v>0.0</v>
      </c>
      <c r="AH199" s="34" t="s">
        <v>82</v>
      </c>
      <c r="AI199" s="34">
        <v>589.0</v>
      </c>
      <c r="AJ199" s="34">
        <v>0.0</v>
      </c>
      <c r="AK199" s="34">
        <v>0.0</v>
      </c>
      <c r="AL199" s="36">
        <v>0.0</v>
      </c>
      <c r="AM199" s="37" t="s">
        <v>84</v>
      </c>
      <c r="AN199" s="38">
        <f t="shared" ref="AN199:AN203" si="73">if(AF199=595, SUM(AE199+AI199-AK199-AJ199),sum(AE199-AJ199-AK199,595))</f>
        <v>595</v>
      </c>
      <c r="AO199" s="39">
        <f t="shared" ref="AO199:AO203" si="74">if(AM199="Buyer",-sum((-AE199+AK199+AJ199)*50%),if(AM199="Seller",-sum((-AE199+AK199+AJ199)*50%),-sum(((-AE199+AK199+AJ199)*((100-right(AM199,2))/100)))))+if(AF199&lt;&gt;595,595, sum(AF199))</f>
        <v>595</v>
      </c>
      <c r="AP199" s="40">
        <f t="shared" si="67"/>
        <v>0</v>
      </c>
      <c r="AQ199" s="14"/>
      <c r="AR199" s="41"/>
      <c r="AS199" s="14"/>
      <c r="AT199" s="23" t="s">
        <v>570</v>
      </c>
      <c r="AU199" s="42"/>
      <c r="AV199" s="37" t="s">
        <v>1993</v>
      </c>
      <c r="AW199" s="37" t="s">
        <v>114</v>
      </c>
      <c r="AX199" s="112"/>
      <c r="AY199" s="113" t="s">
        <v>53</v>
      </c>
      <c r="AZ199" s="42"/>
    </row>
    <row r="200">
      <c r="A200" s="23" t="s">
        <v>98</v>
      </c>
      <c r="B200" s="23" t="s">
        <v>84</v>
      </c>
      <c r="C200" s="106" t="s">
        <v>1994</v>
      </c>
      <c r="D200" s="23" t="s">
        <v>1995</v>
      </c>
      <c r="E200" s="23">
        <v>93536.0</v>
      </c>
      <c r="F200" s="23" t="s">
        <v>726</v>
      </c>
      <c r="G200" s="23" t="s">
        <v>633</v>
      </c>
      <c r="H200" s="158" t="s">
        <v>172</v>
      </c>
      <c r="I200" s="23" t="s">
        <v>53</v>
      </c>
      <c r="J200" s="23" t="s">
        <v>103</v>
      </c>
      <c r="K200" s="25" t="s">
        <v>1996</v>
      </c>
      <c r="L200" s="26" t="s">
        <v>1997</v>
      </c>
      <c r="M200" s="26" t="s">
        <v>1998</v>
      </c>
      <c r="N200" s="27" t="s">
        <v>92</v>
      </c>
      <c r="O200" s="23" t="s">
        <v>59</v>
      </c>
      <c r="P200" s="23" t="s">
        <v>60</v>
      </c>
      <c r="Q200" s="23" t="s">
        <v>132</v>
      </c>
      <c r="R200" s="23" t="s">
        <v>94</v>
      </c>
      <c r="S200" s="23" t="s">
        <v>1999</v>
      </c>
      <c r="T200" s="23" t="s">
        <v>2000</v>
      </c>
      <c r="U200" s="23" t="s">
        <v>109</v>
      </c>
      <c r="V200" s="28">
        <v>46140.0</v>
      </c>
      <c r="W200" s="28">
        <v>46170.0</v>
      </c>
      <c r="X200" s="28">
        <v>46176.0</v>
      </c>
      <c r="Y200" s="23" t="s">
        <v>109</v>
      </c>
      <c r="Z200" s="29"/>
      <c r="AA200" s="24" t="s">
        <v>65</v>
      </c>
      <c r="AB200" s="23" t="s">
        <v>167</v>
      </c>
      <c r="AC200" s="30">
        <v>1000000.0</v>
      </c>
      <c r="AD200" s="31">
        <v>0.05</v>
      </c>
      <c r="AE200" s="32">
        <f t="shared" si="66"/>
        <v>50000</v>
      </c>
      <c r="AF200" s="33">
        <v>595.0</v>
      </c>
      <c r="AG200" s="34">
        <v>500.0</v>
      </c>
      <c r="AH200" s="34">
        <v>250.0</v>
      </c>
      <c r="AI200" s="34">
        <v>1345.0</v>
      </c>
      <c r="AJ200" s="34">
        <v>0.0</v>
      </c>
      <c r="AK200" s="34">
        <v>0.0</v>
      </c>
      <c r="AL200" s="36">
        <v>0.0</v>
      </c>
      <c r="AM200" s="37" t="s">
        <v>202</v>
      </c>
      <c r="AN200" s="38">
        <f t="shared" si="73"/>
        <v>51345</v>
      </c>
      <c r="AO200" s="39">
        <f t="shared" si="74"/>
        <v>15595</v>
      </c>
      <c r="AP200" s="40">
        <f t="shared" si="67"/>
        <v>35000</v>
      </c>
      <c r="AQ200" s="14"/>
      <c r="AR200" s="41" t="s">
        <v>2001</v>
      </c>
      <c r="AS200" s="14"/>
      <c r="AT200" s="23" t="s">
        <v>570</v>
      </c>
      <c r="AU200" s="42"/>
      <c r="AV200" s="37" t="s">
        <v>2002</v>
      </c>
      <c r="AW200" s="37" t="s">
        <v>572</v>
      </c>
      <c r="AX200" s="112"/>
      <c r="AY200" s="203">
        <v>46184.0</v>
      </c>
      <c r="AZ200" s="42"/>
    </row>
    <row r="201">
      <c r="A201" s="23" t="s">
        <v>98</v>
      </c>
      <c r="B201" s="23" t="s">
        <v>84</v>
      </c>
      <c r="C201" s="106" t="s">
        <v>2003</v>
      </c>
      <c r="D201" s="23" t="s">
        <v>100</v>
      </c>
      <c r="E201" s="23">
        <v>92392.0</v>
      </c>
      <c r="F201" s="23" t="s">
        <v>101</v>
      </c>
      <c r="G201" s="23" t="s">
        <v>139</v>
      </c>
      <c r="H201" s="23" t="s">
        <v>73</v>
      </c>
      <c r="I201" s="23" t="s">
        <v>53</v>
      </c>
      <c r="J201" s="23" t="s">
        <v>103</v>
      </c>
      <c r="K201" s="25" t="s">
        <v>2004</v>
      </c>
      <c r="L201" s="26" t="s">
        <v>2005</v>
      </c>
      <c r="M201" s="26" t="s">
        <v>2006</v>
      </c>
      <c r="N201" s="27" t="s">
        <v>92</v>
      </c>
      <c r="O201" s="23" t="s">
        <v>2007</v>
      </c>
      <c r="P201" s="23" t="s">
        <v>60</v>
      </c>
      <c r="Q201" s="23" t="s">
        <v>132</v>
      </c>
      <c r="R201" s="23" t="s">
        <v>94</v>
      </c>
      <c r="S201" s="23" t="s">
        <v>2008</v>
      </c>
      <c r="T201" s="23" t="s">
        <v>2009</v>
      </c>
      <c r="U201" s="23" t="s">
        <v>109</v>
      </c>
      <c r="V201" s="28">
        <v>46141.0</v>
      </c>
      <c r="W201" s="28">
        <v>46176.0</v>
      </c>
      <c r="X201" s="28">
        <v>46176.0</v>
      </c>
      <c r="Y201" s="23" t="s">
        <v>109</v>
      </c>
      <c r="Z201" s="29"/>
      <c r="AA201" s="24" t="s">
        <v>65</v>
      </c>
      <c r="AB201" s="23" t="s">
        <v>1735</v>
      </c>
      <c r="AC201" s="30">
        <v>405000.0</v>
      </c>
      <c r="AD201" s="31">
        <v>0.025</v>
      </c>
      <c r="AE201" s="32">
        <f t="shared" si="66"/>
        <v>10125</v>
      </c>
      <c r="AF201" s="33">
        <v>595.0</v>
      </c>
      <c r="AG201" s="34" t="s">
        <v>111</v>
      </c>
      <c r="AH201" s="34" t="s">
        <v>111</v>
      </c>
      <c r="AI201" s="34">
        <v>995.0</v>
      </c>
      <c r="AJ201" s="34">
        <v>0.0</v>
      </c>
      <c r="AK201" s="34">
        <f>AE201*0.35</f>
        <v>3543.75</v>
      </c>
      <c r="AL201" s="131">
        <v>0.0</v>
      </c>
      <c r="AM201" s="37" t="s">
        <v>212</v>
      </c>
      <c r="AN201" s="38">
        <f t="shared" si="73"/>
        <v>7576.25</v>
      </c>
      <c r="AO201" s="39">
        <f t="shared" si="74"/>
        <v>1911.25</v>
      </c>
      <c r="AP201" s="40">
        <f t="shared" si="67"/>
        <v>5665</v>
      </c>
      <c r="AQ201" s="14"/>
      <c r="AR201" s="41" t="s">
        <v>2010</v>
      </c>
      <c r="AS201" s="14"/>
      <c r="AT201" s="23" t="s">
        <v>570</v>
      </c>
      <c r="AU201" s="42"/>
      <c r="AV201" s="37" t="s">
        <v>1979</v>
      </c>
      <c r="AW201" s="37" t="s">
        <v>572</v>
      </c>
      <c r="AX201" s="112"/>
      <c r="AY201" s="203">
        <v>46184.0</v>
      </c>
      <c r="AZ201" s="42"/>
    </row>
    <row r="202">
      <c r="A202" s="23" t="s">
        <v>98</v>
      </c>
      <c r="B202" s="23" t="s">
        <v>84</v>
      </c>
      <c r="C202" s="106" t="s">
        <v>2011</v>
      </c>
      <c r="D202" s="23" t="s">
        <v>1971</v>
      </c>
      <c r="E202" s="23">
        <v>92307.0</v>
      </c>
      <c r="F202" s="23" t="s">
        <v>101</v>
      </c>
      <c r="G202" s="23" t="s">
        <v>288</v>
      </c>
      <c r="H202" s="23" t="s">
        <v>73</v>
      </c>
      <c r="I202" s="23" t="s">
        <v>371</v>
      </c>
      <c r="J202" s="23" t="s">
        <v>103</v>
      </c>
      <c r="K202" s="49" t="s">
        <v>2012</v>
      </c>
      <c r="L202" s="49" t="s">
        <v>2013</v>
      </c>
      <c r="M202" s="49" t="s">
        <v>2014</v>
      </c>
      <c r="N202" s="27" t="s">
        <v>92</v>
      </c>
      <c r="O202" s="23" t="s">
        <v>2015</v>
      </c>
      <c r="P202" s="23" t="s">
        <v>93</v>
      </c>
      <c r="Q202" s="23" t="s">
        <v>132</v>
      </c>
      <c r="R202" s="23" t="s">
        <v>94</v>
      </c>
      <c r="S202" s="23" t="s">
        <v>2016</v>
      </c>
      <c r="T202" s="23" t="s">
        <v>2017</v>
      </c>
      <c r="U202" s="23" t="s">
        <v>109</v>
      </c>
      <c r="V202" s="28">
        <v>46129.0</v>
      </c>
      <c r="W202" s="28">
        <v>46160.0</v>
      </c>
      <c r="X202" s="28">
        <v>46176.0</v>
      </c>
      <c r="Y202" s="23" t="s">
        <v>109</v>
      </c>
      <c r="Z202" s="29"/>
      <c r="AA202" s="24" t="s">
        <v>65</v>
      </c>
      <c r="AB202" s="23" t="s">
        <v>145</v>
      </c>
      <c r="AC202" s="30">
        <v>405000.0</v>
      </c>
      <c r="AD202" s="31">
        <v>0.04</v>
      </c>
      <c r="AE202" s="32">
        <f t="shared" si="66"/>
        <v>16200</v>
      </c>
      <c r="AF202" s="33">
        <v>595.0</v>
      </c>
      <c r="AG202" s="34">
        <v>500.0</v>
      </c>
      <c r="AH202" s="34">
        <v>250.0</v>
      </c>
      <c r="AI202" s="34">
        <v>1345.0</v>
      </c>
      <c r="AJ202" s="34">
        <v>619.0</v>
      </c>
      <c r="AK202" s="34">
        <f>AE202*0.4</f>
        <v>6480</v>
      </c>
      <c r="AL202" s="36">
        <v>0.0</v>
      </c>
      <c r="AM202" s="37" t="s">
        <v>84</v>
      </c>
      <c r="AN202" s="38">
        <f t="shared" si="73"/>
        <v>10446</v>
      </c>
      <c r="AO202" s="39">
        <f t="shared" si="74"/>
        <v>5145.5</v>
      </c>
      <c r="AP202" s="40">
        <f t="shared" si="67"/>
        <v>4550.5</v>
      </c>
      <c r="AQ202" s="14"/>
      <c r="AR202" s="41" t="s">
        <v>2018</v>
      </c>
      <c r="AS202" s="14"/>
      <c r="AT202" s="23" t="s">
        <v>570</v>
      </c>
      <c r="AU202" s="42"/>
      <c r="AV202" s="23" t="s">
        <v>2019</v>
      </c>
      <c r="AW202" s="23" t="s">
        <v>572</v>
      </c>
      <c r="AX202" s="112"/>
      <c r="AY202" s="203">
        <v>46184.0</v>
      </c>
      <c r="AZ202" s="42"/>
    </row>
    <row r="203">
      <c r="A203" s="23" t="s">
        <v>98</v>
      </c>
      <c r="B203" s="23" t="s">
        <v>47</v>
      </c>
      <c r="C203" s="106" t="s">
        <v>2020</v>
      </c>
      <c r="D203" s="23" t="s">
        <v>1641</v>
      </c>
      <c r="E203" s="23">
        <v>92101.0</v>
      </c>
      <c r="F203" s="23" t="s">
        <v>87</v>
      </c>
      <c r="G203" s="23" t="s">
        <v>1087</v>
      </c>
      <c r="H203" s="23" t="s">
        <v>73</v>
      </c>
      <c r="I203" s="23" t="s">
        <v>53</v>
      </c>
      <c r="J203" s="23" t="s">
        <v>103</v>
      </c>
      <c r="K203" s="25" t="s">
        <v>2021</v>
      </c>
      <c r="L203" s="26" t="s">
        <v>2022</v>
      </c>
      <c r="M203" s="26" t="s">
        <v>2023</v>
      </c>
      <c r="N203" s="27" t="s">
        <v>1598</v>
      </c>
      <c r="O203" s="23" t="s">
        <v>2024</v>
      </c>
      <c r="P203" s="23" t="s">
        <v>60</v>
      </c>
      <c r="Q203" s="23" t="s">
        <v>61</v>
      </c>
      <c r="R203" s="23"/>
      <c r="S203" s="23" t="s">
        <v>2025</v>
      </c>
      <c r="T203" s="23" t="s">
        <v>2026</v>
      </c>
      <c r="U203" s="23" t="s">
        <v>109</v>
      </c>
      <c r="V203" s="28">
        <v>46149.0</v>
      </c>
      <c r="W203" s="28">
        <v>46170.0</v>
      </c>
      <c r="X203" s="28">
        <v>46176.0</v>
      </c>
      <c r="Y203" s="23" t="s">
        <v>109</v>
      </c>
      <c r="Z203" s="29"/>
      <c r="AA203" s="24" t="s">
        <v>414</v>
      </c>
      <c r="AB203" s="23" t="s">
        <v>66</v>
      </c>
      <c r="AC203" s="30">
        <v>600000.0</v>
      </c>
      <c r="AD203" s="31">
        <v>0.025</v>
      </c>
      <c r="AE203" s="32">
        <f t="shared" si="66"/>
        <v>15000</v>
      </c>
      <c r="AF203" s="33">
        <v>595.0</v>
      </c>
      <c r="AG203" s="34">
        <v>500.0</v>
      </c>
      <c r="AH203" s="34" t="s">
        <v>82</v>
      </c>
      <c r="AI203" s="34">
        <v>1095.0</v>
      </c>
      <c r="AJ203" s="34">
        <v>0.0</v>
      </c>
      <c r="AK203" s="34">
        <f>AE203*0.3</f>
        <v>4500</v>
      </c>
      <c r="AL203" s="36">
        <v>0.0</v>
      </c>
      <c r="AM203" s="37" t="s">
        <v>47</v>
      </c>
      <c r="AN203" s="38">
        <f t="shared" si="73"/>
        <v>11595</v>
      </c>
      <c r="AO203" s="39">
        <f t="shared" si="74"/>
        <v>5845</v>
      </c>
      <c r="AP203" s="40">
        <f t="shared" si="67"/>
        <v>5250</v>
      </c>
      <c r="AQ203" s="14"/>
      <c r="AR203" s="41"/>
      <c r="AS203" s="14"/>
      <c r="AT203" s="23" t="s">
        <v>570</v>
      </c>
      <c r="AU203" s="42"/>
      <c r="AV203" s="23" t="s">
        <v>2019</v>
      </c>
      <c r="AW203" s="23" t="s">
        <v>572</v>
      </c>
      <c r="AX203" s="112"/>
      <c r="AY203" s="203">
        <v>46184.0</v>
      </c>
      <c r="AZ203" s="42"/>
    </row>
    <row r="204">
      <c r="A204" s="23" t="s">
        <v>98</v>
      </c>
      <c r="B204" s="23" t="s">
        <v>84</v>
      </c>
      <c r="C204" s="106" t="s">
        <v>2027</v>
      </c>
      <c r="D204" s="23" t="s">
        <v>1576</v>
      </c>
      <c r="E204" s="23">
        <v>91709.0</v>
      </c>
      <c r="F204" s="23" t="s">
        <v>101</v>
      </c>
      <c r="G204" s="23" t="s">
        <v>376</v>
      </c>
      <c r="H204" s="23" t="s">
        <v>52</v>
      </c>
      <c r="I204" s="23" t="s">
        <v>53</v>
      </c>
      <c r="J204" s="23" t="s">
        <v>103</v>
      </c>
      <c r="K204" s="25" t="s">
        <v>786</v>
      </c>
      <c r="L204" s="43"/>
      <c r="M204" s="26" t="s">
        <v>1297</v>
      </c>
      <c r="N204" s="27" t="s">
        <v>92</v>
      </c>
      <c r="O204" s="23" t="s">
        <v>2028</v>
      </c>
      <c r="P204" s="23" t="s">
        <v>60</v>
      </c>
      <c r="Q204" s="23" t="s">
        <v>132</v>
      </c>
      <c r="R204" s="23" t="s">
        <v>94</v>
      </c>
      <c r="S204" s="23" t="s">
        <v>2029</v>
      </c>
      <c r="T204" s="23" t="s">
        <v>2030</v>
      </c>
      <c r="U204" s="23" t="s">
        <v>109</v>
      </c>
      <c r="V204" s="28">
        <v>46154.0</v>
      </c>
      <c r="W204" s="28">
        <v>46174.0</v>
      </c>
      <c r="X204" s="28">
        <v>46177.0</v>
      </c>
      <c r="Y204" s="23" t="s">
        <v>109</v>
      </c>
      <c r="Z204" s="29"/>
      <c r="AA204" s="24" t="s">
        <v>65</v>
      </c>
      <c r="AB204" s="23" t="s">
        <v>262</v>
      </c>
      <c r="AC204" s="30">
        <v>770000.0</v>
      </c>
      <c r="AD204" s="51">
        <v>0.0</v>
      </c>
      <c r="AE204" s="62">
        <v>589.0</v>
      </c>
      <c r="AF204" s="33" t="s">
        <v>93</v>
      </c>
      <c r="AG204" s="34">
        <v>0.0</v>
      </c>
      <c r="AH204" s="34">
        <v>0.0</v>
      </c>
      <c r="AI204" s="34">
        <v>0.0</v>
      </c>
      <c r="AJ204" s="34">
        <v>0.0</v>
      </c>
      <c r="AK204" s="34">
        <v>0.0</v>
      </c>
      <c r="AL204" s="36">
        <v>0.0</v>
      </c>
      <c r="AM204" s="37" t="s">
        <v>84</v>
      </c>
      <c r="AN204" s="38">
        <f>if(AF204=595, SUM(AE204+AI204-AK204-AJ204),sum(AE204-AJ204-AK204))</f>
        <v>589</v>
      </c>
      <c r="AO204" s="110">
        <v>589.0</v>
      </c>
      <c r="AP204" s="40">
        <f t="shared" si="67"/>
        <v>0</v>
      </c>
      <c r="AQ204" s="14"/>
      <c r="AR204" s="41"/>
      <c r="AS204" s="14"/>
      <c r="AT204" s="23" t="s">
        <v>570</v>
      </c>
      <c r="AU204" s="42"/>
      <c r="AV204" s="37" t="s">
        <v>146</v>
      </c>
      <c r="AW204" s="37" t="s">
        <v>114</v>
      </c>
      <c r="AX204" s="112"/>
      <c r="AY204" s="113" t="s">
        <v>53</v>
      </c>
      <c r="AZ204" s="42"/>
    </row>
    <row r="205">
      <c r="A205" s="23" t="s">
        <v>98</v>
      </c>
      <c r="B205" s="23" t="s">
        <v>84</v>
      </c>
      <c r="C205" s="106" t="s">
        <v>2031</v>
      </c>
      <c r="D205" s="23" t="s">
        <v>2032</v>
      </c>
      <c r="E205" s="23">
        <v>90706.0</v>
      </c>
      <c r="F205" s="23" t="s">
        <v>726</v>
      </c>
      <c r="G205" s="23" t="s">
        <v>214</v>
      </c>
      <c r="H205" s="23" t="s">
        <v>172</v>
      </c>
      <c r="I205" s="23" t="s">
        <v>53</v>
      </c>
      <c r="J205" s="23" t="s">
        <v>54</v>
      </c>
      <c r="K205" s="25" t="s">
        <v>2033</v>
      </c>
      <c r="L205" s="26" t="s">
        <v>2034</v>
      </c>
      <c r="M205" s="26" t="s">
        <v>2035</v>
      </c>
      <c r="N205" s="27" t="s">
        <v>92</v>
      </c>
      <c r="O205" s="23" t="s">
        <v>2036</v>
      </c>
      <c r="P205" s="23" t="s">
        <v>60</v>
      </c>
      <c r="Q205" s="23" t="s">
        <v>132</v>
      </c>
      <c r="R205" s="23" t="s">
        <v>94</v>
      </c>
      <c r="S205" s="23" t="s">
        <v>2037</v>
      </c>
      <c r="T205" s="23" t="s">
        <v>2038</v>
      </c>
      <c r="U205" s="23" t="s">
        <v>109</v>
      </c>
      <c r="V205" s="28">
        <v>46148.0</v>
      </c>
      <c r="W205" s="28">
        <v>46178.0</v>
      </c>
      <c r="X205" s="28">
        <v>46178.0</v>
      </c>
      <c r="Y205" s="23" t="s">
        <v>109</v>
      </c>
      <c r="Z205" s="29"/>
      <c r="AA205" s="24" t="s">
        <v>65</v>
      </c>
      <c r="AB205" s="23" t="s">
        <v>167</v>
      </c>
      <c r="AC205" s="30">
        <v>837000.0</v>
      </c>
      <c r="AD205" s="31">
        <v>0.03</v>
      </c>
      <c r="AE205" s="32">
        <f t="shared" ref="AE205:AE215" si="75">SUM(AC205*AD205)</f>
        <v>25110</v>
      </c>
      <c r="AF205" s="33">
        <v>595.0</v>
      </c>
      <c r="AG205" s="34">
        <v>500.0</v>
      </c>
      <c r="AH205" s="34" t="s">
        <v>1206</v>
      </c>
      <c r="AI205" s="34">
        <v>1350.0</v>
      </c>
      <c r="AJ205" s="34">
        <v>0.0</v>
      </c>
      <c r="AK205" s="34">
        <v>0.0</v>
      </c>
      <c r="AL205" s="36">
        <v>0.0</v>
      </c>
      <c r="AM205" s="37" t="s">
        <v>212</v>
      </c>
      <c r="AN205" s="38">
        <f t="shared" ref="AN205:AN210" si="76">if(AF205=595, SUM(AE205+AI205-AK205-AJ205),sum(AE205-AJ205-AK205,595))</f>
        <v>26460</v>
      </c>
      <c r="AO205" s="39">
        <f t="shared" ref="AO205:AO210" si="77">if(AM205="Buyer",-sum((-AE205+AK205+AJ205)*50%),if(AM205="Seller",-sum((-AE205+AK205+AJ205)*50%),-sum(((-AE205+AK205+AJ205)*((100-right(AM205,2))/100)))))+if(AF205&lt;&gt;595,595, sum(AF205))</f>
        <v>5617</v>
      </c>
      <c r="AP205" s="40">
        <f t="shared" si="67"/>
        <v>20343</v>
      </c>
      <c r="AQ205" s="14"/>
      <c r="AR205" s="41"/>
      <c r="AS205" s="14"/>
      <c r="AT205" s="23" t="s">
        <v>570</v>
      </c>
      <c r="AU205" s="42"/>
      <c r="AV205" s="23" t="s">
        <v>2019</v>
      </c>
      <c r="AW205" s="23" t="s">
        <v>572</v>
      </c>
      <c r="AX205" s="112"/>
      <c r="AY205" s="203">
        <v>46184.0</v>
      </c>
      <c r="AZ205" s="42"/>
    </row>
    <row r="206">
      <c r="A206" s="23" t="s">
        <v>98</v>
      </c>
      <c r="B206" s="23" t="s">
        <v>84</v>
      </c>
      <c r="C206" s="106" t="s">
        <v>2039</v>
      </c>
      <c r="D206" s="23" t="s">
        <v>71</v>
      </c>
      <c r="E206" s="23">
        <v>92543.0</v>
      </c>
      <c r="F206" s="23" t="s">
        <v>50</v>
      </c>
      <c r="G206" s="23" t="s">
        <v>159</v>
      </c>
      <c r="H206" s="23" t="s">
        <v>73</v>
      </c>
      <c r="I206" s="23" t="s">
        <v>346</v>
      </c>
      <c r="J206" s="23" t="s">
        <v>54</v>
      </c>
      <c r="K206" s="25" t="s">
        <v>2040</v>
      </c>
      <c r="L206" s="26" t="s">
        <v>2041</v>
      </c>
      <c r="M206" s="26" t="s">
        <v>2042</v>
      </c>
      <c r="N206" s="27" t="s">
        <v>92</v>
      </c>
      <c r="O206" s="23" t="s">
        <v>2043</v>
      </c>
      <c r="P206" s="23" t="s">
        <v>60</v>
      </c>
      <c r="Q206" s="23" t="s">
        <v>61</v>
      </c>
      <c r="R206" s="23" t="s">
        <v>94</v>
      </c>
      <c r="S206" s="23" t="s">
        <v>2044</v>
      </c>
      <c r="T206" s="23" t="s">
        <v>2045</v>
      </c>
      <c r="U206" s="23" t="s">
        <v>109</v>
      </c>
      <c r="V206" s="28">
        <v>46142.0</v>
      </c>
      <c r="W206" s="28">
        <v>46174.0</v>
      </c>
      <c r="X206" s="28">
        <v>46178.0</v>
      </c>
      <c r="Y206" s="23" t="s">
        <v>109</v>
      </c>
      <c r="Z206" s="29"/>
      <c r="AA206" s="24" t="s">
        <v>65</v>
      </c>
      <c r="AB206" s="23" t="s">
        <v>145</v>
      </c>
      <c r="AC206" s="30">
        <v>310000.0</v>
      </c>
      <c r="AD206" s="31">
        <v>0.05</v>
      </c>
      <c r="AE206" s="32">
        <f t="shared" si="75"/>
        <v>15500</v>
      </c>
      <c r="AF206" s="33">
        <v>595.0</v>
      </c>
      <c r="AG206" s="34">
        <v>500.0</v>
      </c>
      <c r="AH206" s="34" t="s">
        <v>82</v>
      </c>
      <c r="AI206" s="34">
        <v>1500.0</v>
      </c>
      <c r="AJ206" s="34">
        <v>0.0</v>
      </c>
      <c r="AK206" s="34">
        <f>AE206*0.4</f>
        <v>6200</v>
      </c>
      <c r="AL206" s="36">
        <v>0.0</v>
      </c>
      <c r="AM206" s="37" t="s">
        <v>84</v>
      </c>
      <c r="AN206" s="38">
        <f t="shared" si="76"/>
        <v>10800</v>
      </c>
      <c r="AO206" s="39">
        <f t="shared" si="77"/>
        <v>5245</v>
      </c>
      <c r="AP206" s="40">
        <f t="shared" si="67"/>
        <v>5055</v>
      </c>
      <c r="AQ206" s="14"/>
      <c r="AR206" s="41"/>
      <c r="AS206" s="14"/>
      <c r="AT206" s="23" t="s">
        <v>570</v>
      </c>
      <c r="AU206" s="42"/>
      <c r="AV206" s="23" t="s">
        <v>2019</v>
      </c>
      <c r="AW206" s="23" t="s">
        <v>572</v>
      </c>
      <c r="AX206" s="112"/>
      <c r="AY206" s="203">
        <v>46184.0</v>
      </c>
      <c r="AZ206" s="42"/>
    </row>
    <row r="207">
      <c r="A207" s="23" t="s">
        <v>98</v>
      </c>
      <c r="B207" s="23" t="s">
        <v>84</v>
      </c>
      <c r="C207" s="106" t="s">
        <v>2046</v>
      </c>
      <c r="D207" s="23" t="s">
        <v>2047</v>
      </c>
      <c r="E207" s="23">
        <v>92549.0</v>
      </c>
      <c r="F207" s="23" t="s">
        <v>50</v>
      </c>
      <c r="G207" s="23" t="s">
        <v>102</v>
      </c>
      <c r="H207" s="23" t="s">
        <v>73</v>
      </c>
      <c r="I207" s="23" t="s">
        <v>53</v>
      </c>
      <c r="J207" s="23" t="s">
        <v>103</v>
      </c>
      <c r="K207" s="25" t="s">
        <v>2048</v>
      </c>
      <c r="L207" s="114" t="s">
        <v>2049</v>
      </c>
      <c r="M207" s="26" t="s">
        <v>2050</v>
      </c>
      <c r="N207" s="27" t="s">
        <v>92</v>
      </c>
      <c r="O207" s="47" t="s">
        <v>143</v>
      </c>
      <c r="P207" s="23" t="s">
        <v>60</v>
      </c>
      <c r="Q207" s="23" t="s">
        <v>132</v>
      </c>
      <c r="R207" s="23" t="s">
        <v>94</v>
      </c>
      <c r="S207" s="23" t="s">
        <v>2051</v>
      </c>
      <c r="T207" s="23" t="s">
        <v>2052</v>
      </c>
      <c r="U207" s="23" t="s">
        <v>109</v>
      </c>
      <c r="V207" s="28">
        <v>46154.0</v>
      </c>
      <c r="W207" s="28">
        <v>46184.0</v>
      </c>
      <c r="X207" s="172">
        <v>46178.0</v>
      </c>
      <c r="Y207" s="23" t="s">
        <v>109</v>
      </c>
      <c r="Z207" s="29"/>
      <c r="AA207" s="24" t="s">
        <v>65</v>
      </c>
      <c r="AB207" s="23" t="s">
        <v>167</v>
      </c>
      <c r="AC207" s="30">
        <v>275000.0</v>
      </c>
      <c r="AD207" s="31">
        <v>0.03</v>
      </c>
      <c r="AE207" s="32">
        <f t="shared" si="75"/>
        <v>8250</v>
      </c>
      <c r="AF207" s="33">
        <v>595.0</v>
      </c>
      <c r="AG207" s="34" t="s">
        <v>111</v>
      </c>
      <c r="AH207" s="34" t="s">
        <v>111</v>
      </c>
      <c r="AI207" s="34">
        <v>1250.0</v>
      </c>
      <c r="AJ207" s="34">
        <v>0.0</v>
      </c>
      <c r="AK207" s="34">
        <v>0.0</v>
      </c>
      <c r="AL207" s="36">
        <v>0.0</v>
      </c>
      <c r="AM207" s="37" t="s">
        <v>202</v>
      </c>
      <c r="AN207" s="38">
        <f t="shared" si="76"/>
        <v>9500</v>
      </c>
      <c r="AO207" s="39">
        <f t="shared" si="77"/>
        <v>3070</v>
      </c>
      <c r="AP207" s="40">
        <f t="shared" si="67"/>
        <v>6430</v>
      </c>
      <c r="AQ207" s="14"/>
      <c r="AR207" s="41"/>
      <c r="AS207" s="14"/>
      <c r="AT207" s="23" t="s">
        <v>570</v>
      </c>
      <c r="AU207" s="42"/>
      <c r="AV207" s="23" t="s">
        <v>2053</v>
      </c>
      <c r="AW207" s="23" t="s">
        <v>572</v>
      </c>
      <c r="AX207" s="112"/>
      <c r="AY207" s="203">
        <v>46190.0</v>
      </c>
      <c r="AZ207" s="42"/>
    </row>
    <row r="208">
      <c r="A208" s="23" t="s">
        <v>98</v>
      </c>
      <c r="B208" s="23" t="s">
        <v>84</v>
      </c>
      <c r="C208" s="106" t="s">
        <v>2054</v>
      </c>
      <c r="D208" s="23" t="s">
        <v>1971</v>
      </c>
      <c r="E208" s="23">
        <v>92307.0</v>
      </c>
      <c r="F208" s="23" t="s">
        <v>101</v>
      </c>
      <c r="G208" s="23" t="s">
        <v>399</v>
      </c>
      <c r="H208" s="23" t="s">
        <v>73</v>
      </c>
      <c r="I208" s="23" t="s">
        <v>53</v>
      </c>
      <c r="J208" s="23" t="s">
        <v>103</v>
      </c>
      <c r="K208" s="25" t="s">
        <v>2055</v>
      </c>
      <c r="L208" s="26" t="s">
        <v>2056</v>
      </c>
      <c r="M208" s="26" t="s">
        <v>2057</v>
      </c>
      <c r="N208" s="27" t="s">
        <v>92</v>
      </c>
      <c r="O208" s="23" t="s">
        <v>2058</v>
      </c>
      <c r="P208" s="23" t="s">
        <v>60</v>
      </c>
      <c r="Q208" s="23" t="s">
        <v>132</v>
      </c>
      <c r="R208" s="23" t="s">
        <v>94</v>
      </c>
      <c r="S208" s="23" t="s">
        <v>2059</v>
      </c>
      <c r="T208" s="23" t="s">
        <v>2060</v>
      </c>
      <c r="U208" s="23" t="s">
        <v>109</v>
      </c>
      <c r="V208" s="28">
        <v>46142.0</v>
      </c>
      <c r="W208" s="28">
        <v>46177.0</v>
      </c>
      <c r="X208" s="28">
        <v>46178.0</v>
      </c>
      <c r="Y208" s="23" t="s">
        <v>109</v>
      </c>
      <c r="Z208" s="29"/>
      <c r="AA208" s="24" t="s">
        <v>65</v>
      </c>
      <c r="AB208" s="23" t="s">
        <v>145</v>
      </c>
      <c r="AC208" s="30">
        <v>450000.0</v>
      </c>
      <c r="AD208" s="31">
        <v>0.025</v>
      </c>
      <c r="AE208" s="32">
        <f t="shared" si="75"/>
        <v>11250</v>
      </c>
      <c r="AF208" s="33">
        <v>595.0</v>
      </c>
      <c r="AG208" s="34" t="s">
        <v>111</v>
      </c>
      <c r="AH208" s="34" t="s">
        <v>111</v>
      </c>
      <c r="AI208" s="34">
        <v>1345.0</v>
      </c>
      <c r="AJ208" s="34">
        <v>0.0</v>
      </c>
      <c r="AK208" s="34">
        <f>AE208*0.4</f>
        <v>4500</v>
      </c>
      <c r="AL208" s="36">
        <v>0.0</v>
      </c>
      <c r="AM208" s="37" t="s">
        <v>84</v>
      </c>
      <c r="AN208" s="38">
        <f t="shared" si="76"/>
        <v>8095</v>
      </c>
      <c r="AO208" s="39">
        <f t="shared" si="77"/>
        <v>3970</v>
      </c>
      <c r="AP208" s="40">
        <f t="shared" si="67"/>
        <v>4125</v>
      </c>
      <c r="AQ208" s="14"/>
      <c r="AR208" s="41" t="s">
        <v>2061</v>
      </c>
      <c r="AS208" s="14"/>
      <c r="AT208" s="23" t="s">
        <v>570</v>
      </c>
      <c r="AU208" s="42"/>
      <c r="AV208" s="23" t="s">
        <v>2053</v>
      </c>
      <c r="AW208" s="23" t="s">
        <v>572</v>
      </c>
      <c r="AX208" s="112"/>
      <c r="AY208" s="203">
        <v>46190.0</v>
      </c>
      <c r="AZ208" s="42"/>
    </row>
    <row r="209">
      <c r="A209" s="23" t="s">
        <v>98</v>
      </c>
      <c r="B209" s="23" t="s">
        <v>84</v>
      </c>
      <c r="C209" s="106" t="s">
        <v>2062</v>
      </c>
      <c r="D209" s="23" t="s">
        <v>170</v>
      </c>
      <c r="E209" s="23">
        <v>92596.0</v>
      </c>
      <c r="F209" s="23" t="s">
        <v>50</v>
      </c>
      <c r="G209" s="23" t="s">
        <v>214</v>
      </c>
      <c r="H209" s="23" t="s">
        <v>172</v>
      </c>
      <c r="I209" s="23" t="s">
        <v>53</v>
      </c>
      <c r="J209" s="23" t="s">
        <v>54</v>
      </c>
      <c r="K209" s="25" t="s">
        <v>2063</v>
      </c>
      <c r="L209" s="26" t="s">
        <v>2064</v>
      </c>
      <c r="M209" s="26" t="s">
        <v>2065</v>
      </c>
      <c r="N209" s="27" t="s">
        <v>92</v>
      </c>
      <c r="O209" s="23" t="s">
        <v>2066</v>
      </c>
      <c r="P209" s="23" t="s">
        <v>60</v>
      </c>
      <c r="Q209" s="23" t="s">
        <v>132</v>
      </c>
      <c r="R209" s="23" t="s">
        <v>94</v>
      </c>
      <c r="S209" s="23" t="s">
        <v>2067</v>
      </c>
      <c r="T209" s="23" t="s">
        <v>2068</v>
      </c>
      <c r="U209" s="23" t="s">
        <v>109</v>
      </c>
      <c r="V209" s="28">
        <v>46139.0</v>
      </c>
      <c r="W209" s="28">
        <v>46160.0</v>
      </c>
      <c r="X209" s="28">
        <v>46181.0</v>
      </c>
      <c r="Y209" s="23" t="s">
        <v>109</v>
      </c>
      <c r="Z209" s="29"/>
      <c r="AA209" s="24" t="s">
        <v>65</v>
      </c>
      <c r="AB209" s="23" t="s">
        <v>901</v>
      </c>
      <c r="AC209" s="30">
        <v>634000.0</v>
      </c>
      <c r="AD209" s="31">
        <v>0.03</v>
      </c>
      <c r="AE209" s="32">
        <f t="shared" si="75"/>
        <v>19020</v>
      </c>
      <c r="AF209" s="33">
        <v>595.0</v>
      </c>
      <c r="AG209" s="34">
        <v>500.0</v>
      </c>
      <c r="AH209" s="34" t="s">
        <v>82</v>
      </c>
      <c r="AI209" s="34">
        <v>1350.0</v>
      </c>
      <c r="AJ209" s="34">
        <v>0.0</v>
      </c>
      <c r="AK209" s="34">
        <v>0.0</v>
      </c>
      <c r="AL209" s="36">
        <v>0.0</v>
      </c>
      <c r="AM209" s="37" t="s">
        <v>84</v>
      </c>
      <c r="AN209" s="38">
        <f t="shared" si="76"/>
        <v>20370</v>
      </c>
      <c r="AO209" s="39">
        <f t="shared" si="77"/>
        <v>10105</v>
      </c>
      <c r="AP209" s="40">
        <f t="shared" si="67"/>
        <v>9765</v>
      </c>
      <c r="AQ209" s="14"/>
      <c r="AR209" s="41"/>
      <c r="AS209" s="14"/>
      <c r="AT209" s="23" t="s">
        <v>570</v>
      </c>
      <c r="AU209" s="42"/>
      <c r="AV209" s="37" t="s">
        <v>1987</v>
      </c>
      <c r="AW209" s="37" t="s">
        <v>572</v>
      </c>
      <c r="AX209" s="112"/>
      <c r="AY209" s="113" t="s">
        <v>2069</v>
      </c>
      <c r="AZ209" s="42"/>
    </row>
    <row r="210">
      <c r="A210" s="23" t="s">
        <v>98</v>
      </c>
      <c r="B210" s="23" t="s">
        <v>47</v>
      </c>
      <c r="C210" s="106" t="s">
        <v>2070</v>
      </c>
      <c r="D210" s="23" t="s">
        <v>1641</v>
      </c>
      <c r="E210" s="23">
        <v>92120.0</v>
      </c>
      <c r="F210" s="23" t="s">
        <v>87</v>
      </c>
      <c r="G210" s="23" t="s">
        <v>1490</v>
      </c>
      <c r="H210" s="23" t="s">
        <v>52</v>
      </c>
      <c r="I210" s="23" t="s">
        <v>53</v>
      </c>
      <c r="J210" s="23" t="s">
        <v>103</v>
      </c>
      <c r="K210" s="25" t="s">
        <v>2071</v>
      </c>
      <c r="L210" s="43"/>
      <c r="M210" s="26" t="s">
        <v>2072</v>
      </c>
      <c r="N210" s="27" t="s">
        <v>239</v>
      </c>
      <c r="O210" s="23" t="s">
        <v>59</v>
      </c>
      <c r="P210" s="23" t="s">
        <v>249</v>
      </c>
      <c r="Q210" s="23" t="s">
        <v>61</v>
      </c>
      <c r="R210" s="23"/>
      <c r="S210" s="23" t="s">
        <v>2073</v>
      </c>
      <c r="T210" s="23" t="s">
        <v>2074</v>
      </c>
      <c r="U210" s="23" t="s">
        <v>109</v>
      </c>
      <c r="V210" s="28">
        <v>46147.0</v>
      </c>
      <c r="W210" s="28">
        <v>46177.0</v>
      </c>
      <c r="X210" s="28">
        <v>46181.0</v>
      </c>
      <c r="Y210" s="23" t="s">
        <v>109</v>
      </c>
      <c r="Z210" s="29"/>
      <c r="AA210" s="24" t="s">
        <v>65</v>
      </c>
      <c r="AB210" s="23" t="s">
        <v>167</v>
      </c>
      <c r="AC210" s="30">
        <v>1150000.0</v>
      </c>
      <c r="AD210" s="31">
        <v>0.02</v>
      </c>
      <c r="AE210" s="32">
        <f t="shared" si="75"/>
        <v>23000</v>
      </c>
      <c r="AF210" s="33">
        <v>595.0</v>
      </c>
      <c r="AG210" s="34">
        <v>500.0</v>
      </c>
      <c r="AH210" s="34" t="s">
        <v>82</v>
      </c>
      <c r="AI210" s="34">
        <v>1095.0</v>
      </c>
      <c r="AJ210" s="34">
        <v>0.0</v>
      </c>
      <c r="AK210" s="34">
        <v>0.0</v>
      </c>
      <c r="AL210" s="36">
        <v>0.0</v>
      </c>
      <c r="AM210" s="37" t="s">
        <v>168</v>
      </c>
      <c r="AN210" s="38">
        <f t="shared" si="76"/>
        <v>24095</v>
      </c>
      <c r="AO210" s="39">
        <f t="shared" si="77"/>
        <v>2895</v>
      </c>
      <c r="AP210" s="40">
        <f t="shared" si="67"/>
        <v>20700</v>
      </c>
      <c r="AQ210" s="14"/>
      <c r="AR210" s="41" t="s">
        <v>2075</v>
      </c>
      <c r="AS210" s="14"/>
      <c r="AT210" s="23" t="s">
        <v>570</v>
      </c>
      <c r="AU210" s="42"/>
      <c r="AV210" s="23" t="s">
        <v>2053</v>
      </c>
      <c r="AW210" s="23" t="s">
        <v>572</v>
      </c>
      <c r="AX210" s="112"/>
      <c r="AY210" s="203">
        <v>46190.0</v>
      </c>
      <c r="AZ210" s="42"/>
    </row>
    <row r="211">
      <c r="A211" s="23" t="s">
        <v>98</v>
      </c>
      <c r="B211" s="23" t="s">
        <v>84</v>
      </c>
      <c r="C211" s="106" t="s">
        <v>2076</v>
      </c>
      <c r="D211" s="23" t="s">
        <v>2077</v>
      </c>
      <c r="E211" s="23">
        <v>92595.0</v>
      </c>
      <c r="F211" s="23" t="s">
        <v>50</v>
      </c>
      <c r="G211" s="23" t="s">
        <v>139</v>
      </c>
      <c r="H211" s="23" t="s">
        <v>73</v>
      </c>
      <c r="I211" s="23" t="s">
        <v>371</v>
      </c>
      <c r="J211" s="23" t="s">
        <v>103</v>
      </c>
      <c r="K211" s="25" t="s">
        <v>2078</v>
      </c>
      <c r="L211" s="26" t="s">
        <v>2079</v>
      </c>
      <c r="M211" s="26" t="s">
        <v>2080</v>
      </c>
      <c r="N211" s="27" t="s">
        <v>92</v>
      </c>
      <c r="O211" s="23" t="s">
        <v>2081</v>
      </c>
      <c r="P211" s="23" t="s">
        <v>60</v>
      </c>
      <c r="Q211" s="23" t="s">
        <v>132</v>
      </c>
      <c r="R211" s="23" t="s">
        <v>94</v>
      </c>
      <c r="S211" s="23" t="s">
        <v>2082</v>
      </c>
      <c r="T211" s="23" t="s">
        <v>2083</v>
      </c>
      <c r="U211" s="23" t="s">
        <v>109</v>
      </c>
      <c r="V211" s="28">
        <v>46142.0</v>
      </c>
      <c r="W211" s="28">
        <v>46174.0</v>
      </c>
      <c r="X211" s="28">
        <v>46181.0</v>
      </c>
      <c r="Y211" s="23" t="s">
        <v>109</v>
      </c>
      <c r="Z211" s="29"/>
      <c r="AA211" s="24" t="s">
        <v>65</v>
      </c>
      <c r="AB211" s="23" t="s">
        <v>110</v>
      </c>
      <c r="AC211" s="30">
        <v>670000.0</v>
      </c>
      <c r="AD211" s="31">
        <v>0.025</v>
      </c>
      <c r="AE211" s="32">
        <f t="shared" si="75"/>
        <v>16750</v>
      </c>
      <c r="AF211" s="33">
        <v>695.0</v>
      </c>
      <c r="AG211" s="34">
        <v>0.0</v>
      </c>
      <c r="AH211" s="34" t="s">
        <v>82</v>
      </c>
      <c r="AI211" s="34">
        <v>695.0</v>
      </c>
      <c r="AJ211" s="34">
        <v>0.0</v>
      </c>
      <c r="AK211" s="34">
        <f>AE211*0.4</f>
        <v>6700</v>
      </c>
      <c r="AL211" s="36">
        <v>0.0</v>
      </c>
      <c r="AM211" s="120" t="s">
        <v>784</v>
      </c>
      <c r="AN211" s="38">
        <f>if(AF211=595, SUM(AE211+AI211-AK211-AJ211),sum(AE211-AJ211-AK211,695))</f>
        <v>10745</v>
      </c>
      <c r="AO211" s="39">
        <f>if(AM211="Buyer",-sum((-AE211+AK211+AJ211)*50%),if(AM211="Seller",-sum((-AE211+AK211+AJ211)*50%),-sum(((-AE211+AK211+AJ211)*((100-right(AM211,2))/100)))))+if(AF211&lt;&gt;595,695, sum(AF211))</f>
        <v>6725</v>
      </c>
      <c r="AP211" s="40">
        <f t="shared" si="67"/>
        <v>4020</v>
      </c>
      <c r="AQ211" s="14"/>
      <c r="AR211" s="41"/>
      <c r="AS211" s="14"/>
      <c r="AT211" s="23" t="s">
        <v>570</v>
      </c>
      <c r="AU211" s="42"/>
      <c r="AV211" s="23" t="s">
        <v>2084</v>
      </c>
      <c r="AW211" s="23" t="s">
        <v>114</v>
      </c>
      <c r="AX211" s="112"/>
      <c r="AY211" s="203">
        <v>46190.0</v>
      </c>
      <c r="AZ211" s="42"/>
    </row>
    <row r="212">
      <c r="A212" s="23" t="s">
        <v>98</v>
      </c>
      <c r="B212" s="23" t="s">
        <v>47</v>
      </c>
      <c r="C212" s="106" t="s">
        <v>2085</v>
      </c>
      <c r="D212" s="23" t="s">
        <v>1243</v>
      </c>
      <c r="E212" s="23">
        <v>92028.0</v>
      </c>
      <c r="F212" s="23" t="s">
        <v>87</v>
      </c>
      <c r="G212" s="23" t="s">
        <v>719</v>
      </c>
      <c r="H212" s="23" t="s">
        <v>172</v>
      </c>
      <c r="I212" s="23" t="s">
        <v>53</v>
      </c>
      <c r="J212" s="23" t="s">
        <v>54</v>
      </c>
      <c r="K212" s="25" t="s">
        <v>2086</v>
      </c>
      <c r="L212" s="26" t="s">
        <v>2087</v>
      </c>
      <c r="M212" s="26" t="s">
        <v>2088</v>
      </c>
      <c r="N212" s="27" t="s">
        <v>312</v>
      </c>
      <c r="O212" s="23" t="s">
        <v>1225</v>
      </c>
      <c r="P212" s="23" t="s">
        <v>60</v>
      </c>
      <c r="Q212" s="23" t="s">
        <v>61</v>
      </c>
      <c r="R212" s="23" t="s">
        <v>79</v>
      </c>
      <c r="S212" s="23" t="s">
        <v>2089</v>
      </c>
      <c r="T212" s="23" t="s">
        <v>2090</v>
      </c>
      <c r="U212" s="23" t="s">
        <v>109</v>
      </c>
      <c r="V212" s="28">
        <v>46149.0</v>
      </c>
      <c r="W212" s="28">
        <v>46177.0</v>
      </c>
      <c r="X212" s="28">
        <v>46182.0</v>
      </c>
      <c r="Y212" s="23" t="s">
        <v>109</v>
      </c>
      <c r="Z212" s="29"/>
      <c r="AA212" s="24" t="s">
        <v>65</v>
      </c>
      <c r="AB212" s="23" t="s">
        <v>167</v>
      </c>
      <c r="AC212" s="30">
        <v>780000.0</v>
      </c>
      <c r="AD212" s="31">
        <v>0.02</v>
      </c>
      <c r="AE212" s="32">
        <f t="shared" si="75"/>
        <v>15600</v>
      </c>
      <c r="AF212" s="33">
        <v>595.0</v>
      </c>
      <c r="AG212" s="34">
        <v>500.0</v>
      </c>
      <c r="AH212" s="34" t="s">
        <v>82</v>
      </c>
      <c r="AI212" s="34">
        <v>1390.0</v>
      </c>
      <c r="AJ212" s="34">
        <v>200.0</v>
      </c>
      <c r="AK212" s="34">
        <v>0.0</v>
      </c>
      <c r="AL212" s="36">
        <v>0.0</v>
      </c>
      <c r="AM212" s="37" t="s">
        <v>212</v>
      </c>
      <c r="AN212" s="38">
        <f t="shared" ref="AN212:AN243" si="78">if(AF212=595, SUM(AE212+AI212-AK212-AJ212),sum(AE212-AJ212-AK212,595))</f>
        <v>16790</v>
      </c>
      <c r="AO212" s="39">
        <f>if(AM212="Buyer",-sum((-AE212+AK212+AJ212)*50%),if(AM212="Seller",-sum((-AE212+AK212+AJ212)*50%),-sum(((-AE212+AK212)*((100-right(AM212,2))/100)))))+if(AF212&lt;&gt;595,595, sum(AF212))</f>
        <v>3715</v>
      </c>
      <c r="AP212" s="40">
        <f t="shared" si="67"/>
        <v>12575</v>
      </c>
      <c r="AQ212" s="14"/>
      <c r="AR212" s="41"/>
      <c r="AS212" s="14"/>
      <c r="AT212" s="23" t="s">
        <v>570</v>
      </c>
      <c r="AU212" s="42"/>
      <c r="AV212" s="23" t="s">
        <v>2053</v>
      </c>
      <c r="AW212" s="23" t="s">
        <v>572</v>
      </c>
      <c r="AX212" s="112"/>
      <c r="AY212" s="203">
        <v>46190.0</v>
      </c>
      <c r="AZ212" s="42"/>
    </row>
    <row r="213">
      <c r="A213" s="23" t="s">
        <v>98</v>
      </c>
      <c r="B213" s="23" t="s">
        <v>84</v>
      </c>
      <c r="C213" s="106" t="s">
        <v>2091</v>
      </c>
      <c r="D213" s="23" t="s">
        <v>2092</v>
      </c>
      <c r="E213" s="23">
        <v>93274.0</v>
      </c>
      <c r="F213" s="23" t="s">
        <v>2093</v>
      </c>
      <c r="G213" s="23" t="s">
        <v>1809</v>
      </c>
      <c r="H213" s="23" t="s">
        <v>52</v>
      </c>
      <c r="I213" s="23" t="s">
        <v>53</v>
      </c>
      <c r="J213" s="23" t="s">
        <v>54</v>
      </c>
      <c r="K213" s="25" t="s">
        <v>2094</v>
      </c>
      <c r="L213" s="26" t="s">
        <v>2095</v>
      </c>
      <c r="M213" s="26" t="s">
        <v>2096</v>
      </c>
      <c r="N213" s="27" t="s">
        <v>92</v>
      </c>
      <c r="O213" s="23" t="s">
        <v>178</v>
      </c>
      <c r="P213" s="23" t="s">
        <v>93</v>
      </c>
      <c r="Q213" s="23" t="s">
        <v>132</v>
      </c>
      <c r="R213" s="23" t="s">
        <v>178</v>
      </c>
      <c r="S213" s="23" t="s">
        <v>2097</v>
      </c>
      <c r="T213" s="23" t="s">
        <v>2098</v>
      </c>
      <c r="U213" s="23" t="s">
        <v>109</v>
      </c>
      <c r="V213" s="28">
        <v>46136.0</v>
      </c>
      <c r="W213" s="28">
        <v>46168.0</v>
      </c>
      <c r="X213" s="28">
        <v>46183.0</v>
      </c>
      <c r="Y213" s="23" t="s">
        <v>109</v>
      </c>
      <c r="Z213" s="29"/>
      <c r="AA213" s="24" t="s">
        <v>65</v>
      </c>
      <c r="AB213" s="23" t="s">
        <v>167</v>
      </c>
      <c r="AC213" s="30">
        <v>525000.0</v>
      </c>
      <c r="AD213" s="31">
        <v>0.02</v>
      </c>
      <c r="AE213" s="32">
        <f t="shared" si="75"/>
        <v>10500</v>
      </c>
      <c r="AF213" s="33">
        <v>595.0</v>
      </c>
      <c r="AG213" s="34">
        <v>500.0</v>
      </c>
      <c r="AH213" s="34" t="s">
        <v>82</v>
      </c>
      <c r="AI213" s="34">
        <v>1425.0</v>
      </c>
      <c r="AJ213" s="34">
        <v>0.0</v>
      </c>
      <c r="AK213" s="34">
        <v>0.0</v>
      </c>
      <c r="AL213" s="36">
        <v>0.0</v>
      </c>
      <c r="AM213" s="37" t="s">
        <v>552</v>
      </c>
      <c r="AN213" s="38">
        <f t="shared" si="78"/>
        <v>11925</v>
      </c>
      <c r="AO213" s="39">
        <f t="shared" ref="AO213:AO219" si="79">if(AM213="Buyer",-sum((-AE213+AK213+AJ213)*50%),if(AM213="Seller",-sum((-AE213+AK213+AJ213)*50%),-sum(((-AE213+AK213+AJ213)*((100-right(AM213,2))/100)))))+if(AF213&lt;&gt;595,595, sum(AF213))</f>
        <v>2170</v>
      </c>
      <c r="AP213" s="40">
        <f t="shared" si="67"/>
        <v>9255</v>
      </c>
      <c r="AQ213" s="14"/>
      <c r="AR213" s="41"/>
      <c r="AS213" s="14"/>
      <c r="AT213" s="23" t="s">
        <v>570</v>
      </c>
      <c r="AU213" s="42"/>
      <c r="AV213" s="23" t="s">
        <v>2053</v>
      </c>
      <c r="AW213" s="23" t="s">
        <v>572</v>
      </c>
      <c r="AX213" s="112"/>
      <c r="AY213" s="203">
        <v>46190.0</v>
      </c>
      <c r="AZ213" s="42"/>
    </row>
    <row r="214">
      <c r="A214" s="23" t="s">
        <v>98</v>
      </c>
      <c r="B214" s="23" t="s">
        <v>84</v>
      </c>
      <c r="C214" s="106" t="s">
        <v>2099</v>
      </c>
      <c r="D214" s="23" t="s">
        <v>760</v>
      </c>
      <c r="E214" s="23">
        <v>92585.0</v>
      </c>
      <c r="F214" s="23" t="s">
        <v>50</v>
      </c>
      <c r="G214" s="23" t="s">
        <v>102</v>
      </c>
      <c r="H214" s="23" t="s">
        <v>73</v>
      </c>
      <c r="I214" s="23" t="s">
        <v>53</v>
      </c>
      <c r="J214" s="23" t="s">
        <v>103</v>
      </c>
      <c r="K214" s="49" t="s">
        <v>2100</v>
      </c>
      <c r="L214" s="49" t="s">
        <v>2101</v>
      </c>
      <c r="M214" s="49" t="s">
        <v>2102</v>
      </c>
      <c r="N214" s="27" t="s">
        <v>92</v>
      </c>
      <c r="O214" s="23" t="s">
        <v>2103</v>
      </c>
      <c r="P214" s="23" t="s">
        <v>60</v>
      </c>
      <c r="Q214" s="23" t="s">
        <v>132</v>
      </c>
      <c r="R214" s="23" t="s">
        <v>94</v>
      </c>
      <c r="S214" s="23" t="s">
        <v>2104</v>
      </c>
      <c r="T214" s="23" t="s">
        <v>2105</v>
      </c>
      <c r="U214" s="23" t="s">
        <v>109</v>
      </c>
      <c r="V214" s="28">
        <v>46143.0</v>
      </c>
      <c r="W214" s="28">
        <v>46175.0</v>
      </c>
      <c r="X214" s="28">
        <v>46185.0</v>
      </c>
      <c r="Y214" s="23" t="s">
        <v>109</v>
      </c>
      <c r="Z214" s="29"/>
      <c r="AA214" s="24" t="s">
        <v>65</v>
      </c>
      <c r="AB214" s="23" t="s">
        <v>167</v>
      </c>
      <c r="AC214" s="30">
        <v>560000.0</v>
      </c>
      <c r="AD214" s="31">
        <v>0.015</v>
      </c>
      <c r="AE214" s="32">
        <f t="shared" si="75"/>
        <v>8400</v>
      </c>
      <c r="AF214" s="33">
        <v>595.0</v>
      </c>
      <c r="AG214" s="34" t="s">
        <v>111</v>
      </c>
      <c r="AH214" s="34" t="s">
        <v>111</v>
      </c>
      <c r="AI214" s="34">
        <v>0.0</v>
      </c>
      <c r="AJ214" s="34">
        <v>0.0</v>
      </c>
      <c r="AK214" s="34">
        <v>0.0</v>
      </c>
      <c r="AL214" s="36">
        <v>0.0</v>
      </c>
      <c r="AM214" s="37" t="s">
        <v>202</v>
      </c>
      <c r="AN214" s="38">
        <f t="shared" si="78"/>
        <v>8400</v>
      </c>
      <c r="AO214" s="39">
        <f t="shared" si="79"/>
        <v>3115</v>
      </c>
      <c r="AP214" s="40">
        <f t="shared" si="67"/>
        <v>5285</v>
      </c>
      <c r="AQ214" s="14"/>
      <c r="AR214" s="41"/>
      <c r="AS214" s="14"/>
      <c r="AT214" s="23"/>
      <c r="AU214" s="42"/>
      <c r="AV214" s="23" t="s">
        <v>2053</v>
      </c>
      <c r="AW214" s="23" t="s">
        <v>572</v>
      </c>
      <c r="AX214" s="112"/>
      <c r="AY214" s="203">
        <v>46190.0</v>
      </c>
      <c r="AZ214" s="42"/>
    </row>
    <row r="215">
      <c r="A215" s="23" t="s">
        <v>360</v>
      </c>
      <c r="B215" s="23" t="s">
        <v>84</v>
      </c>
      <c r="C215" s="106" t="s">
        <v>2106</v>
      </c>
      <c r="D215" s="23" t="s">
        <v>1971</v>
      </c>
      <c r="E215" s="23">
        <v>92308.0</v>
      </c>
      <c r="F215" s="23" t="s">
        <v>101</v>
      </c>
      <c r="G215" s="23" t="s">
        <v>542</v>
      </c>
      <c r="H215" s="23" t="s">
        <v>52</v>
      </c>
      <c r="I215" s="23" t="s">
        <v>53</v>
      </c>
      <c r="J215" s="23" t="s">
        <v>54</v>
      </c>
      <c r="K215" s="25" t="s">
        <v>2107</v>
      </c>
      <c r="L215" s="26" t="s">
        <v>2108</v>
      </c>
      <c r="M215" s="26" t="s">
        <v>2109</v>
      </c>
      <c r="N215" s="27" t="s">
        <v>92</v>
      </c>
      <c r="O215" s="23" t="s">
        <v>2110</v>
      </c>
      <c r="P215" s="23" t="s">
        <v>60</v>
      </c>
      <c r="Q215" s="23" t="s">
        <v>132</v>
      </c>
      <c r="R215" s="23" t="s">
        <v>94</v>
      </c>
      <c r="S215" s="23" t="s">
        <v>2111</v>
      </c>
      <c r="T215" s="23" t="s">
        <v>2112</v>
      </c>
      <c r="U215" s="23" t="s">
        <v>109</v>
      </c>
      <c r="V215" s="28">
        <v>46147.0</v>
      </c>
      <c r="W215" s="28">
        <v>46209.0</v>
      </c>
      <c r="X215" s="28">
        <v>46185.0</v>
      </c>
      <c r="Y215" s="23" t="s">
        <v>109</v>
      </c>
      <c r="Z215" s="29"/>
      <c r="AA215" s="24" t="s">
        <v>65</v>
      </c>
      <c r="AB215" s="23" t="s">
        <v>167</v>
      </c>
      <c r="AC215" s="30">
        <v>255000.0</v>
      </c>
      <c r="AD215" s="31">
        <v>0.05</v>
      </c>
      <c r="AE215" s="32">
        <f t="shared" si="75"/>
        <v>12750</v>
      </c>
      <c r="AF215" s="33">
        <v>595.0</v>
      </c>
      <c r="AG215" s="34">
        <v>500.0</v>
      </c>
      <c r="AH215" s="34" t="s">
        <v>82</v>
      </c>
      <c r="AI215" s="34">
        <v>1500.0</v>
      </c>
      <c r="AJ215" s="34">
        <f>AE215*0.05</f>
        <v>637.5</v>
      </c>
      <c r="AK215" s="34">
        <v>0.0</v>
      </c>
      <c r="AL215" s="36">
        <v>0.0</v>
      </c>
      <c r="AM215" s="37" t="s">
        <v>552</v>
      </c>
      <c r="AN215" s="38">
        <f t="shared" si="78"/>
        <v>13612.5</v>
      </c>
      <c r="AO215" s="39">
        <f t="shared" si="79"/>
        <v>2411.875</v>
      </c>
      <c r="AP215" s="40">
        <f t="shared" si="67"/>
        <v>10700.625</v>
      </c>
      <c r="AQ215" s="14"/>
      <c r="AR215" s="41" t="s">
        <v>2113</v>
      </c>
      <c r="AS215" s="14"/>
      <c r="AT215" s="23" t="s">
        <v>67</v>
      </c>
      <c r="AU215" s="42"/>
      <c r="AV215" s="23" t="s">
        <v>2053</v>
      </c>
      <c r="AW215" s="23" t="s">
        <v>572</v>
      </c>
      <c r="AX215" s="112"/>
      <c r="AY215" s="203">
        <v>46190.0</v>
      </c>
      <c r="AZ215" s="42"/>
    </row>
    <row r="216" ht="14.25" customHeight="1">
      <c r="A216" s="23" t="s">
        <v>98</v>
      </c>
      <c r="B216" s="23" t="s">
        <v>47</v>
      </c>
      <c r="C216" s="106" t="s">
        <v>2114</v>
      </c>
      <c r="D216" s="23" t="s">
        <v>170</v>
      </c>
      <c r="E216" s="23">
        <v>92596.0</v>
      </c>
      <c r="F216" s="23" t="s">
        <v>50</v>
      </c>
      <c r="G216" s="23" t="s">
        <v>214</v>
      </c>
      <c r="H216" s="23" t="s">
        <v>172</v>
      </c>
      <c r="I216" s="23" t="s">
        <v>53</v>
      </c>
      <c r="J216" s="23" t="s">
        <v>54</v>
      </c>
      <c r="K216" s="25" t="s">
        <v>2115</v>
      </c>
      <c r="L216" s="26" t="s">
        <v>2116</v>
      </c>
      <c r="M216" s="26" t="s">
        <v>2117</v>
      </c>
      <c r="N216" s="27" t="s">
        <v>220</v>
      </c>
      <c r="O216" s="23" t="s">
        <v>2118</v>
      </c>
      <c r="P216" s="23" t="s">
        <v>343</v>
      </c>
      <c r="Q216" s="23" t="s">
        <v>343</v>
      </c>
      <c r="R216" s="27" t="s">
        <v>220</v>
      </c>
      <c r="S216" s="23" t="s">
        <v>359</v>
      </c>
      <c r="T216" s="23" t="s">
        <v>359</v>
      </c>
      <c r="U216" s="23" t="s">
        <v>109</v>
      </c>
      <c r="V216" s="28">
        <v>46139.0</v>
      </c>
      <c r="W216" s="28">
        <v>46190.0</v>
      </c>
      <c r="X216" s="28">
        <v>46190.0</v>
      </c>
      <c r="Y216" s="23" t="s">
        <v>109</v>
      </c>
      <c r="Z216" s="29"/>
      <c r="AA216" s="24" t="s">
        <v>343</v>
      </c>
      <c r="AB216" s="23" t="s">
        <v>167</v>
      </c>
      <c r="AC216" s="30">
        <v>583500.0</v>
      </c>
      <c r="AD216" s="31">
        <f>AE216/AC216</f>
        <v>0.01917086547</v>
      </c>
      <c r="AE216" s="32">
        <v>11186.2</v>
      </c>
      <c r="AF216" s="33">
        <v>595.0</v>
      </c>
      <c r="AG216" s="34">
        <v>200.0</v>
      </c>
      <c r="AH216" s="34" t="s">
        <v>82</v>
      </c>
      <c r="AI216" s="34">
        <v>1095.0</v>
      </c>
      <c r="AJ216" s="34">
        <v>0.0</v>
      </c>
      <c r="AK216" s="34">
        <v>0.0</v>
      </c>
      <c r="AL216" s="36">
        <v>0.0</v>
      </c>
      <c r="AM216" s="37" t="s">
        <v>212</v>
      </c>
      <c r="AN216" s="38">
        <f t="shared" si="78"/>
        <v>12281.2</v>
      </c>
      <c r="AO216" s="39">
        <f t="shared" si="79"/>
        <v>2832.24</v>
      </c>
      <c r="AP216" s="40">
        <f t="shared" si="67"/>
        <v>9248.96</v>
      </c>
      <c r="AQ216" s="14"/>
      <c r="AR216" s="41"/>
      <c r="AS216" s="14"/>
      <c r="AT216" s="23" t="s">
        <v>67</v>
      </c>
      <c r="AU216" s="42"/>
      <c r="AV216" s="23" t="s">
        <v>2119</v>
      </c>
      <c r="AW216" s="23" t="s">
        <v>572</v>
      </c>
      <c r="AX216" s="112"/>
      <c r="AY216" s="113" t="s">
        <v>2120</v>
      </c>
      <c r="AZ216" s="42"/>
    </row>
    <row r="217">
      <c r="A217" s="23" t="s">
        <v>98</v>
      </c>
      <c r="B217" s="23" t="s">
        <v>47</v>
      </c>
      <c r="C217" s="106" t="s">
        <v>2121</v>
      </c>
      <c r="D217" s="23" t="s">
        <v>170</v>
      </c>
      <c r="E217" s="23">
        <v>92596.0</v>
      </c>
      <c r="F217" s="23" t="s">
        <v>50</v>
      </c>
      <c r="G217" s="23" t="s">
        <v>88</v>
      </c>
      <c r="H217" s="23" t="s">
        <v>73</v>
      </c>
      <c r="I217" s="23" t="s">
        <v>53</v>
      </c>
      <c r="J217" s="23" t="s">
        <v>54</v>
      </c>
      <c r="K217" s="25" t="s">
        <v>2122</v>
      </c>
      <c r="L217" s="26" t="s">
        <v>2123</v>
      </c>
      <c r="M217" s="26" t="s">
        <v>2124</v>
      </c>
      <c r="N217" s="27" t="s">
        <v>2125</v>
      </c>
      <c r="O217" s="23" t="s">
        <v>2126</v>
      </c>
      <c r="P217" s="23" t="s">
        <v>343</v>
      </c>
      <c r="Q217" s="23" t="s">
        <v>343</v>
      </c>
      <c r="R217" s="23" t="s">
        <v>343</v>
      </c>
      <c r="S217" s="47" t="s">
        <v>359</v>
      </c>
      <c r="T217" s="47" t="s">
        <v>359</v>
      </c>
      <c r="U217" s="23" t="s">
        <v>109</v>
      </c>
      <c r="V217" s="28">
        <v>46126.0</v>
      </c>
      <c r="W217" s="28">
        <v>46174.0</v>
      </c>
      <c r="X217" s="28">
        <v>46185.0</v>
      </c>
      <c r="Y217" s="23" t="s">
        <v>109</v>
      </c>
      <c r="Z217" s="29"/>
      <c r="AA217" s="24" t="s">
        <v>343</v>
      </c>
      <c r="AB217" s="23" t="s">
        <v>66</v>
      </c>
      <c r="AC217" s="30">
        <v>482990.0</v>
      </c>
      <c r="AD217" s="31">
        <v>0.02</v>
      </c>
      <c r="AE217" s="32">
        <f t="shared" ref="AE217:AE221" si="80">SUM(AC217*AD217)</f>
        <v>9659.8</v>
      </c>
      <c r="AF217" s="33">
        <v>595.0</v>
      </c>
      <c r="AG217" s="34" t="s">
        <v>111</v>
      </c>
      <c r="AH217" s="34" t="s">
        <v>82</v>
      </c>
      <c r="AI217" s="34">
        <v>1395.0</v>
      </c>
      <c r="AJ217" s="34">
        <v>0.0</v>
      </c>
      <c r="AK217" s="34">
        <f>AE217*0.4</f>
        <v>3863.92</v>
      </c>
      <c r="AL217" s="36">
        <v>0.0</v>
      </c>
      <c r="AM217" s="37" t="s">
        <v>47</v>
      </c>
      <c r="AN217" s="38">
        <f t="shared" si="78"/>
        <v>7190.88</v>
      </c>
      <c r="AO217" s="39">
        <f t="shared" si="79"/>
        <v>3492.94</v>
      </c>
      <c r="AP217" s="40">
        <f t="shared" si="67"/>
        <v>3697.94</v>
      </c>
      <c r="AQ217" s="14"/>
      <c r="AR217" s="41"/>
      <c r="AS217" s="14"/>
      <c r="AT217" s="23"/>
      <c r="AU217" s="42"/>
      <c r="AV217" s="23" t="s">
        <v>2119</v>
      </c>
      <c r="AW217" s="23" t="s">
        <v>572</v>
      </c>
      <c r="AX217" s="112"/>
      <c r="AY217" s="238" t="s">
        <v>2127</v>
      </c>
      <c r="AZ217" s="42"/>
    </row>
    <row r="218">
      <c r="A218" s="23" t="s">
        <v>98</v>
      </c>
      <c r="B218" s="23" t="s">
        <v>84</v>
      </c>
      <c r="C218" s="106" t="s">
        <v>2128</v>
      </c>
      <c r="D218" s="23" t="s">
        <v>183</v>
      </c>
      <c r="E218" s="23">
        <v>92557.0</v>
      </c>
      <c r="F218" s="23" t="s">
        <v>50</v>
      </c>
      <c r="G218" s="23" t="s">
        <v>88</v>
      </c>
      <c r="H218" s="23" t="s">
        <v>73</v>
      </c>
      <c r="I218" s="23" t="s">
        <v>53</v>
      </c>
      <c r="J218" s="23" t="s">
        <v>54</v>
      </c>
      <c r="K218" s="25" t="s">
        <v>2129</v>
      </c>
      <c r="L218" s="26" t="s">
        <v>2130</v>
      </c>
      <c r="M218" s="26" t="s">
        <v>2131</v>
      </c>
      <c r="N218" s="27" t="s">
        <v>92</v>
      </c>
      <c r="O218" s="23" t="s">
        <v>2132</v>
      </c>
      <c r="P218" s="23" t="s">
        <v>60</v>
      </c>
      <c r="Q218" s="23" t="s">
        <v>132</v>
      </c>
      <c r="R218" s="23" t="s">
        <v>94</v>
      </c>
      <c r="S218" s="23" t="s">
        <v>2133</v>
      </c>
      <c r="T218" s="23" t="s">
        <v>2134</v>
      </c>
      <c r="U218" s="23" t="s">
        <v>109</v>
      </c>
      <c r="V218" s="28">
        <v>46147.0</v>
      </c>
      <c r="W218" s="28">
        <v>46177.0</v>
      </c>
      <c r="X218" s="28">
        <v>46177.0</v>
      </c>
      <c r="Y218" s="23" t="s">
        <v>109</v>
      </c>
      <c r="Z218" s="29"/>
      <c r="AA218" s="24" t="s">
        <v>65</v>
      </c>
      <c r="AB218" s="23" t="s">
        <v>167</v>
      </c>
      <c r="AC218" s="30">
        <v>470000.0</v>
      </c>
      <c r="AD218" s="31">
        <v>0.04</v>
      </c>
      <c r="AE218" s="32">
        <f t="shared" si="80"/>
        <v>18800</v>
      </c>
      <c r="AF218" s="33">
        <v>595.0</v>
      </c>
      <c r="AG218" s="34">
        <v>0.0</v>
      </c>
      <c r="AH218" s="34" t="s">
        <v>82</v>
      </c>
      <c r="AI218" s="34">
        <v>699.0</v>
      </c>
      <c r="AJ218" s="34">
        <v>0.0</v>
      </c>
      <c r="AK218" s="34">
        <v>0.0</v>
      </c>
      <c r="AL218" s="36">
        <v>0.0</v>
      </c>
      <c r="AM218" s="37" t="s">
        <v>168</v>
      </c>
      <c r="AN218" s="38">
        <f t="shared" si="78"/>
        <v>19499</v>
      </c>
      <c r="AO218" s="39">
        <f t="shared" si="79"/>
        <v>2475</v>
      </c>
      <c r="AP218" s="40">
        <f t="shared" si="67"/>
        <v>17024</v>
      </c>
      <c r="AQ218" s="14"/>
      <c r="AR218" s="41"/>
      <c r="AS218" s="14"/>
      <c r="AT218" s="23" t="s">
        <v>67</v>
      </c>
      <c r="AU218" s="42"/>
      <c r="AV218" s="23" t="s">
        <v>2119</v>
      </c>
      <c r="AW218" s="23" t="s">
        <v>572</v>
      </c>
      <c r="AX218" s="112"/>
      <c r="AY218" s="238" t="s">
        <v>2127</v>
      </c>
      <c r="AZ218" s="42"/>
    </row>
    <row r="219">
      <c r="A219" s="23" t="s">
        <v>98</v>
      </c>
      <c r="B219" s="23" t="s">
        <v>84</v>
      </c>
      <c r="C219" s="239" t="s">
        <v>2135</v>
      </c>
      <c r="D219" s="23" t="s">
        <v>340</v>
      </c>
      <c r="E219" s="23">
        <v>92596.0</v>
      </c>
      <c r="F219" s="23" t="s">
        <v>50</v>
      </c>
      <c r="G219" s="23" t="s">
        <v>362</v>
      </c>
      <c r="H219" s="23" t="s">
        <v>52</v>
      </c>
      <c r="I219" s="23" t="s">
        <v>53</v>
      </c>
      <c r="J219" s="23" t="s">
        <v>103</v>
      </c>
      <c r="K219" s="25" t="s">
        <v>2136</v>
      </c>
      <c r="L219" s="26" t="s">
        <v>2137</v>
      </c>
      <c r="M219" s="27" t="s">
        <v>2138</v>
      </c>
      <c r="N219" s="27" t="s">
        <v>92</v>
      </c>
      <c r="O219" s="23" t="s">
        <v>2139</v>
      </c>
      <c r="P219" s="23" t="s">
        <v>60</v>
      </c>
      <c r="Q219" s="23" t="s">
        <v>132</v>
      </c>
      <c r="R219" s="23" t="s">
        <v>94</v>
      </c>
      <c r="S219" s="23" t="s">
        <v>2140</v>
      </c>
      <c r="T219" s="23" t="s">
        <v>2141</v>
      </c>
      <c r="U219" s="23" t="s">
        <v>109</v>
      </c>
      <c r="V219" s="28">
        <v>46156.0</v>
      </c>
      <c r="W219" s="28">
        <v>46183.0</v>
      </c>
      <c r="X219" s="28">
        <v>46189.0</v>
      </c>
      <c r="Y219" s="23" t="s">
        <v>109</v>
      </c>
      <c r="Z219" s="29"/>
      <c r="AA219" s="24" t="s">
        <v>65</v>
      </c>
      <c r="AB219" s="37" t="s">
        <v>167</v>
      </c>
      <c r="AC219" s="30">
        <v>604750.0</v>
      </c>
      <c r="AD219" s="31">
        <v>0.025</v>
      </c>
      <c r="AE219" s="32">
        <f t="shared" si="80"/>
        <v>15118.75</v>
      </c>
      <c r="AF219" s="33">
        <v>595.0</v>
      </c>
      <c r="AG219" s="34">
        <v>500.0</v>
      </c>
      <c r="AH219" s="34" t="s">
        <v>82</v>
      </c>
      <c r="AI219" s="34">
        <v>0.0</v>
      </c>
      <c r="AJ219" s="34">
        <v>0.0</v>
      </c>
      <c r="AK219" s="34">
        <v>0.0</v>
      </c>
      <c r="AL219" s="36">
        <v>0.0</v>
      </c>
      <c r="AM219" s="37" t="s">
        <v>168</v>
      </c>
      <c r="AN219" s="38">
        <f t="shared" si="78"/>
        <v>15118.75</v>
      </c>
      <c r="AO219" s="39">
        <f t="shared" si="79"/>
        <v>2106.875</v>
      </c>
      <c r="AP219" s="40">
        <f t="shared" si="67"/>
        <v>12511.875</v>
      </c>
      <c r="AQ219" s="14"/>
      <c r="AR219" s="41"/>
      <c r="AS219" s="14"/>
      <c r="AT219" s="23"/>
      <c r="AU219" s="42"/>
      <c r="AV219" s="23" t="s">
        <v>2142</v>
      </c>
      <c r="AW219" s="23" t="s">
        <v>114</v>
      </c>
      <c r="AX219" s="112"/>
      <c r="AY219" s="238" t="s">
        <v>2127</v>
      </c>
      <c r="AZ219" s="42"/>
    </row>
    <row r="220">
      <c r="A220" s="23" t="s">
        <v>98</v>
      </c>
      <c r="B220" s="23" t="s">
        <v>47</v>
      </c>
      <c r="C220" s="66" t="s">
        <v>2143</v>
      </c>
      <c r="D220" s="23" t="s">
        <v>158</v>
      </c>
      <c r="E220" s="23">
        <v>92530.0</v>
      </c>
      <c r="F220" s="23" t="s">
        <v>50</v>
      </c>
      <c r="G220" s="23" t="s">
        <v>171</v>
      </c>
      <c r="H220" s="23" t="s">
        <v>172</v>
      </c>
      <c r="I220" s="23" t="s">
        <v>53</v>
      </c>
      <c r="J220" s="23" t="s">
        <v>103</v>
      </c>
      <c r="K220" s="25" t="s">
        <v>2144</v>
      </c>
      <c r="L220" s="26" t="s">
        <v>2145</v>
      </c>
      <c r="M220" s="26" t="s">
        <v>2146</v>
      </c>
      <c r="N220" s="27" t="s">
        <v>2147</v>
      </c>
      <c r="O220" s="23" t="s">
        <v>59</v>
      </c>
      <c r="P220" s="23" t="s">
        <v>60</v>
      </c>
      <c r="Q220" s="23" t="s">
        <v>61</v>
      </c>
      <c r="R220" s="23"/>
      <c r="S220" s="23" t="s">
        <v>2148</v>
      </c>
      <c r="T220" s="23" t="s">
        <v>2149</v>
      </c>
      <c r="U220" s="23" t="s">
        <v>109</v>
      </c>
      <c r="V220" s="28">
        <v>46158.0</v>
      </c>
      <c r="W220" s="28">
        <v>46188.0</v>
      </c>
      <c r="X220" s="28">
        <v>46189.0</v>
      </c>
      <c r="Y220" s="23" t="s">
        <v>109</v>
      </c>
      <c r="Z220" s="29"/>
      <c r="AA220" s="24" t="s">
        <v>65</v>
      </c>
      <c r="AB220" s="23" t="s">
        <v>66</v>
      </c>
      <c r="AC220" s="30">
        <v>630000.0</v>
      </c>
      <c r="AD220" s="31">
        <v>0.025</v>
      </c>
      <c r="AE220" s="32">
        <f t="shared" si="80"/>
        <v>15750</v>
      </c>
      <c r="AF220" s="33">
        <v>595.0</v>
      </c>
      <c r="AG220" s="34" t="s">
        <v>111</v>
      </c>
      <c r="AH220" s="34" t="s">
        <v>82</v>
      </c>
      <c r="AI220" s="34">
        <v>845.0</v>
      </c>
      <c r="AJ220" s="34">
        <v>155.0</v>
      </c>
      <c r="AK220" s="34">
        <f t="shared" ref="AK220:AK221" si="81">AE220*0.4</f>
        <v>6300</v>
      </c>
      <c r="AL220" s="36">
        <v>0.0</v>
      </c>
      <c r="AM220" s="37" t="s">
        <v>47</v>
      </c>
      <c r="AN220" s="38">
        <f t="shared" si="78"/>
        <v>10140</v>
      </c>
      <c r="AO220" s="39">
        <f>if(AM220="Buyer",-sum((-AE220+AK220)*50%),if(AM220="Seller",-sum((-AE220+AK220+AJ220)*50%),-sum(((-AE220+AK220+AJ220)*((100-right(AM220,2))/100)))))+if(AF220&lt;&gt;595,595, sum(AF220))</f>
        <v>5320</v>
      </c>
      <c r="AP220" s="40">
        <f t="shared" si="67"/>
        <v>4820</v>
      </c>
      <c r="AQ220" s="14"/>
      <c r="AR220" s="41" t="s">
        <v>2150</v>
      </c>
      <c r="AS220" s="14"/>
      <c r="AT220" s="23"/>
      <c r="AU220" s="42"/>
      <c r="AV220" s="37" t="s">
        <v>2119</v>
      </c>
      <c r="AW220" s="23" t="s">
        <v>572</v>
      </c>
      <c r="AX220" s="112"/>
      <c r="AY220" s="203">
        <v>46190.0</v>
      </c>
      <c r="AZ220" s="42"/>
    </row>
    <row r="221">
      <c r="A221" s="23" t="s">
        <v>98</v>
      </c>
      <c r="B221" s="23" t="s">
        <v>47</v>
      </c>
      <c r="C221" s="24" t="s">
        <v>2151</v>
      </c>
      <c r="D221" s="23" t="s">
        <v>49</v>
      </c>
      <c r="E221" s="23">
        <v>92584.0</v>
      </c>
      <c r="F221" s="23" t="s">
        <v>50</v>
      </c>
      <c r="G221" s="23" t="s">
        <v>171</v>
      </c>
      <c r="H221" s="23" t="s">
        <v>172</v>
      </c>
      <c r="I221" s="23" t="s">
        <v>53</v>
      </c>
      <c r="J221" s="23" t="s">
        <v>103</v>
      </c>
      <c r="K221" s="25" t="s">
        <v>173</v>
      </c>
      <c r="L221" s="26" t="s">
        <v>2152</v>
      </c>
      <c r="M221" s="26" t="s">
        <v>2153</v>
      </c>
      <c r="N221" s="27" t="s">
        <v>320</v>
      </c>
      <c r="O221" s="23" t="s">
        <v>177</v>
      </c>
      <c r="P221" s="23" t="s">
        <v>60</v>
      </c>
      <c r="Q221" s="23" t="s">
        <v>61</v>
      </c>
      <c r="R221" s="23"/>
      <c r="S221" s="23" t="s">
        <v>2154</v>
      </c>
      <c r="T221" s="240" t="s">
        <v>2155</v>
      </c>
      <c r="U221" s="23" t="s">
        <v>109</v>
      </c>
      <c r="V221" s="28">
        <v>46176.0</v>
      </c>
      <c r="W221" s="28">
        <v>46190.0</v>
      </c>
      <c r="X221" s="28">
        <v>46190.0</v>
      </c>
      <c r="Y221" s="23" t="s">
        <v>109</v>
      </c>
      <c r="Z221" s="29"/>
      <c r="AA221" s="24" t="s">
        <v>65</v>
      </c>
      <c r="AB221" s="23" t="s">
        <v>66</v>
      </c>
      <c r="AC221" s="30">
        <v>890000.0</v>
      </c>
      <c r="AD221" s="31">
        <v>0.025</v>
      </c>
      <c r="AE221" s="32">
        <f t="shared" si="80"/>
        <v>22250</v>
      </c>
      <c r="AF221" s="33">
        <v>595.0</v>
      </c>
      <c r="AG221" s="34" t="s">
        <v>111</v>
      </c>
      <c r="AH221" s="34">
        <v>0.0</v>
      </c>
      <c r="AI221" s="34">
        <v>1095.0</v>
      </c>
      <c r="AJ221" s="34">
        <v>1000.0</v>
      </c>
      <c r="AK221" s="34">
        <f t="shared" si="81"/>
        <v>8900</v>
      </c>
      <c r="AL221" s="36">
        <v>0.0</v>
      </c>
      <c r="AM221" s="37" t="s">
        <v>47</v>
      </c>
      <c r="AN221" s="38">
        <f t="shared" si="78"/>
        <v>13445</v>
      </c>
      <c r="AO221" s="39">
        <f t="shared" ref="AO221:AO243" si="82">if(AM221="Buyer",-sum((-AE221+AK221+AJ221)*50%),if(AM221="Seller",-sum((-AE221+AK221+AJ221)*50%),-sum(((-AE221+AK221+AJ221)*((100-right(AM221,2))/100)))))+if(AF221&lt;&gt;595,595, sum(AF221))</f>
        <v>6770</v>
      </c>
      <c r="AP221" s="40">
        <f t="shared" si="67"/>
        <v>6675</v>
      </c>
      <c r="AQ221" s="14"/>
      <c r="AR221" s="41" t="s">
        <v>2156</v>
      </c>
      <c r="AS221" s="14"/>
      <c r="AT221" s="23"/>
      <c r="AU221" s="42"/>
      <c r="AV221" s="37" t="s">
        <v>2119</v>
      </c>
      <c r="AW221" s="23" t="s">
        <v>572</v>
      </c>
      <c r="AX221" s="42"/>
      <c r="AY221" s="238" t="s">
        <v>2127</v>
      </c>
      <c r="AZ221" s="42"/>
    </row>
    <row r="222">
      <c r="A222" s="23" t="s">
        <v>98</v>
      </c>
      <c r="B222" s="23" t="s">
        <v>47</v>
      </c>
      <c r="C222" s="239" t="s">
        <v>2157</v>
      </c>
      <c r="D222" s="23" t="s">
        <v>158</v>
      </c>
      <c r="E222" s="23">
        <v>92530.0</v>
      </c>
      <c r="F222" s="23" t="s">
        <v>50</v>
      </c>
      <c r="G222" s="23" t="s">
        <v>1337</v>
      </c>
      <c r="H222" s="23" t="s">
        <v>172</v>
      </c>
      <c r="I222" s="23" t="s">
        <v>53</v>
      </c>
      <c r="J222" s="23" t="s">
        <v>54</v>
      </c>
      <c r="K222" s="25" t="s">
        <v>2158</v>
      </c>
      <c r="L222" s="26" t="s">
        <v>2159</v>
      </c>
      <c r="M222" s="26" t="s">
        <v>2160</v>
      </c>
      <c r="N222" s="27" t="s">
        <v>239</v>
      </c>
      <c r="O222" s="23" t="s">
        <v>1860</v>
      </c>
      <c r="P222" s="23" t="s">
        <v>60</v>
      </c>
      <c r="Q222" s="23"/>
      <c r="R222" s="23" t="s">
        <v>247</v>
      </c>
      <c r="S222" s="23" t="s">
        <v>2161</v>
      </c>
      <c r="T222" s="23" t="s">
        <v>2162</v>
      </c>
      <c r="U222" s="23" t="s">
        <v>109</v>
      </c>
      <c r="V222" s="28">
        <v>46156.0</v>
      </c>
      <c r="W222" s="28">
        <v>46188.0</v>
      </c>
      <c r="X222" s="28">
        <v>46191.0</v>
      </c>
      <c r="Y222" s="23" t="s">
        <v>109</v>
      </c>
      <c r="Z222" s="29"/>
      <c r="AA222" s="24" t="s">
        <v>65</v>
      </c>
      <c r="AB222" s="23" t="s">
        <v>167</v>
      </c>
      <c r="AC222" s="30">
        <v>859000.0</v>
      </c>
      <c r="AD222" s="51">
        <v>0.0</v>
      </c>
      <c r="AE222" s="62">
        <v>20000.0</v>
      </c>
      <c r="AF222" s="33">
        <v>595.0</v>
      </c>
      <c r="AG222" s="34">
        <v>500.0</v>
      </c>
      <c r="AH222" s="34" t="s">
        <v>82</v>
      </c>
      <c r="AI222" s="34">
        <v>1095.0</v>
      </c>
      <c r="AJ222" s="34">
        <v>0.0</v>
      </c>
      <c r="AK222" s="34">
        <v>0.0</v>
      </c>
      <c r="AL222" s="36">
        <v>0.0</v>
      </c>
      <c r="AM222" s="37" t="s">
        <v>202</v>
      </c>
      <c r="AN222" s="38">
        <f t="shared" si="78"/>
        <v>21095</v>
      </c>
      <c r="AO222" s="39">
        <f t="shared" si="82"/>
        <v>6595</v>
      </c>
      <c r="AP222" s="40">
        <f t="shared" si="67"/>
        <v>14000</v>
      </c>
      <c r="AQ222" s="14"/>
      <c r="AR222" s="41"/>
      <c r="AS222" s="14"/>
      <c r="AT222" s="23" t="s">
        <v>67</v>
      </c>
      <c r="AU222" s="42"/>
      <c r="AV222" s="37" t="s">
        <v>181</v>
      </c>
      <c r="AW222" s="37" t="s">
        <v>69</v>
      </c>
      <c r="AX222" s="42"/>
      <c r="AY222" s="42"/>
      <c r="AZ222" s="42"/>
    </row>
    <row r="223">
      <c r="A223" s="23" t="s">
        <v>98</v>
      </c>
      <c r="B223" s="23" t="s">
        <v>47</v>
      </c>
      <c r="C223" s="239" t="s">
        <v>2163</v>
      </c>
      <c r="D223" s="23" t="s">
        <v>183</v>
      </c>
      <c r="E223" s="23">
        <v>92555.0</v>
      </c>
      <c r="F223" s="23" t="s">
        <v>50</v>
      </c>
      <c r="G223" s="23" t="s">
        <v>88</v>
      </c>
      <c r="H223" s="23" t="s">
        <v>73</v>
      </c>
      <c r="I223" s="23" t="s">
        <v>53</v>
      </c>
      <c r="J223" s="23" t="s">
        <v>54</v>
      </c>
      <c r="K223" s="25" t="s">
        <v>2164</v>
      </c>
      <c r="L223" s="26" t="s">
        <v>2165</v>
      </c>
      <c r="M223" s="26" t="s">
        <v>2166</v>
      </c>
      <c r="N223" s="27" t="s">
        <v>164</v>
      </c>
      <c r="O223" s="23" t="s">
        <v>723</v>
      </c>
      <c r="P223" s="23" t="s">
        <v>343</v>
      </c>
      <c r="Q223" s="23" t="s">
        <v>343</v>
      </c>
      <c r="R223" s="23" t="s">
        <v>164</v>
      </c>
      <c r="S223" s="47" t="s">
        <v>680</v>
      </c>
      <c r="T223" s="47" t="s">
        <v>680</v>
      </c>
      <c r="U223" s="23" t="s">
        <v>109</v>
      </c>
      <c r="V223" s="28">
        <v>46150.0</v>
      </c>
      <c r="W223" s="28">
        <v>46190.0</v>
      </c>
      <c r="X223" s="28">
        <v>46190.0</v>
      </c>
      <c r="Y223" s="23" t="s">
        <v>109</v>
      </c>
      <c r="Z223" s="29"/>
      <c r="AA223" s="24" t="s">
        <v>343</v>
      </c>
      <c r="AB223" s="23" t="s">
        <v>167</v>
      </c>
      <c r="AC223" s="30">
        <v>565000.0</v>
      </c>
      <c r="AD223" s="31">
        <v>0.02</v>
      </c>
      <c r="AE223" s="32">
        <f t="shared" ref="AE223:AE243" si="83">SUM(AC223*AD223)</f>
        <v>11300</v>
      </c>
      <c r="AF223" s="33">
        <v>595.0</v>
      </c>
      <c r="AG223" s="34" t="s">
        <v>111</v>
      </c>
      <c r="AH223" s="34" t="s">
        <v>82</v>
      </c>
      <c r="AI223" s="34">
        <v>1395.0</v>
      </c>
      <c r="AJ223" s="34">
        <v>0.0</v>
      </c>
      <c r="AK223" s="34">
        <v>0.0</v>
      </c>
      <c r="AL223" s="36">
        <v>0.0</v>
      </c>
      <c r="AM223" s="37" t="s">
        <v>168</v>
      </c>
      <c r="AN223" s="38">
        <f t="shared" si="78"/>
        <v>12695</v>
      </c>
      <c r="AO223" s="39">
        <f t="shared" si="82"/>
        <v>1725</v>
      </c>
      <c r="AP223" s="40">
        <f t="shared" si="67"/>
        <v>10970</v>
      </c>
      <c r="AQ223" s="14"/>
      <c r="AR223" s="41"/>
      <c r="AS223" s="14"/>
      <c r="AT223" s="23"/>
      <c r="AU223" s="42"/>
      <c r="AV223" s="23" t="s">
        <v>233</v>
      </c>
      <c r="AW223" s="23" t="s">
        <v>69</v>
      </c>
      <c r="AX223" s="42"/>
      <c r="AY223" s="42"/>
      <c r="AZ223" s="42"/>
    </row>
    <row r="224">
      <c r="A224" s="37" t="s">
        <v>98</v>
      </c>
      <c r="B224" s="23" t="s">
        <v>47</v>
      </c>
      <c r="C224" s="239" t="s">
        <v>2167</v>
      </c>
      <c r="D224" s="37" t="s">
        <v>2168</v>
      </c>
      <c r="E224" s="37">
        <v>91786.0</v>
      </c>
      <c r="F224" s="37"/>
      <c r="G224" s="37" t="s">
        <v>159</v>
      </c>
      <c r="H224" s="23" t="s">
        <v>73</v>
      </c>
      <c r="I224" s="55"/>
      <c r="J224" s="37"/>
      <c r="K224" s="56" t="s">
        <v>2169</v>
      </c>
      <c r="L224" s="107"/>
      <c r="M224" s="107"/>
      <c r="N224" s="142"/>
      <c r="O224" s="37"/>
      <c r="P224" s="37"/>
      <c r="Q224" s="37"/>
      <c r="R224" s="37"/>
      <c r="S224" s="37"/>
      <c r="T224" s="37"/>
      <c r="U224" s="23" t="s">
        <v>109</v>
      </c>
      <c r="V224" s="60">
        <v>46155.0</v>
      </c>
      <c r="W224" s="241"/>
      <c r="X224" s="60">
        <v>46189.0</v>
      </c>
      <c r="Y224" s="23" t="s">
        <v>109</v>
      </c>
      <c r="Z224" s="29"/>
      <c r="AA224" s="54" t="s">
        <v>106</v>
      </c>
      <c r="AB224" s="37" t="s">
        <v>66</v>
      </c>
      <c r="AC224" s="30">
        <v>693000.0</v>
      </c>
      <c r="AD224" s="31">
        <v>0.01</v>
      </c>
      <c r="AE224" s="32">
        <f t="shared" si="83"/>
        <v>6930</v>
      </c>
      <c r="AF224" s="33">
        <v>595.0</v>
      </c>
      <c r="AG224" s="34">
        <v>0.0</v>
      </c>
      <c r="AH224" s="34" t="s">
        <v>82</v>
      </c>
      <c r="AI224" s="34">
        <v>0.0</v>
      </c>
      <c r="AJ224" s="34">
        <v>0.0</v>
      </c>
      <c r="AK224" s="34">
        <f>AE224*0.4</f>
        <v>2772</v>
      </c>
      <c r="AL224" s="36">
        <v>0.0</v>
      </c>
      <c r="AM224" s="37" t="s">
        <v>47</v>
      </c>
      <c r="AN224" s="38">
        <f t="shared" si="78"/>
        <v>4158</v>
      </c>
      <c r="AO224" s="39">
        <f t="shared" si="82"/>
        <v>2674</v>
      </c>
      <c r="AP224" s="40">
        <f t="shared" si="67"/>
        <v>1484</v>
      </c>
      <c r="AQ224" s="111"/>
      <c r="AR224" s="37"/>
      <c r="AS224" s="14"/>
      <c r="AT224" s="37"/>
      <c r="AU224" s="42"/>
      <c r="AV224" s="52"/>
      <c r="AW224" s="23"/>
      <c r="AX224" s="23"/>
      <c r="AY224" s="37" t="b">
        <v>0</v>
      </c>
      <c r="AZ224" s="42"/>
    </row>
    <row r="225">
      <c r="A225" s="55"/>
      <c r="B225" s="37"/>
      <c r="C225" s="54"/>
      <c r="D225" s="37"/>
      <c r="E225" s="37"/>
      <c r="F225" s="37"/>
      <c r="G225" s="37"/>
      <c r="H225" s="37"/>
      <c r="I225" s="55"/>
      <c r="J225" s="37"/>
      <c r="K225" s="56"/>
      <c r="L225" s="107"/>
      <c r="M225" s="107"/>
      <c r="N225" s="142"/>
      <c r="O225" s="37"/>
      <c r="P225" s="37"/>
      <c r="Q225" s="37"/>
      <c r="R225" s="37"/>
      <c r="S225" s="37"/>
      <c r="T225" s="37"/>
      <c r="U225" s="60"/>
      <c r="V225" s="60"/>
      <c r="W225" s="241"/>
      <c r="X225" s="241"/>
      <c r="Y225" s="23"/>
      <c r="Z225" s="29"/>
      <c r="AA225" s="54"/>
      <c r="AB225" s="37"/>
      <c r="AC225" s="38">
        <v>0.0</v>
      </c>
      <c r="AD225" s="51">
        <v>0.0</v>
      </c>
      <c r="AE225" s="32">
        <f t="shared" si="83"/>
        <v>0</v>
      </c>
      <c r="AF225" s="33" t="s">
        <v>82</v>
      </c>
      <c r="AG225" s="34">
        <v>0.0</v>
      </c>
      <c r="AH225" s="34" t="s">
        <v>82</v>
      </c>
      <c r="AI225" s="34">
        <v>0.0</v>
      </c>
      <c r="AJ225" s="34">
        <v>0.0</v>
      </c>
      <c r="AK225" s="34">
        <v>0.0</v>
      </c>
      <c r="AL225" s="36">
        <v>0.0</v>
      </c>
      <c r="AM225" s="37"/>
      <c r="AN225" s="38">
        <f t="shared" si="78"/>
        <v>595</v>
      </c>
      <c r="AO225" s="39">
        <f t="shared" si="82"/>
        <v>595</v>
      </c>
      <c r="AP225" s="40">
        <f t="shared" si="67"/>
        <v>0</v>
      </c>
      <c r="AQ225" s="111"/>
      <c r="AR225" s="37"/>
      <c r="AS225" s="14"/>
      <c r="AT225" s="37"/>
      <c r="AU225" s="42"/>
      <c r="AV225" s="52"/>
      <c r="AW225" s="23"/>
      <c r="AX225" s="23"/>
      <c r="AY225" s="37" t="b">
        <v>0</v>
      </c>
      <c r="AZ225" s="42"/>
    </row>
    <row r="226">
      <c r="A226" s="55"/>
      <c r="B226" s="37"/>
      <c r="C226" s="54"/>
      <c r="D226" s="37"/>
      <c r="E226" s="37"/>
      <c r="F226" s="37"/>
      <c r="G226" s="37"/>
      <c r="H226" s="37"/>
      <c r="I226" s="55"/>
      <c r="J226" s="37"/>
      <c r="K226" s="56"/>
      <c r="L226" s="107"/>
      <c r="M226" s="107"/>
      <c r="N226" s="142"/>
      <c r="O226" s="37"/>
      <c r="P226" s="37"/>
      <c r="Q226" s="37"/>
      <c r="R226" s="37"/>
      <c r="S226" s="37"/>
      <c r="T226" s="37"/>
      <c r="U226" s="60"/>
      <c r="V226" s="60"/>
      <c r="W226" s="241"/>
      <c r="X226" s="241"/>
      <c r="Y226" s="23"/>
      <c r="Z226" s="29"/>
      <c r="AA226" s="54"/>
      <c r="AB226" s="37"/>
      <c r="AC226" s="38">
        <v>0.0</v>
      </c>
      <c r="AD226" s="51">
        <v>0.0</v>
      </c>
      <c r="AE226" s="32">
        <f t="shared" si="83"/>
        <v>0</v>
      </c>
      <c r="AF226" s="33" t="s">
        <v>82</v>
      </c>
      <c r="AG226" s="34">
        <v>0.0</v>
      </c>
      <c r="AH226" s="34" t="s">
        <v>82</v>
      </c>
      <c r="AI226" s="34">
        <v>0.0</v>
      </c>
      <c r="AJ226" s="34">
        <v>0.0</v>
      </c>
      <c r="AK226" s="34">
        <v>0.0</v>
      </c>
      <c r="AL226" s="36">
        <v>0.0</v>
      </c>
      <c r="AM226" s="37"/>
      <c r="AN226" s="38">
        <f t="shared" si="78"/>
        <v>595</v>
      </c>
      <c r="AO226" s="39">
        <f t="shared" si="82"/>
        <v>595</v>
      </c>
      <c r="AP226" s="40">
        <f t="shared" si="67"/>
        <v>0</v>
      </c>
      <c r="AQ226" s="111"/>
      <c r="AR226" s="37"/>
      <c r="AS226" s="14"/>
      <c r="AT226" s="37"/>
      <c r="AU226" s="42"/>
      <c r="AV226" s="52"/>
      <c r="AW226" s="23"/>
      <c r="AX226" s="23"/>
      <c r="AY226" s="37" t="b">
        <v>0</v>
      </c>
      <c r="AZ226" s="42"/>
    </row>
    <row r="227">
      <c r="A227" s="55"/>
      <c r="B227" s="37"/>
      <c r="C227" s="54"/>
      <c r="D227" s="37"/>
      <c r="E227" s="37"/>
      <c r="F227" s="37"/>
      <c r="G227" s="37"/>
      <c r="H227" s="37"/>
      <c r="I227" s="55"/>
      <c r="J227" s="37"/>
      <c r="K227" s="56"/>
      <c r="L227" s="107"/>
      <c r="M227" s="107"/>
      <c r="N227" s="142"/>
      <c r="O227" s="37"/>
      <c r="P227" s="37"/>
      <c r="Q227" s="37"/>
      <c r="R227" s="37"/>
      <c r="S227" s="37"/>
      <c r="T227" s="37"/>
      <c r="U227" s="60"/>
      <c r="V227" s="60"/>
      <c r="W227" s="241"/>
      <c r="X227" s="241"/>
      <c r="Y227" s="23"/>
      <c r="Z227" s="29"/>
      <c r="AA227" s="54"/>
      <c r="AB227" s="37"/>
      <c r="AC227" s="38">
        <v>0.0</v>
      </c>
      <c r="AD227" s="51">
        <v>0.0</v>
      </c>
      <c r="AE227" s="32">
        <f t="shared" si="83"/>
        <v>0</v>
      </c>
      <c r="AF227" s="33" t="s">
        <v>82</v>
      </c>
      <c r="AG227" s="34">
        <v>0.0</v>
      </c>
      <c r="AH227" s="34" t="s">
        <v>82</v>
      </c>
      <c r="AI227" s="34">
        <v>0.0</v>
      </c>
      <c r="AJ227" s="34">
        <v>0.0</v>
      </c>
      <c r="AK227" s="34">
        <v>0.0</v>
      </c>
      <c r="AL227" s="36">
        <v>0.0</v>
      </c>
      <c r="AM227" s="37"/>
      <c r="AN227" s="38">
        <f t="shared" si="78"/>
        <v>595</v>
      </c>
      <c r="AO227" s="39">
        <f t="shared" si="82"/>
        <v>595</v>
      </c>
      <c r="AP227" s="40">
        <f t="shared" si="67"/>
        <v>0</v>
      </c>
      <c r="AQ227" s="111"/>
      <c r="AR227" s="37"/>
      <c r="AS227" s="14"/>
      <c r="AT227" s="37"/>
      <c r="AU227" s="42"/>
      <c r="AV227" s="52"/>
      <c r="AW227" s="23"/>
      <c r="AX227" s="23"/>
      <c r="AY227" s="37" t="b">
        <v>0</v>
      </c>
      <c r="AZ227" s="42"/>
    </row>
    <row r="228">
      <c r="A228" s="55"/>
      <c r="B228" s="37"/>
      <c r="C228" s="54"/>
      <c r="D228" s="37"/>
      <c r="E228" s="37"/>
      <c r="F228" s="37"/>
      <c r="G228" s="37"/>
      <c r="H228" s="37"/>
      <c r="I228" s="55"/>
      <c r="J228" s="37"/>
      <c r="K228" s="56"/>
      <c r="L228" s="107"/>
      <c r="M228" s="107"/>
      <c r="N228" s="142"/>
      <c r="O228" s="37"/>
      <c r="P228" s="37"/>
      <c r="Q228" s="37"/>
      <c r="R228" s="37"/>
      <c r="S228" s="37"/>
      <c r="T228" s="37"/>
      <c r="U228" s="60"/>
      <c r="V228" s="60"/>
      <c r="W228" s="241"/>
      <c r="X228" s="241"/>
      <c r="Y228" s="23"/>
      <c r="Z228" s="29"/>
      <c r="AA228" s="54"/>
      <c r="AB228" s="37"/>
      <c r="AC228" s="38">
        <v>0.0</v>
      </c>
      <c r="AD228" s="51">
        <v>0.0</v>
      </c>
      <c r="AE228" s="32">
        <f t="shared" si="83"/>
        <v>0</v>
      </c>
      <c r="AF228" s="33" t="s">
        <v>82</v>
      </c>
      <c r="AG228" s="34">
        <v>0.0</v>
      </c>
      <c r="AH228" s="34" t="s">
        <v>82</v>
      </c>
      <c r="AI228" s="34">
        <v>0.0</v>
      </c>
      <c r="AJ228" s="34">
        <v>0.0</v>
      </c>
      <c r="AK228" s="34">
        <v>0.0</v>
      </c>
      <c r="AL228" s="36">
        <v>0.0</v>
      </c>
      <c r="AM228" s="37"/>
      <c r="AN228" s="38">
        <f t="shared" si="78"/>
        <v>595</v>
      </c>
      <c r="AO228" s="39">
        <f t="shared" si="82"/>
        <v>595</v>
      </c>
      <c r="AP228" s="40">
        <f t="shared" si="67"/>
        <v>0</v>
      </c>
      <c r="AQ228" s="111"/>
      <c r="AR228" s="37"/>
      <c r="AS228" s="14"/>
      <c r="AT228" s="37"/>
      <c r="AU228" s="42"/>
      <c r="AV228" s="52"/>
      <c r="AW228" s="23"/>
      <c r="AX228" s="23"/>
      <c r="AY228" s="37" t="b">
        <v>0</v>
      </c>
      <c r="AZ228" s="42"/>
    </row>
    <row r="229">
      <c r="A229" s="55"/>
      <c r="B229" s="37"/>
      <c r="C229" s="54"/>
      <c r="D229" s="37"/>
      <c r="E229" s="37"/>
      <c r="F229" s="37"/>
      <c r="G229" s="37"/>
      <c r="H229" s="37"/>
      <c r="I229" s="55"/>
      <c r="J229" s="37"/>
      <c r="K229" s="56"/>
      <c r="L229" s="107"/>
      <c r="M229" s="107"/>
      <c r="N229" s="142"/>
      <c r="O229" s="37"/>
      <c r="P229" s="37"/>
      <c r="Q229" s="37"/>
      <c r="R229" s="37"/>
      <c r="S229" s="37"/>
      <c r="T229" s="37"/>
      <c r="U229" s="60"/>
      <c r="V229" s="60"/>
      <c r="W229" s="241"/>
      <c r="X229" s="241"/>
      <c r="Y229" s="23"/>
      <c r="Z229" s="29"/>
      <c r="AA229" s="54"/>
      <c r="AB229" s="37"/>
      <c r="AC229" s="38">
        <v>0.0</v>
      </c>
      <c r="AD229" s="51">
        <v>0.0</v>
      </c>
      <c r="AE229" s="32">
        <f t="shared" si="83"/>
        <v>0</v>
      </c>
      <c r="AF229" s="33" t="s">
        <v>82</v>
      </c>
      <c r="AG229" s="34">
        <v>0.0</v>
      </c>
      <c r="AH229" s="34" t="s">
        <v>82</v>
      </c>
      <c r="AI229" s="34">
        <v>0.0</v>
      </c>
      <c r="AJ229" s="34">
        <v>0.0</v>
      </c>
      <c r="AK229" s="34">
        <v>0.0</v>
      </c>
      <c r="AL229" s="36">
        <v>0.0</v>
      </c>
      <c r="AM229" s="37"/>
      <c r="AN229" s="38">
        <f t="shared" si="78"/>
        <v>595</v>
      </c>
      <c r="AO229" s="39">
        <f t="shared" si="82"/>
        <v>595</v>
      </c>
      <c r="AP229" s="40">
        <f t="shared" si="67"/>
        <v>0</v>
      </c>
      <c r="AQ229" s="111"/>
      <c r="AR229" s="37"/>
      <c r="AS229" s="14"/>
      <c r="AT229" s="37"/>
      <c r="AU229" s="42"/>
      <c r="AV229" s="52"/>
      <c r="AW229" s="23"/>
      <c r="AX229" s="23"/>
      <c r="AY229" s="37" t="b">
        <v>0</v>
      </c>
      <c r="AZ229" s="42"/>
    </row>
    <row r="230">
      <c r="A230" s="55"/>
      <c r="B230" s="37"/>
      <c r="C230" s="54"/>
      <c r="D230" s="37"/>
      <c r="E230" s="37"/>
      <c r="F230" s="37"/>
      <c r="G230" s="37"/>
      <c r="H230" s="37"/>
      <c r="I230" s="55"/>
      <c r="J230" s="37"/>
      <c r="K230" s="56"/>
      <c r="L230" s="107"/>
      <c r="M230" s="107"/>
      <c r="N230" s="142"/>
      <c r="O230" s="37"/>
      <c r="P230" s="37"/>
      <c r="Q230" s="37"/>
      <c r="R230" s="37"/>
      <c r="S230" s="37"/>
      <c r="T230" s="37"/>
      <c r="U230" s="60"/>
      <c r="V230" s="60"/>
      <c r="W230" s="241"/>
      <c r="X230" s="241"/>
      <c r="Y230" s="23"/>
      <c r="Z230" s="29"/>
      <c r="AA230" s="54"/>
      <c r="AB230" s="37"/>
      <c r="AC230" s="38">
        <v>0.0</v>
      </c>
      <c r="AD230" s="51">
        <v>0.0</v>
      </c>
      <c r="AE230" s="32">
        <f t="shared" si="83"/>
        <v>0</v>
      </c>
      <c r="AF230" s="33" t="s">
        <v>82</v>
      </c>
      <c r="AG230" s="34">
        <v>0.0</v>
      </c>
      <c r="AH230" s="34" t="s">
        <v>82</v>
      </c>
      <c r="AI230" s="34">
        <v>0.0</v>
      </c>
      <c r="AJ230" s="34">
        <v>0.0</v>
      </c>
      <c r="AK230" s="34">
        <v>0.0</v>
      </c>
      <c r="AL230" s="36">
        <v>0.0</v>
      </c>
      <c r="AM230" s="37"/>
      <c r="AN230" s="38">
        <f t="shared" si="78"/>
        <v>595</v>
      </c>
      <c r="AO230" s="39">
        <f t="shared" si="82"/>
        <v>595</v>
      </c>
      <c r="AP230" s="40">
        <f t="shared" si="67"/>
        <v>0</v>
      </c>
      <c r="AQ230" s="111"/>
      <c r="AR230" s="37"/>
      <c r="AS230" s="14"/>
      <c r="AT230" s="37"/>
      <c r="AU230" s="42"/>
      <c r="AV230" s="52"/>
      <c r="AW230" s="23"/>
      <c r="AX230" s="23"/>
      <c r="AY230" s="37" t="b">
        <v>0</v>
      </c>
      <c r="AZ230" s="42"/>
    </row>
    <row r="231">
      <c r="A231" s="55"/>
      <c r="B231" s="37"/>
      <c r="C231" s="54"/>
      <c r="D231" s="37"/>
      <c r="E231" s="37"/>
      <c r="F231" s="37"/>
      <c r="G231" s="37"/>
      <c r="H231" s="37"/>
      <c r="I231" s="55"/>
      <c r="J231" s="37"/>
      <c r="K231" s="56"/>
      <c r="L231" s="107"/>
      <c r="M231" s="107"/>
      <c r="N231" s="142"/>
      <c r="O231" s="37"/>
      <c r="P231" s="37"/>
      <c r="Q231" s="37"/>
      <c r="R231" s="37"/>
      <c r="S231" s="37"/>
      <c r="T231" s="37"/>
      <c r="U231" s="60"/>
      <c r="V231" s="60"/>
      <c r="W231" s="241"/>
      <c r="X231" s="241"/>
      <c r="Y231" s="23"/>
      <c r="Z231" s="29"/>
      <c r="AA231" s="54"/>
      <c r="AB231" s="37"/>
      <c r="AC231" s="38">
        <v>0.0</v>
      </c>
      <c r="AD231" s="51">
        <v>0.0</v>
      </c>
      <c r="AE231" s="32">
        <f t="shared" si="83"/>
        <v>0</v>
      </c>
      <c r="AF231" s="33" t="s">
        <v>82</v>
      </c>
      <c r="AG231" s="34">
        <v>0.0</v>
      </c>
      <c r="AH231" s="34" t="s">
        <v>82</v>
      </c>
      <c r="AI231" s="34">
        <v>0.0</v>
      </c>
      <c r="AJ231" s="34">
        <v>0.0</v>
      </c>
      <c r="AK231" s="34">
        <v>0.0</v>
      </c>
      <c r="AL231" s="36">
        <v>0.0</v>
      </c>
      <c r="AM231" s="37"/>
      <c r="AN231" s="38">
        <f t="shared" si="78"/>
        <v>595</v>
      </c>
      <c r="AO231" s="39">
        <f t="shared" si="82"/>
        <v>595</v>
      </c>
      <c r="AP231" s="40">
        <f t="shared" si="67"/>
        <v>0</v>
      </c>
      <c r="AQ231" s="111"/>
      <c r="AR231" s="37"/>
      <c r="AS231" s="14"/>
      <c r="AT231" s="37"/>
      <c r="AU231" s="42"/>
      <c r="AV231" s="52"/>
      <c r="AW231" s="23"/>
      <c r="AX231" s="23"/>
      <c r="AY231" s="37" t="b">
        <v>0</v>
      </c>
      <c r="AZ231" s="42"/>
    </row>
    <row r="232">
      <c r="A232" s="55"/>
      <c r="B232" s="37"/>
      <c r="C232" s="54"/>
      <c r="D232" s="37"/>
      <c r="E232" s="37"/>
      <c r="F232" s="37"/>
      <c r="G232" s="37"/>
      <c r="H232" s="37"/>
      <c r="I232" s="55"/>
      <c r="J232" s="37"/>
      <c r="K232" s="56"/>
      <c r="L232" s="107"/>
      <c r="M232" s="107"/>
      <c r="N232" s="142"/>
      <c r="O232" s="37"/>
      <c r="P232" s="37"/>
      <c r="Q232" s="37"/>
      <c r="R232" s="37"/>
      <c r="S232" s="37"/>
      <c r="T232" s="37"/>
      <c r="U232" s="60"/>
      <c r="V232" s="60"/>
      <c r="W232" s="241"/>
      <c r="X232" s="241"/>
      <c r="Y232" s="23"/>
      <c r="Z232" s="29"/>
      <c r="AA232" s="54"/>
      <c r="AB232" s="37"/>
      <c r="AC232" s="38">
        <v>0.0</v>
      </c>
      <c r="AD232" s="51">
        <v>0.0</v>
      </c>
      <c r="AE232" s="32">
        <f t="shared" si="83"/>
        <v>0</v>
      </c>
      <c r="AF232" s="33" t="s">
        <v>82</v>
      </c>
      <c r="AG232" s="34">
        <v>0.0</v>
      </c>
      <c r="AH232" s="34" t="s">
        <v>82</v>
      </c>
      <c r="AI232" s="34">
        <v>0.0</v>
      </c>
      <c r="AJ232" s="34">
        <v>0.0</v>
      </c>
      <c r="AK232" s="34">
        <v>0.0</v>
      </c>
      <c r="AL232" s="36">
        <v>0.0</v>
      </c>
      <c r="AM232" s="37"/>
      <c r="AN232" s="38">
        <f t="shared" si="78"/>
        <v>595</v>
      </c>
      <c r="AO232" s="39">
        <f t="shared" si="82"/>
        <v>595</v>
      </c>
      <c r="AP232" s="40">
        <f t="shared" si="67"/>
        <v>0</v>
      </c>
      <c r="AQ232" s="111"/>
      <c r="AR232" s="37"/>
      <c r="AS232" s="14"/>
      <c r="AT232" s="37"/>
      <c r="AU232" s="42"/>
      <c r="AV232" s="52"/>
      <c r="AW232" s="23"/>
      <c r="AX232" s="23"/>
      <c r="AY232" s="37" t="b">
        <v>0</v>
      </c>
      <c r="AZ232" s="42"/>
    </row>
    <row r="233">
      <c r="A233" s="55"/>
      <c r="B233" s="37"/>
      <c r="C233" s="54"/>
      <c r="D233" s="37"/>
      <c r="E233" s="37"/>
      <c r="F233" s="37"/>
      <c r="G233" s="37"/>
      <c r="H233" s="37"/>
      <c r="I233" s="55"/>
      <c r="J233" s="37"/>
      <c r="K233" s="56"/>
      <c r="L233" s="107"/>
      <c r="M233" s="107"/>
      <c r="N233" s="142"/>
      <c r="O233" s="37"/>
      <c r="P233" s="37"/>
      <c r="Q233" s="37"/>
      <c r="R233" s="37"/>
      <c r="S233" s="37"/>
      <c r="T233" s="37"/>
      <c r="U233" s="60"/>
      <c r="V233" s="60"/>
      <c r="W233" s="241"/>
      <c r="X233" s="241"/>
      <c r="Y233" s="23"/>
      <c r="Z233" s="29"/>
      <c r="AA233" s="54"/>
      <c r="AB233" s="37"/>
      <c r="AC233" s="38">
        <v>0.0</v>
      </c>
      <c r="AD233" s="51">
        <v>0.0</v>
      </c>
      <c r="AE233" s="32">
        <f t="shared" si="83"/>
        <v>0</v>
      </c>
      <c r="AF233" s="33" t="s">
        <v>82</v>
      </c>
      <c r="AG233" s="34">
        <v>0.0</v>
      </c>
      <c r="AH233" s="34" t="s">
        <v>82</v>
      </c>
      <c r="AI233" s="34">
        <v>0.0</v>
      </c>
      <c r="AJ233" s="34">
        <v>0.0</v>
      </c>
      <c r="AK233" s="34">
        <v>0.0</v>
      </c>
      <c r="AL233" s="36">
        <v>0.0</v>
      </c>
      <c r="AM233" s="37"/>
      <c r="AN233" s="38">
        <f t="shared" si="78"/>
        <v>595</v>
      </c>
      <c r="AO233" s="39">
        <f t="shared" si="82"/>
        <v>595</v>
      </c>
      <c r="AP233" s="40">
        <f t="shared" si="67"/>
        <v>0</v>
      </c>
      <c r="AQ233" s="111"/>
      <c r="AR233" s="37"/>
      <c r="AS233" s="14"/>
      <c r="AT233" s="37"/>
      <c r="AU233" s="42"/>
      <c r="AV233" s="52"/>
      <c r="AW233" s="23"/>
      <c r="AX233" s="23"/>
      <c r="AY233" s="37" t="b">
        <v>0</v>
      </c>
      <c r="AZ233" s="42"/>
    </row>
    <row r="234">
      <c r="A234" s="55"/>
      <c r="B234" s="37"/>
      <c r="C234" s="54"/>
      <c r="D234" s="37"/>
      <c r="E234" s="37"/>
      <c r="F234" s="37"/>
      <c r="G234" s="37"/>
      <c r="H234" s="37"/>
      <c r="I234" s="55"/>
      <c r="J234" s="37"/>
      <c r="K234" s="56"/>
      <c r="L234" s="107"/>
      <c r="M234" s="107"/>
      <c r="N234" s="142"/>
      <c r="O234" s="37"/>
      <c r="P234" s="37"/>
      <c r="Q234" s="37"/>
      <c r="R234" s="37"/>
      <c r="S234" s="37"/>
      <c r="T234" s="37"/>
      <c r="U234" s="60"/>
      <c r="V234" s="60"/>
      <c r="W234" s="241"/>
      <c r="X234" s="241"/>
      <c r="Y234" s="23"/>
      <c r="Z234" s="29"/>
      <c r="AA234" s="54"/>
      <c r="AB234" s="37"/>
      <c r="AC234" s="38">
        <v>0.0</v>
      </c>
      <c r="AD234" s="51">
        <v>0.0</v>
      </c>
      <c r="AE234" s="32">
        <f t="shared" si="83"/>
        <v>0</v>
      </c>
      <c r="AF234" s="33" t="s">
        <v>82</v>
      </c>
      <c r="AG234" s="34">
        <v>0.0</v>
      </c>
      <c r="AH234" s="34" t="s">
        <v>82</v>
      </c>
      <c r="AI234" s="34">
        <v>0.0</v>
      </c>
      <c r="AJ234" s="34">
        <v>0.0</v>
      </c>
      <c r="AK234" s="34">
        <v>0.0</v>
      </c>
      <c r="AL234" s="36">
        <v>0.0</v>
      </c>
      <c r="AM234" s="37"/>
      <c r="AN234" s="38">
        <f t="shared" si="78"/>
        <v>595</v>
      </c>
      <c r="AO234" s="39">
        <f t="shared" si="82"/>
        <v>595</v>
      </c>
      <c r="AP234" s="40">
        <f t="shared" si="67"/>
        <v>0</v>
      </c>
      <c r="AQ234" s="111"/>
      <c r="AR234" s="37"/>
      <c r="AS234" s="14"/>
      <c r="AT234" s="37"/>
      <c r="AU234" s="42"/>
      <c r="AV234" s="52"/>
      <c r="AW234" s="23"/>
      <c r="AX234" s="23"/>
      <c r="AY234" s="37" t="b">
        <v>0</v>
      </c>
      <c r="AZ234" s="42"/>
    </row>
    <row r="235">
      <c r="A235" s="55"/>
      <c r="B235" s="37"/>
      <c r="C235" s="54"/>
      <c r="D235" s="37"/>
      <c r="E235" s="37"/>
      <c r="F235" s="37"/>
      <c r="G235" s="37"/>
      <c r="H235" s="37"/>
      <c r="I235" s="55"/>
      <c r="J235" s="37"/>
      <c r="K235" s="56"/>
      <c r="L235" s="107"/>
      <c r="M235" s="107"/>
      <c r="N235" s="142"/>
      <c r="O235" s="37"/>
      <c r="P235" s="37"/>
      <c r="Q235" s="37"/>
      <c r="R235" s="37"/>
      <c r="S235" s="37"/>
      <c r="T235" s="37"/>
      <c r="U235" s="60"/>
      <c r="V235" s="60"/>
      <c r="W235" s="241"/>
      <c r="X235" s="241"/>
      <c r="Y235" s="23"/>
      <c r="Z235" s="29"/>
      <c r="AA235" s="54"/>
      <c r="AB235" s="37"/>
      <c r="AC235" s="38">
        <v>0.0</v>
      </c>
      <c r="AD235" s="51">
        <v>0.0</v>
      </c>
      <c r="AE235" s="32">
        <f t="shared" si="83"/>
        <v>0</v>
      </c>
      <c r="AF235" s="33" t="s">
        <v>82</v>
      </c>
      <c r="AG235" s="34">
        <v>0.0</v>
      </c>
      <c r="AH235" s="34" t="s">
        <v>82</v>
      </c>
      <c r="AI235" s="34">
        <v>0.0</v>
      </c>
      <c r="AJ235" s="34">
        <v>0.0</v>
      </c>
      <c r="AK235" s="34">
        <v>0.0</v>
      </c>
      <c r="AL235" s="36">
        <v>0.0</v>
      </c>
      <c r="AM235" s="37"/>
      <c r="AN235" s="38">
        <f t="shared" si="78"/>
        <v>595</v>
      </c>
      <c r="AO235" s="39">
        <f t="shared" si="82"/>
        <v>595</v>
      </c>
      <c r="AP235" s="40">
        <f t="shared" si="67"/>
        <v>0</v>
      </c>
      <c r="AQ235" s="111"/>
      <c r="AR235" s="37"/>
      <c r="AS235" s="14"/>
      <c r="AT235" s="37"/>
      <c r="AU235" s="42"/>
      <c r="AV235" s="52"/>
      <c r="AW235" s="23"/>
      <c r="AX235" s="23"/>
      <c r="AY235" s="37" t="b">
        <v>0</v>
      </c>
      <c r="AZ235" s="42"/>
    </row>
    <row r="236">
      <c r="A236" s="55"/>
      <c r="B236" s="37"/>
      <c r="C236" s="54"/>
      <c r="D236" s="37"/>
      <c r="E236" s="37"/>
      <c r="F236" s="37"/>
      <c r="G236" s="37"/>
      <c r="H236" s="37"/>
      <c r="I236" s="55"/>
      <c r="J236" s="37"/>
      <c r="K236" s="56"/>
      <c r="L236" s="107"/>
      <c r="M236" s="107"/>
      <c r="N236" s="142"/>
      <c r="O236" s="37"/>
      <c r="P236" s="37"/>
      <c r="Q236" s="37"/>
      <c r="R236" s="37"/>
      <c r="S236" s="37"/>
      <c r="T236" s="37"/>
      <c r="U236" s="60"/>
      <c r="V236" s="60"/>
      <c r="W236" s="241"/>
      <c r="X236" s="241"/>
      <c r="Y236" s="23"/>
      <c r="Z236" s="29"/>
      <c r="AA236" s="54"/>
      <c r="AB236" s="37"/>
      <c r="AC236" s="38">
        <v>0.0</v>
      </c>
      <c r="AD236" s="51">
        <v>0.0</v>
      </c>
      <c r="AE236" s="32">
        <f t="shared" si="83"/>
        <v>0</v>
      </c>
      <c r="AF236" s="33" t="s">
        <v>82</v>
      </c>
      <c r="AG236" s="34">
        <v>0.0</v>
      </c>
      <c r="AH236" s="34" t="s">
        <v>82</v>
      </c>
      <c r="AI236" s="34">
        <v>0.0</v>
      </c>
      <c r="AJ236" s="34">
        <v>0.0</v>
      </c>
      <c r="AK236" s="34">
        <v>0.0</v>
      </c>
      <c r="AL236" s="36">
        <v>0.0</v>
      </c>
      <c r="AM236" s="37"/>
      <c r="AN236" s="38">
        <f t="shared" si="78"/>
        <v>595</v>
      </c>
      <c r="AO236" s="39">
        <f t="shared" si="82"/>
        <v>595</v>
      </c>
      <c r="AP236" s="40">
        <f t="shared" si="67"/>
        <v>0</v>
      </c>
      <c r="AQ236" s="111"/>
      <c r="AR236" s="37"/>
      <c r="AS236" s="14"/>
      <c r="AT236" s="37"/>
      <c r="AU236" s="42"/>
      <c r="AV236" s="52"/>
      <c r="AW236" s="23"/>
      <c r="AX236" s="23"/>
      <c r="AY236" s="37" t="b">
        <v>0</v>
      </c>
      <c r="AZ236" s="42"/>
    </row>
    <row r="237">
      <c r="A237" s="55"/>
      <c r="B237" s="37"/>
      <c r="C237" s="54"/>
      <c r="D237" s="37"/>
      <c r="E237" s="37"/>
      <c r="F237" s="37"/>
      <c r="G237" s="37"/>
      <c r="H237" s="37"/>
      <c r="I237" s="55"/>
      <c r="J237" s="37"/>
      <c r="K237" s="56"/>
      <c r="L237" s="107"/>
      <c r="M237" s="107"/>
      <c r="N237" s="142"/>
      <c r="O237" s="37"/>
      <c r="P237" s="37"/>
      <c r="Q237" s="37"/>
      <c r="R237" s="37"/>
      <c r="S237" s="37"/>
      <c r="T237" s="37"/>
      <c r="U237" s="60"/>
      <c r="V237" s="60"/>
      <c r="W237" s="241"/>
      <c r="X237" s="241"/>
      <c r="Y237" s="23"/>
      <c r="Z237" s="29"/>
      <c r="AA237" s="54"/>
      <c r="AB237" s="37"/>
      <c r="AC237" s="38">
        <v>0.0</v>
      </c>
      <c r="AD237" s="51">
        <v>0.0</v>
      </c>
      <c r="AE237" s="32">
        <f t="shared" si="83"/>
        <v>0</v>
      </c>
      <c r="AF237" s="33" t="s">
        <v>82</v>
      </c>
      <c r="AG237" s="34">
        <v>0.0</v>
      </c>
      <c r="AH237" s="34" t="s">
        <v>82</v>
      </c>
      <c r="AI237" s="34">
        <v>0.0</v>
      </c>
      <c r="AJ237" s="34">
        <v>0.0</v>
      </c>
      <c r="AK237" s="34">
        <v>0.0</v>
      </c>
      <c r="AL237" s="36">
        <v>0.0</v>
      </c>
      <c r="AM237" s="37"/>
      <c r="AN237" s="38">
        <f t="shared" si="78"/>
        <v>595</v>
      </c>
      <c r="AO237" s="39">
        <f t="shared" si="82"/>
        <v>595</v>
      </c>
      <c r="AP237" s="40">
        <f t="shared" si="67"/>
        <v>0</v>
      </c>
      <c r="AQ237" s="111"/>
      <c r="AR237" s="37"/>
      <c r="AS237" s="14"/>
      <c r="AT237" s="37"/>
      <c r="AU237" s="42"/>
      <c r="AV237" s="52"/>
      <c r="AW237" s="23"/>
      <c r="AX237" s="23"/>
      <c r="AY237" s="37" t="b">
        <v>0</v>
      </c>
      <c r="AZ237" s="42"/>
    </row>
    <row r="238">
      <c r="A238" s="55"/>
      <c r="B238" s="37"/>
      <c r="C238" s="54"/>
      <c r="D238" s="37"/>
      <c r="E238" s="37"/>
      <c r="F238" s="37"/>
      <c r="G238" s="37"/>
      <c r="H238" s="37"/>
      <c r="I238" s="55"/>
      <c r="J238" s="37"/>
      <c r="K238" s="56"/>
      <c r="L238" s="107"/>
      <c r="M238" s="107"/>
      <c r="N238" s="142"/>
      <c r="O238" s="37"/>
      <c r="P238" s="37"/>
      <c r="Q238" s="37"/>
      <c r="R238" s="37"/>
      <c r="S238" s="37"/>
      <c r="T238" s="37"/>
      <c r="U238" s="60"/>
      <c r="V238" s="60"/>
      <c r="W238" s="241"/>
      <c r="X238" s="241"/>
      <c r="Y238" s="23"/>
      <c r="Z238" s="29"/>
      <c r="AA238" s="54"/>
      <c r="AB238" s="37"/>
      <c r="AC238" s="38">
        <v>0.0</v>
      </c>
      <c r="AD238" s="51">
        <v>0.0</v>
      </c>
      <c r="AE238" s="32">
        <f t="shared" si="83"/>
        <v>0</v>
      </c>
      <c r="AF238" s="33" t="s">
        <v>82</v>
      </c>
      <c r="AG238" s="34">
        <v>0.0</v>
      </c>
      <c r="AH238" s="34" t="s">
        <v>82</v>
      </c>
      <c r="AI238" s="34">
        <v>0.0</v>
      </c>
      <c r="AJ238" s="34">
        <v>0.0</v>
      </c>
      <c r="AK238" s="34">
        <v>0.0</v>
      </c>
      <c r="AL238" s="36">
        <v>0.0</v>
      </c>
      <c r="AM238" s="37"/>
      <c r="AN238" s="38">
        <f t="shared" si="78"/>
        <v>595</v>
      </c>
      <c r="AO238" s="39">
        <f t="shared" si="82"/>
        <v>595</v>
      </c>
      <c r="AP238" s="40">
        <f t="shared" si="67"/>
        <v>0</v>
      </c>
      <c r="AQ238" s="111"/>
      <c r="AR238" s="37"/>
      <c r="AS238" s="14"/>
      <c r="AT238" s="37"/>
      <c r="AU238" s="42"/>
      <c r="AV238" s="52"/>
      <c r="AW238" s="23"/>
      <c r="AX238" s="23"/>
      <c r="AY238" s="37" t="b">
        <v>0</v>
      </c>
      <c r="AZ238" s="42"/>
    </row>
    <row r="239">
      <c r="A239" s="55"/>
      <c r="B239" s="37"/>
      <c r="C239" s="54"/>
      <c r="D239" s="37"/>
      <c r="E239" s="37"/>
      <c r="F239" s="37"/>
      <c r="G239" s="37"/>
      <c r="H239" s="37"/>
      <c r="I239" s="55"/>
      <c r="J239" s="37"/>
      <c r="K239" s="56"/>
      <c r="L239" s="107"/>
      <c r="M239" s="107"/>
      <c r="N239" s="142"/>
      <c r="O239" s="37"/>
      <c r="P239" s="37"/>
      <c r="Q239" s="37"/>
      <c r="R239" s="37"/>
      <c r="S239" s="37"/>
      <c r="T239" s="37"/>
      <c r="U239" s="60"/>
      <c r="V239" s="60"/>
      <c r="W239" s="241"/>
      <c r="X239" s="241"/>
      <c r="Y239" s="23"/>
      <c r="Z239" s="29"/>
      <c r="AA239" s="54"/>
      <c r="AB239" s="37"/>
      <c r="AC239" s="38">
        <v>0.0</v>
      </c>
      <c r="AD239" s="51">
        <v>0.0</v>
      </c>
      <c r="AE239" s="32">
        <f t="shared" si="83"/>
        <v>0</v>
      </c>
      <c r="AF239" s="33" t="s">
        <v>82</v>
      </c>
      <c r="AG239" s="34">
        <v>0.0</v>
      </c>
      <c r="AH239" s="34" t="s">
        <v>82</v>
      </c>
      <c r="AI239" s="34">
        <v>0.0</v>
      </c>
      <c r="AJ239" s="34">
        <v>0.0</v>
      </c>
      <c r="AK239" s="34">
        <v>0.0</v>
      </c>
      <c r="AL239" s="36">
        <v>0.0</v>
      </c>
      <c r="AM239" s="37"/>
      <c r="AN239" s="38">
        <f t="shared" si="78"/>
        <v>595</v>
      </c>
      <c r="AO239" s="39">
        <f t="shared" si="82"/>
        <v>595</v>
      </c>
      <c r="AP239" s="40">
        <f t="shared" si="67"/>
        <v>0</v>
      </c>
      <c r="AQ239" s="111"/>
      <c r="AR239" s="37"/>
      <c r="AS239" s="14"/>
      <c r="AT239" s="37"/>
      <c r="AU239" s="42"/>
      <c r="AV239" s="52"/>
      <c r="AW239" s="23"/>
      <c r="AX239" s="23"/>
      <c r="AY239" s="37" t="b">
        <v>0</v>
      </c>
      <c r="AZ239" s="42"/>
    </row>
    <row r="240">
      <c r="A240" s="55"/>
      <c r="B240" s="37"/>
      <c r="C240" s="54"/>
      <c r="D240" s="37"/>
      <c r="E240" s="37"/>
      <c r="F240" s="37"/>
      <c r="G240" s="37"/>
      <c r="H240" s="37"/>
      <c r="I240" s="55"/>
      <c r="J240" s="37"/>
      <c r="K240" s="56"/>
      <c r="L240" s="107"/>
      <c r="M240" s="107"/>
      <c r="N240" s="142"/>
      <c r="O240" s="37"/>
      <c r="P240" s="37"/>
      <c r="Q240" s="37"/>
      <c r="R240" s="37"/>
      <c r="S240" s="37"/>
      <c r="T240" s="37"/>
      <c r="U240" s="60"/>
      <c r="V240" s="60"/>
      <c r="W240" s="241"/>
      <c r="X240" s="241"/>
      <c r="Y240" s="23"/>
      <c r="Z240" s="29"/>
      <c r="AA240" s="54"/>
      <c r="AB240" s="37"/>
      <c r="AC240" s="38">
        <v>0.0</v>
      </c>
      <c r="AD240" s="51">
        <v>0.0</v>
      </c>
      <c r="AE240" s="32">
        <f t="shared" si="83"/>
        <v>0</v>
      </c>
      <c r="AF240" s="33" t="s">
        <v>82</v>
      </c>
      <c r="AG240" s="34">
        <v>0.0</v>
      </c>
      <c r="AH240" s="34" t="s">
        <v>82</v>
      </c>
      <c r="AI240" s="34">
        <v>0.0</v>
      </c>
      <c r="AJ240" s="34">
        <v>0.0</v>
      </c>
      <c r="AK240" s="34">
        <v>0.0</v>
      </c>
      <c r="AL240" s="36">
        <v>0.0</v>
      </c>
      <c r="AM240" s="37"/>
      <c r="AN240" s="38">
        <f t="shared" si="78"/>
        <v>595</v>
      </c>
      <c r="AO240" s="39">
        <f t="shared" si="82"/>
        <v>595</v>
      </c>
      <c r="AP240" s="40">
        <f t="shared" si="67"/>
        <v>0</v>
      </c>
      <c r="AQ240" s="111"/>
      <c r="AR240" s="37"/>
      <c r="AS240" s="14"/>
      <c r="AT240" s="37"/>
      <c r="AU240" s="42"/>
      <c r="AV240" s="52"/>
      <c r="AW240" s="23"/>
      <c r="AX240" s="23"/>
      <c r="AY240" s="37" t="b">
        <v>0</v>
      </c>
      <c r="AZ240" s="42"/>
    </row>
    <row r="241">
      <c r="A241" s="55"/>
      <c r="B241" s="37"/>
      <c r="C241" s="54"/>
      <c r="D241" s="37"/>
      <c r="E241" s="37"/>
      <c r="F241" s="37"/>
      <c r="G241" s="37"/>
      <c r="H241" s="37"/>
      <c r="I241" s="55"/>
      <c r="J241" s="37"/>
      <c r="K241" s="56"/>
      <c r="L241" s="107"/>
      <c r="M241" s="107"/>
      <c r="N241" s="142"/>
      <c r="O241" s="37"/>
      <c r="P241" s="37"/>
      <c r="Q241" s="37"/>
      <c r="R241" s="37"/>
      <c r="S241" s="37"/>
      <c r="T241" s="37"/>
      <c r="U241" s="60"/>
      <c r="V241" s="60"/>
      <c r="W241" s="241"/>
      <c r="X241" s="241"/>
      <c r="Y241" s="23"/>
      <c r="Z241" s="29"/>
      <c r="AA241" s="54"/>
      <c r="AB241" s="37"/>
      <c r="AC241" s="38">
        <v>0.0</v>
      </c>
      <c r="AD241" s="51">
        <v>0.0</v>
      </c>
      <c r="AE241" s="32">
        <f t="shared" si="83"/>
        <v>0</v>
      </c>
      <c r="AF241" s="33" t="s">
        <v>82</v>
      </c>
      <c r="AG241" s="34">
        <v>0.0</v>
      </c>
      <c r="AH241" s="34" t="s">
        <v>82</v>
      </c>
      <c r="AI241" s="34">
        <v>0.0</v>
      </c>
      <c r="AJ241" s="34">
        <v>0.0</v>
      </c>
      <c r="AK241" s="34">
        <v>0.0</v>
      </c>
      <c r="AL241" s="36">
        <v>0.0</v>
      </c>
      <c r="AM241" s="37"/>
      <c r="AN241" s="38">
        <f t="shared" si="78"/>
        <v>595</v>
      </c>
      <c r="AO241" s="39">
        <f t="shared" si="82"/>
        <v>595</v>
      </c>
      <c r="AP241" s="40">
        <f t="shared" si="67"/>
        <v>0</v>
      </c>
      <c r="AQ241" s="111"/>
      <c r="AR241" s="37"/>
      <c r="AS241" s="14"/>
      <c r="AT241" s="37"/>
      <c r="AU241" s="42"/>
      <c r="AV241" s="52"/>
      <c r="AW241" s="23"/>
      <c r="AX241" s="23"/>
      <c r="AY241" s="37" t="b">
        <v>0</v>
      </c>
      <c r="AZ241" s="42"/>
    </row>
    <row r="242">
      <c r="A242" s="55"/>
      <c r="B242" s="37"/>
      <c r="C242" s="54"/>
      <c r="D242" s="37"/>
      <c r="E242" s="37"/>
      <c r="F242" s="37"/>
      <c r="G242" s="37"/>
      <c r="H242" s="37"/>
      <c r="I242" s="55"/>
      <c r="J242" s="37"/>
      <c r="K242" s="56"/>
      <c r="L242" s="107"/>
      <c r="M242" s="107"/>
      <c r="N242" s="142"/>
      <c r="O242" s="37"/>
      <c r="P242" s="37"/>
      <c r="Q242" s="37"/>
      <c r="R242" s="37"/>
      <c r="S242" s="37"/>
      <c r="T242" s="37"/>
      <c r="U242" s="60"/>
      <c r="V242" s="60"/>
      <c r="W242" s="241"/>
      <c r="X242" s="241"/>
      <c r="Y242" s="23"/>
      <c r="Z242" s="29"/>
      <c r="AA242" s="54"/>
      <c r="AB242" s="37"/>
      <c r="AC242" s="38">
        <v>0.0</v>
      </c>
      <c r="AD242" s="51">
        <v>0.0</v>
      </c>
      <c r="AE242" s="32">
        <f t="shared" si="83"/>
        <v>0</v>
      </c>
      <c r="AF242" s="33" t="s">
        <v>82</v>
      </c>
      <c r="AG242" s="34">
        <v>0.0</v>
      </c>
      <c r="AH242" s="34" t="s">
        <v>82</v>
      </c>
      <c r="AI242" s="34">
        <v>0.0</v>
      </c>
      <c r="AJ242" s="34">
        <v>0.0</v>
      </c>
      <c r="AK242" s="34">
        <v>0.0</v>
      </c>
      <c r="AL242" s="36">
        <v>0.0</v>
      </c>
      <c r="AM242" s="37"/>
      <c r="AN242" s="38">
        <f t="shared" si="78"/>
        <v>595</v>
      </c>
      <c r="AO242" s="39">
        <f t="shared" si="82"/>
        <v>595</v>
      </c>
      <c r="AP242" s="40">
        <f t="shared" si="67"/>
        <v>0</v>
      </c>
      <c r="AQ242" s="111"/>
      <c r="AR242" s="37"/>
      <c r="AS242" s="14"/>
      <c r="AT242" s="37"/>
      <c r="AU242" s="42"/>
      <c r="AV242" s="52"/>
      <c r="AW242" s="23"/>
      <c r="AX242" s="23"/>
      <c r="AY242" s="37" t="b">
        <v>0</v>
      </c>
      <c r="AZ242" s="42"/>
    </row>
    <row r="243">
      <c r="A243" s="55"/>
      <c r="B243" s="37"/>
      <c r="C243" s="54"/>
      <c r="D243" s="37"/>
      <c r="E243" s="37"/>
      <c r="F243" s="37"/>
      <c r="G243" s="37"/>
      <c r="H243" s="37"/>
      <c r="I243" s="55"/>
      <c r="J243" s="37"/>
      <c r="K243" s="56"/>
      <c r="L243" s="107"/>
      <c r="M243" s="107"/>
      <c r="N243" s="142"/>
      <c r="O243" s="37"/>
      <c r="P243" s="37"/>
      <c r="Q243" s="37"/>
      <c r="R243" s="37"/>
      <c r="S243" s="37"/>
      <c r="T243" s="37"/>
      <c r="U243" s="60"/>
      <c r="V243" s="60"/>
      <c r="W243" s="241"/>
      <c r="X243" s="241"/>
      <c r="Y243" s="23"/>
      <c r="Z243" s="29"/>
      <c r="AA243" s="54"/>
      <c r="AB243" s="37"/>
      <c r="AC243" s="38">
        <v>0.0</v>
      </c>
      <c r="AD243" s="51">
        <v>0.0</v>
      </c>
      <c r="AE243" s="32">
        <f t="shared" si="83"/>
        <v>0</v>
      </c>
      <c r="AF243" s="33" t="s">
        <v>82</v>
      </c>
      <c r="AG243" s="34">
        <v>0.0</v>
      </c>
      <c r="AH243" s="34" t="s">
        <v>82</v>
      </c>
      <c r="AI243" s="34">
        <v>0.0</v>
      </c>
      <c r="AJ243" s="34">
        <v>0.0</v>
      </c>
      <c r="AK243" s="34">
        <v>0.0</v>
      </c>
      <c r="AL243" s="36">
        <v>0.0</v>
      </c>
      <c r="AM243" s="37"/>
      <c r="AN243" s="38">
        <f t="shared" si="78"/>
        <v>595</v>
      </c>
      <c r="AO243" s="39">
        <f t="shared" si="82"/>
        <v>595</v>
      </c>
      <c r="AP243" s="40">
        <f t="shared" si="67"/>
        <v>0</v>
      </c>
      <c r="AQ243" s="111"/>
      <c r="AR243" s="37"/>
      <c r="AS243" s="14"/>
      <c r="AT243" s="37"/>
      <c r="AU243" s="42"/>
      <c r="AV243" s="52"/>
      <c r="AW243" s="23"/>
      <c r="AX243" s="23"/>
      <c r="AY243" s="37" t="b">
        <v>0</v>
      </c>
      <c r="AZ243" s="42"/>
    </row>
  </sheetData>
  <customSheetViews>
    <customSheetView guid="{96B63109-D3DD-47A7-9601-9CB805816F85}" filter="1" showAutoFilter="1">
      <autoFilter ref="$A$1:$AZ$2">
        <filterColumn colId="9">
          <filters>
            <filter val="Alexis"/>
          </filters>
        </filterColumn>
        <filterColumn colId="21">
          <filters>
            <filter val="1/29/2026"/>
          </filters>
        </filterColumn>
      </autoFilter>
    </customSheetView>
  </customSheetViews>
  <conditionalFormatting sqref="AR223">
    <cfRule type="notContainsBlanks" dxfId="0" priority="1">
      <formula>LEN(TRIM(AR223))&gt;0</formula>
    </cfRule>
  </conditionalFormatting>
  <conditionalFormatting sqref="AR222">
    <cfRule type="notContainsBlanks" dxfId="0" priority="2">
      <formula>LEN(TRIM(AR222))&gt;0</formula>
    </cfRule>
  </conditionalFormatting>
  <conditionalFormatting sqref="AR221">
    <cfRule type="notContainsBlanks" dxfId="0" priority="3">
      <formula>LEN(TRIM(AR221))&gt;0</formula>
    </cfRule>
  </conditionalFormatting>
  <conditionalFormatting sqref="AR220">
    <cfRule type="notContainsBlanks" dxfId="0" priority="4">
      <formula>LEN(TRIM(AR220))&gt;0</formula>
    </cfRule>
  </conditionalFormatting>
  <conditionalFormatting sqref="AR219">
    <cfRule type="notContainsBlanks" dxfId="0" priority="5">
      <formula>LEN(TRIM(AR219))&gt;0</formula>
    </cfRule>
  </conditionalFormatting>
  <conditionalFormatting sqref="AR218">
    <cfRule type="notContainsBlanks" dxfId="0" priority="6">
      <formula>LEN(TRIM(AR218))&gt;0</formula>
    </cfRule>
  </conditionalFormatting>
  <conditionalFormatting sqref="AR217">
    <cfRule type="notContainsBlanks" dxfId="0" priority="7">
      <formula>LEN(TRIM(AR217))&gt;0</formula>
    </cfRule>
  </conditionalFormatting>
  <conditionalFormatting sqref="AR216">
    <cfRule type="notContainsBlanks" dxfId="0" priority="8">
      <formula>LEN(TRIM(AR216))&gt;0</formula>
    </cfRule>
  </conditionalFormatting>
  <conditionalFormatting sqref="AR215">
    <cfRule type="notContainsBlanks" dxfId="0" priority="9">
      <formula>LEN(TRIM(AR215))&gt;0</formula>
    </cfRule>
  </conditionalFormatting>
  <conditionalFormatting sqref="AR214">
    <cfRule type="notContainsBlanks" dxfId="0" priority="10">
      <formula>LEN(TRIM(AR214))&gt;0</formula>
    </cfRule>
  </conditionalFormatting>
  <conditionalFormatting sqref="AR213">
    <cfRule type="notContainsBlanks" dxfId="0" priority="11">
      <formula>LEN(TRIM(AR213))&gt;0</formula>
    </cfRule>
  </conditionalFormatting>
  <conditionalFormatting sqref="AR212">
    <cfRule type="notContainsBlanks" dxfId="0" priority="12">
      <formula>LEN(TRIM(AR212))&gt;0</formula>
    </cfRule>
  </conditionalFormatting>
  <conditionalFormatting sqref="AR211">
    <cfRule type="notContainsBlanks" dxfId="0" priority="13">
      <formula>LEN(TRIM(AR211))&gt;0</formula>
    </cfRule>
  </conditionalFormatting>
  <conditionalFormatting sqref="AR210">
    <cfRule type="notContainsBlanks" dxfId="0" priority="14">
      <formula>LEN(TRIM(AR210))&gt;0</formula>
    </cfRule>
  </conditionalFormatting>
  <conditionalFormatting sqref="AR209">
    <cfRule type="notContainsBlanks" dxfId="0" priority="15">
      <formula>LEN(TRIM(AR209))&gt;0</formula>
    </cfRule>
  </conditionalFormatting>
  <conditionalFormatting sqref="AR208">
    <cfRule type="notContainsBlanks" dxfId="0" priority="16">
      <formula>LEN(TRIM(AR208))&gt;0</formula>
    </cfRule>
  </conditionalFormatting>
  <conditionalFormatting sqref="AR207">
    <cfRule type="notContainsBlanks" dxfId="0" priority="17">
      <formula>LEN(TRIM(AR207))&gt;0</formula>
    </cfRule>
  </conditionalFormatting>
  <conditionalFormatting sqref="AR206">
    <cfRule type="notContainsBlanks" dxfId="0" priority="18">
      <formula>LEN(TRIM(AR206))&gt;0</formula>
    </cfRule>
  </conditionalFormatting>
  <conditionalFormatting sqref="AR205">
    <cfRule type="notContainsBlanks" dxfId="0" priority="19">
      <formula>LEN(TRIM(AR205))&gt;0</formula>
    </cfRule>
  </conditionalFormatting>
  <conditionalFormatting sqref="AR204">
    <cfRule type="notContainsBlanks" dxfId="0" priority="20">
      <formula>LEN(TRIM(AR204))&gt;0</formula>
    </cfRule>
  </conditionalFormatting>
  <conditionalFormatting sqref="AR203">
    <cfRule type="notContainsBlanks" dxfId="0" priority="21">
      <formula>LEN(TRIM(AR203))&gt;0</formula>
    </cfRule>
  </conditionalFormatting>
  <conditionalFormatting sqref="AR202">
    <cfRule type="notContainsBlanks" dxfId="0" priority="22">
      <formula>LEN(TRIM(AR202))&gt;0</formula>
    </cfRule>
  </conditionalFormatting>
  <conditionalFormatting sqref="AR201">
    <cfRule type="notContainsBlanks" dxfId="0" priority="23">
      <formula>LEN(TRIM(AR201))&gt;0</formula>
    </cfRule>
  </conditionalFormatting>
  <conditionalFormatting sqref="AR200">
    <cfRule type="notContainsBlanks" dxfId="0" priority="24">
      <formula>LEN(TRIM(AR200))&gt;0</formula>
    </cfRule>
  </conditionalFormatting>
  <conditionalFormatting sqref="AR199">
    <cfRule type="notContainsBlanks" dxfId="0" priority="25">
      <formula>LEN(TRIM(AR199))&gt;0</formula>
    </cfRule>
  </conditionalFormatting>
  <conditionalFormatting sqref="AR197">
    <cfRule type="notContainsBlanks" dxfId="0" priority="26">
      <formula>LEN(TRIM(AR197))&gt;0</formula>
    </cfRule>
  </conditionalFormatting>
  <conditionalFormatting sqref="AR194">
    <cfRule type="notContainsBlanks" dxfId="0" priority="27">
      <formula>LEN(TRIM(AR194))&gt;0</formula>
    </cfRule>
  </conditionalFormatting>
  <conditionalFormatting sqref="AR196">
    <cfRule type="notContainsBlanks" dxfId="0" priority="28">
      <formula>LEN(TRIM(AR196))&gt;0</formula>
    </cfRule>
  </conditionalFormatting>
  <conditionalFormatting sqref="AR195">
    <cfRule type="notContainsBlanks" dxfId="0" priority="29">
      <formula>LEN(TRIM(AR195))&gt;0</formula>
    </cfRule>
  </conditionalFormatting>
  <conditionalFormatting sqref="AR191">
    <cfRule type="notContainsBlanks" dxfId="0" priority="30">
      <formula>LEN(TRIM(AR191))&gt;0</formula>
    </cfRule>
  </conditionalFormatting>
  <conditionalFormatting sqref="AR190">
    <cfRule type="notContainsBlanks" dxfId="0" priority="31">
      <formula>LEN(TRIM(AR190))&gt;0</formula>
    </cfRule>
  </conditionalFormatting>
  <conditionalFormatting sqref="AR188">
    <cfRule type="notContainsBlanks" dxfId="0" priority="32">
      <formula>LEN(TRIM(AR188))&gt;0</formula>
    </cfRule>
  </conditionalFormatting>
  <conditionalFormatting sqref="AR187">
    <cfRule type="notContainsBlanks" dxfId="0" priority="33">
      <formula>LEN(TRIM(AR187))&gt;0</formula>
    </cfRule>
  </conditionalFormatting>
  <conditionalFormatting sqref="AR186">
    <cfRule type="notContainsBlanks" dxfId="0" priority="34">
      <formula>LEN(TRIM(AR186))&gt;0</formula>
    </cfRule>
  </conditionalFormatting>
  <conditionalFormatting sqref="AR185">
    <cfRule type="notContainsBlanks" dxfId="0" priority="35">
      <formula>LEN(TRIM(AR185))&gt;0</formula>
    </cfRule>
  </conditionalFormatting>
  <conditionalFormatting sqref="AR184">
    <cfRule type="notContainsBlanks" dxfId="0" priority="36">
      <formula>LEN(TRIM(AR184))&gt;0</formula>
    </cfRule>
  </conditionalFormatting>
  <conditionalFormatting sqref="AR183">
    <cfRule type="notContainsBlanks" dxfId="0" priority="37">
      <formula>LEN(TRIM(AR183))&gt;0</formula>
    </cfRule>
  </conditionalFormatting>
  <conditionalFormatting sqref="AR182">
    <cfRule type="notContainsBlanks" dxfId="0" priority="38">
      <formula>LEN(TRIM(AR182))&gt;0</formula>
    </cfRule>
  </conditionalFormatting>
  <conditionalFormatting sqref="AR181">
    <cfRule type="notContainsBlanks" dxfId="0" priority="39">
      <formula>LEN(TRIM(AR181))&gt;0</formula>
    </cfRule>
  </conditionalFormatting>
  <conditionalFormatting sqref="AR180">
    <cfRule type="notContainsBlanks" dxfId="0" priority="40">
      <formula>LEN(TRIM(AR180))&gt;0</formula>
    </cfRule>
  </conditionalFormatting>
  <conditionalFormatting sqref="AR179">
    <cfRule type="notContainsBlanks" dxfId="0" priority="41">
      <formula>LEN(TRIM(AR179))&gt;0</formula>
    </cfRule>
  </conditionalFormatting>
  <conditionalFormatting sqref="AR178">
    <cfRule type="notContainsBlanks" dxfId="0" priority="42">
      <formula>LEN(TRIM(AR178))&gt;0</formula>
    </cfRule>
  </conditionalFormatting>
  <conditionalFormatting sqref="AR177">
    <cfRule type="notContainsBlanks" dxfId="0" priority="43">
      <formula>LEN(TRIM(AR177))&gt;0</formula>
    </cfRule>
  </conditionalFormatting>
  <conditionalFormatting sqref="AR176">
    <cfRule type="notContainsBlanks" dxfId="0" priority="44">
      <formula>LEN(TRIM(AR176))&gt;0</formula>
    </cfRule>
  </conditionalFormatting>
  <conditionalFormatting sqref="AR175">
    <cfRule type="notContainsBlanks" dxfId="0" priority="45">
      <formula>LEN(TRIM(AR175))&gt;0</formula>
    </cfRule>
  </conditionalFormatting>
  <conditionalFormatting sqref="AR174">
    <cfRule type="notContainsBlanks" dxfId="0" priority="46">
      <formula>LEN(TRIM(AR174))&gt;0</formula>
    </cfRule>
  </conditionalFormatting>
  <conditionalFormatting sqref="AR173">
    <cfRule type="notContainsBlanks" dxfId="0" priority="47">
      <formula>LEN(TRIM(AR173))&gt;0</formula>
    </cfRule>
  </conditionalFormatting>
  <conditionalFormatting sqref="AR172">
    <cfRule type="notContainsBlanks" dxfId="0" priority="48">
      <formula>LEN(TRIM(AR172))&gt;0</formula>
    </cfRule>
  </conditionalFormatting>
  <conditionalFormatting sqref="AR171">
    <cfRule type="notContainsBlanks" dxfId="0" priority="49">
      <formula>LEN(TRIM(AR171))&gt;0</formula>
    </cfRule>
  </conditionalFormatting>
  <conditionalFormatting sqref="AR167:AR168">
    <cfRule type="notContainsBlanks" dxfId="0" priority="50">
      <formula>LEN(TRIM(AR167))&gt;0</formula>
    </cfRule>
  </conditionalFormatting>
  <conditionalFormatting sqref="AR166">
    <cfRule type="notContainsBlanks" dxfId="0" priority="51">
      <formula>LEN(TRIM(AR166))&gt;0</formula>
    </cfRule>
  </conditionalFormatting>
  <conditionalFormatting sqref="AR165">
    <cfRule type="notContainsBlanks" dxfId="0" priority="52">
      <formula>LEN(TRIM(AR165))&gt;0</formula>
    </cfRule>
  </conditionalFormatting>
  <conditionalFormatting sqref="AR164">
    <cfRule type="notContainsBlanks" dxfId="0" priority="53">
      <formula>LEN(TRIM(AR164))&gt;0</formula>
    </cfRule>
  </conditionalFormatting>
  <conditionalFormatting sqref="AR163">
    <cfRule type="notContainsBlanks" dxfId="0" priority="54">
      <formula>LEN(TRIM(AR163))&gt;0</formula>
    </cfRule>
  </conditionalFormatting>
  <conditionalFormatting sqref="AR162">
    <cfRule type="notContainsBlanks" dxfId="0" priority="55">
      <formula>LEN(TRIM(AR162))&gt;0</formula>
    </cfRule>
  </conditionalFormatting>
  <conditionalFormatting sqref="AR160:AR161">
    <cfRule type="notContainsBlanks" dxfId="0" priority="56">
      <formula>LEN(TRIM(AR160))&gt;0</formula>
    </cfRule>
  </conditionalFormatting>
  <conditionalFormatting sqref="AR159">
    <cfRule type="notContainsBlanks" dxfId="0" priority="57">
      <formula>LEN(TRIM(AR159))&gt;0</formula>
    </cfRule>
  </conditionalFormatting>
  <conditionalFormatting sqref="AR158">
    <cfRule type="notContainsBlanks" dxfId="0" priority="58">
      <formula>LEN(TRIM(AR158))&gt;0</formula>
    </cfRule>
  </conditionalFormatting>
  <conditionalFormatting sqref="AR157">
    <cfRule type="notContainsBlanks" dxfId="0" priority="59">
      <formula>LEN(TRIM(AR157))&gt;0</formula>
    </cfRule>
  </conditionalFormatting>
  <conditionalFormatting sqref="AR156">
    <cfRule type="notContainsBlanks" dxfId="0" priority="60">
      <formula>LEN(TRIM(AR156))&gt;0</formula>
    </cfRule>
  </conditionalFormatting>
  <conditionalFormatting sqref="AR155">
    <cfRule type="notContainsBlanks" dxfId="0" priority="61">
      <formula>LEN(TRIM(AR155))&gt;0</formula>
    </cfRule>
  </conditionalFormatting>
  <conditionalFormatting sqref="AR154">
    <cfRule type="notContainsBlanks" dxfId="0" priority="62">
      <formula>LEN(TRIM(AR154))&gt;0</formula>
    </cfRule>
  </conditionalFormatting>
  <conditionalFormatting sqref="AR153">
    <cfRule type="notContainsBlanks" dxfId="0" priority="63">
      <formula>LEN(TRIM(AR153))&gt;0</formula>
    </cfRule>
  </conditionalFormatting>
  <conditionalFormatting sqref="AR152">
    <cfRule type="notContainsBlanks" dxfId="0" priority="64">
      <formula>LEN(TRIM(AR152))&gt;0</formula>
    </cfRule>
  </conditionalFormatting>
  <conditionalFormatting sqref="AR151">
    <cfRule type="notContainsBlanks" dxfId="0" priority="65">
      <formula>LEN(TRIM(AR151))&gt;0</formula>
    </cfRule>
  </conditionalFormatting>
  <conditionalFormatting sqref="AR150">
    <cfRule type="notContainsBlanks" dxfId="0" priority="66">
      <formula>LEN(TRIM(AR150))&gt;0</formula>
    </cfRule>
  </conditionalFormatting>
  <conditionalFormatting sqref="AR149">
    <cfRule type="notContainsBlanks" dxfId="0" priority="67">
      <formula>LEN(TRIM(AR149))&gt;0</formula>
    </cfRule>
  </conditionalFormatting>
  <conditionalFormatting sqref="AR148">
    <cfRule type="notContainsBlanks" dxfId="0" priority="68">
      <formula>LEN(TRIM(AR148))&gt;0</formula>
    </cfRule>
  </conditionalFormatting>
  <conditionalFormatting sqref="AR147">
    <cfRule type="notContainsBlanks" dxfId="0" priority="69">
      <formula>LEN(TRIM(AR147))&gt;0</formula>
    </cfRule>
  </conditionalFormatting>
  <conditionalFormatting sqref="AR146">
    <cfRule type="notContainsBlanks" dxfId="0" priority="70">
      <formula>LEN(TRIM(AR146))&gt;0</formula>
    </cfRule>
  </conditionalFormatting>
  <conditionalFormatting sqref="AR145">
    <cfRule type="notContainsBlanks" dxfId="0" priority="71">
      <formula>LEN(TRIM(AR145))&gt;0</formula>
    </cfRule>
  </conditionalFormatting>
  <conditionalFormatting sqref="AR144">
    <cfRule type="notContainsBlanks" dxfId="0" priority="72">
      <formula>LEN(TRIM(AR144))&gt;0</formula>
    </cfRule>
  </conditionalFormatting>
  <conditionalFormatting sqref="AR143">
    <cfRule type="notContainsBlanks" dxfId="0" priority="73">
      <formula>LEN(TRIM(AR143))&gt;0</formula>
    </cfRule>
  </conditionalFormatting>
  <conditionalFormatting sqref="AR142">
    <cfRule type="notContainsBlanks" dxfId="0" priority="74">
      <formula>LEN(TRIM(AR142))&gt;0</formula>
    </cfRule>
  </conditionalFormatting>
  <conditionalFormatting sqref="AR141">
    <cfRule type="notContainsBlanks" dxfId="0" priority="75">
      <formula>LEN(TRIM(AR141))&gt;0</formula>
    </cfRule>
  </conditionalFormatting>
  <conditionalFormatting sqref="AR140">
    <cfRule type="notContainsBlanks" dxfId="0" priority="76">
      <formula>LEN(TRIM(AR140))&gt;0</formula>
    </cfRule>
  </conditionalFormatting>
  <conditionalFormatting sqref="AR139">
    <cfRule type="notContainsBlanks" dxfId="0" priority="77">
      <formula>LEN(TRIM(AR139))&gt;0</formula>
    </cfRule>
  </conditionalFormatting>
  <conditionalFormatting sqref="AR138">
    <cfRule type="notContainsBlanks" dxfId="0" priority="78">
      <formula>LEN(TRIM(AR138))&gt;0</formula>
    </cfRule>
  </conditionalFormatting>
  <conditionalFormatting sqref="AR137">
    <cfRule type="notContainsBlanks" dxfId="0" priority="79">
      <formula>LEN(TRIM(AR137))&gt;0</formula>
    </cfRule>
  </conditionalFormatting>
  <conditionalFormatting sqref="AR136">
    <cfRule type="notContainsBlanks" dxfId="0" priority="80">
      <formula>LEN(TRIM(AR136))&gt;0</formula>
    </cfRule>
  </conditionalFormatting>
  <conditionalFormatting sqref="AR135">
    <cfRule type="notContainsBlanks" dxfId="0" priority="81">
      <formula>LEN(TRIM(AR135))&gt;0</formula>
    </cfRule>
  </conditionalFormatting>
  <conditionalFormatting sqref="AR134">
    <cfRule type="notContainsBlanks" dxfId="0" priority="82">
      <formula>LEN(TRIM(AR134))&gt;0</formula>
    </cfRule>
  </conditionalFormatting>
  <conditionalFormatting sqref="AR132:AR133">
    <cfRule type="notContainsBlanks" dxfId="0" priority="83">
      <formula>LEN(TRIM(AR132))&gt;0</formula>
    </cfRule>
  </conditionalFormatting>
  <conditionalFormatting sqref="AR131">
    <cfRule type="notContainsBlanks" dxfId="0" priority="84">
      <formula>LEN(TRIM(AR131))&gt;0</formula>
    </cfRule>
  </conditionalFormatting>
  <conditionalFormatting sqref="AR130">
    <cfRule type="notContainsBlanks" dxfId="0" priority="85">
      <formula>LEN(TRIM(AR130))&gt;0</formula>
    </cfRule>
  </conditionalFormatting>
  <conditionalFormatting sqref="AR129">
    <cfRule type="notContainsBlanks" dxfId="0" priority="86">
      <formula>LEN(TRIM(AR129))&gt;0</formula>
    </cfRule>
  </conditionalFormatting>
  <conditionalFormatting sqref="AR128">
    <cfRule type="notContainsBlanks" dxfId="0" priority="87">
      <formula>LEN(TRIM(AR128))&gt;0</formula>
    </cfRule>
  </conditionalFormatting>
  <conditionalFormatting sqref="AR127">
    <cfRule type="notContainsBlanks" dxfId="0" priority="88">
      <formula>LEN(TRIM(AR127))&gt;0</formula>
    </cfRule>
  </conditionalFormatting>
  <conditionalFormatting sqref="AR126">
    <cfRule type="notContainsBlanks" dxfId="0" priority="89">
      <formula>LEN(TRIM(AR126))&gt;0</formula>
    </cfRule>
  </conditionalFormatting>
  <conditionalFormatting sqref="AR124">
    <cfRule type="notContainsBlanks" dxfId="0" priority="90">
      <formula>LEN(TRIM(AR124))&gt;0</formula>
    </cfRule>
  </conditionalFormatting>
  <conditionalFormatting sqref="AR123">
    <cfRule type="notContainsBlanks" dxfId="0" priority="91">
      <formula>LEN(TRIM(AR123))&gt;0</formula>
    </cfRule>
  </conditionalFormatting>
  <conditionalFormatting sqref="AR122">
    <cfRule type="notContainsBlanks" dxfId="0" priority="92">
      <formula>LEN(TRIM(AR122))&gt;0</formula>
    </cfRule>
  </conditionalFormatting>
  <conditionalFormatting sqref="AR121">
    <cfRule type="notContainsBlanks" dxfId="0" priority="93">
      <formula>LEN(TRIM(AR121))&gt;0</formula>
    </cfRule>
  </conditionalFormatting>
  <conditionalFormatting sqref="AR120">
    <cfRule type="notContainsBlanks" dxfId="0" priority="94">
      <formula>LEN(TRIM(AR120))&gt;0</formula>
    </cfRule>
  </conditionalFormatting>
  <conditionalFormatting sqref="AR119">
    <cfRule type="notContainsBlanks" dxfId="0" priority="95">
      <formula>LEN(TRIM(AR119))&gt;0</formula>
    </cfRule>
  </conditionalFormatting>
  <conditionalFormatting sqref="AR118">
    <cfRule type="notContainsBlanks" dxfId="0" priority="96">
      <formula>LEN(TRIM(AR118))&gt;0</formula>
    </cfRule>
  </conditionalFormatting>
  <conditionalFormatting sqref="AR117:AR118">
    <cfRule type="notContainsBlanks" dxfId="0" priority="97">
      <formula>LEN(TRIM(AR117))&gt;0</formula>
    </cfRule>
  </conditionalFormatting>
  <conditionalFormatting sqref="AR116">
    <cfRule type="notContainsBlanks" dxfId="0" priority="98">
      <formula>LEN(TRIM(AR116))&gt;0</formula>
    </cfRule>
  </conditionalFormatting>
  <dataValidations>
    <dataValidation type="list" allowBlank="1" showErrorMessage="1" sqref="AG2:AG3 AG33:AG120 AG121:AH121 AG122:AG169 AG171:AG243">
      <formula1>"$500.00,$200.00,$0.00,Subscribed"</formula1>
    </dataValidation>
    <dataValidation type="list" allowBlank="1" sqref="P2:P118 P119:Q119 P120:P161 P163:P164 P170 P197 P224:P243">
      <formula1>"New Build,Vacant Land,Waived,American Home Sheild,First American HW,Fidelity HW,ORHW_Nikki,ORHW,HWA,See Comment,Oredered By Other,Referral"</formula1>
    </dataValidation>
    <dataValidation type="list" allowBlank="1" sqref="G34 G40:G43">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formula1>
    </dataValidation>
    <dataValidation type="list" allowBlank="1" sqref="G210">
      <formula1>"Alexandra Haro,Alexis Cassidy,Alicia Good,Blake Cory,Bridget Sisco,Carmen Avalos,Cavin Quintanilla,Cheree More-Zarty,Cheryl Shaw,Connor McClurg,Dana Garcia,Diane Caddy,Edward Kaveney ""Eddie"",George Folia,Isy Ota-Oro,Jamie Carbajal,Jeanette Simms,Jeffrey"&amp;" Cottingham,Jenna Melendez,Jessica Cano,Joe Rodriguez,Kathy Zumaya,Kay Patel,Kendra Jo Harlan,Kiona Grantham,Larry Randolph,Mario Muñoz,Martin Gomez,Melissa Mantz,Mercedes Torres,Michael Wickam,Monique Lewis,Myrna Peterson,Nate Bunnell,Nicole Shettleroe,R"&amp;"achele Lacey,Renée Keeling,Richard Luizzi,Robin Tapia,Ron Prunty,Ronda Bryce,Rosalina Williams,Spencer Salter,Stephanie Carson,Zayn Almusawi,Kathleen Allen,Tyler Bernetskie"</formula1>
    </dataValidation>
    <dataValidation type="list" allowBlank="1" sqref="G37 G39 G44:G55">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formula1>
    </dataValidation>
    <dataValidation type="list" allowBlank="1" sqref="AB116 AB122:AB139">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Homes,Ylopo,Instagram,Opendoor,Company Lead,Call In"</formula1>
    </dataValidation>
    <dataValidation type="list" allowBlank="1" showErrorMessage="1" sqref="AG32 AG170">
      <formula1>"$,$500,N/A,Subscribed"</formula1>
    </dataValidation>
    <dataValidation type="list" allowBlank="1" sqref="H9 H14 H32 H121 H161 H170 H197 H225:H243">
      <formula1>"Mario,Melissa,Kay,N/A"</formula1>
    </dataValidation>
    <dataValidation type="list" allowBlank="1" showErrorMessage="1" sqref="AF9 AF14 AF32 AF121 AF170 AF197">
      <formula1>"$,$595.00,New Build,OpenDoor,VA Loan,Waived,Referral"</formula1>
    </dataValidation>
    <dataValidation type="list" allowBlank="1" showErrorMessage="1" sqref="AA2:AA161 AA170 AA197 AA224:AA243">
      <formula1>"New Build,Resale,Condo,Manu,Mobile,OpenDoor,OpenDoor_Flat,Sundae,Short Sale,Vacant Land,See Notes"</formula1>
    </dataValidation>
    <dataValidation type="list" allowBlank="1" sqref="AT138:AT169 AT171:AT196 AT198:AT223">
      <formula1>"See Notes,Pending Splits"</formula1>
    </dataValidation>
    <dataValidation type="list" allowBlank="1" sqref="I4:I8 I10:I13 I15:I16 I18:I24 I28:I29 I31 I33 I38">
      <formula1>"Nichole,Derek,Kimberly,KellyL,Jasmine,N/A,c/o Alicia Good,ISA,KellyM"</formula1>
    </dataValidation>
    <dataValidation type="list" allowBlank="1" sqref="G9 G14">
      <formula1>"Alicia Good,Alexandra Haro,Blake Cory,Bridget Sisco,Charles Provido,Cheryl Shaw,Dana Garcia,Edward Kaveney ""Eddie"",Fernando Maldonado,Mario Muñoz,Michael Wickam,Jane Arellano,Jenna Melendez,Joe Rodriguez,Karely Sanchez,Kathleen Allen,Kathy Zumaya,Kay Pa"&amp;"tel,Kendra Jo Harlan,Kiona Grantham,Larry Randolph,Melissa Mantz,Mercedes Torres,Monique Lewis,Myrna Peterson,Nate Bunnell,Nilska ""Nelly"" Guerrero,Rachele Lacey,Richard Luizzi,Roger Tarango,Robin Tapia,Ron Prunty,Ronda Bryce,Rosalina Williams,Stephanie "&amp;"Carson,Stephanie Casados"</formula1>
    </dataValidation>
    <dataValidation type="list" allowBlank="1" showErrorMessage="1" sqref="AF4:AF8 AF10:AF13 AF15:AF16 AF18:AF24 AF29 AF31 AF33 AF35 AF38 AF41 AF44:AF45 AF47 AF59 AF89 AF99 AF102 AI102 AF162 AF211">
      <formula1>"$,$595.00,$695.00,Agent Pay,New Build,OpenDoor,VA Loan,Waived,Referral"</formula1>
    </dataValidation>
    <dataValidation type="list" allowBlank="1" showErrorMessage="1" sqref="AM14 AM45 AM86 AM170">
      <formula1>"Buyer,Buyer_SOI,Seller,Seller_SOI,Buyer_New,Buyer_SOI 2+,Buyer_SOI 5+,Seller_SOI 2+,Seller_SOI 5+"</formula1>
    </dataValidation>
    <dataValidation type="list" allowBlank="1" sqref="G19 G21 G23:G24 G28:G29 G31 G33 G35 G38">
      <formula1>"Alicia Good,Alexandra Haro,Alexis Cassidy,Ansar Khan,Blake Cory,Bridget Sisco,Carmen Avalos,Charles Provido,Cheryl Shaw,Dana Garcia,Edward Kaveney ""Eddie"",Mario Muñoz,Michael Wickam,Jenna Melendez,Joe Rodriguez,Kathy Zumaya,Kay Patel,Kendra Jo Harlan,Ki"&amp;"ona Grantham,Larry Randolph,Melissa Mantz,Mercedes Torres,Monique Lewis,Myrna Peterson,Nate Bunnell,Nelly Guerrero,Nicole Shettleroe,Rachele Lacey,Renée Keeling,Richard Luizzi,Robin Tapia,Ron Prunty,Ronda Bryce,Rosalina Williams,Stephanie Carson,Stephanie"&amp;" Casados"</formula1>
    </dataValidation>
    <dataValidation type="list" allowBlank="1" sqref="G108:G117 G120 G122:G137">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Ota-Oro,Jamie Carbajal,Jessica Cano,Connor McClurg"</formula1>
    </dataValidation>
    <dataValidation type="list" allowBlank="1" sqref="G32 G56 G118:G119 G121 G142 G146 G148 G152 G157 G161 G170 G197 G224:G243">
      <formula1>"Alicia Good,Alexandra Haro,Blake Cory,Bridget Sisco,Charles Provido,Cheryl Shaw,Dana Garcia,Edward Kaveney ""Eddie"",Fernando Maldonado,Mario Muñoz,Michael Wickam,Jane Arellano,Jenna Melendez,Joe Rodriguez,Karely Sanchez,Kathleen Allen,Kathy Zumaya,Kay Pa"&amp;"tel,Kendra Jo Harlan,Kiona Grantham,Larry Randolph,Melissa Mantz,Monique Lewis,Myrna Peterson,Nate Bunnell,Nilska ""Nelly"" Guerrero,Rachele Lacey,Richard Luizzi,Roger Tarango,Robin Tapia,Ron Prunty,Ronda Bryce,Rosalina Williams,Stephanie Carson,Stephanie"&amp;" Casados,Spencer Salter"</formula1>
    </dataValidation>
    <dataValidation type="list" allowBlank="1" showErrorMessage="1" sqref="AM143 AM147">
      <formula1>"Buyer,SOI 70,Seller,SOI 80,SOI 90,SOI 60,SOI 85,Seller 70"</formula1>
    </dataValidation>
    <dataValidation type="list" allowBlank="1" sqref="G57:G63 G66:G67 G70">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formula1>
    </dataValidation>
    <dataValidation type="list" allowBlank="1" sqref="G71:G72 G75 G81:G83 G87:G89 G92:G93">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Ota-Oro,Jamie Carbajal"</formula1>
    </dataValidation>
    <dataValidation type="list" allowBlank="1" showErrorMessage="1" sqref="Y25 U2:U31 U33:U120 U122:U160 U162:U169 U171:U224">
      <formula1>"Q1 2026,Q2 2026,Q3 2026,Q3 2025,Q4 2025,Q4 2026"</formula1>
    </dataValidation>
    <dataValidation type="list" allowBlank="1" sqref="AT2:AT105 AT121 AT170 AT197 AT224:AT243">
      <formula1>"Pending Splits,Commission Disbursement,Complete,Complete/Pending eXpFees,See Notes"</formula1>
    </dataValidation>
    <dataValidation type="list" allowBlank="1" sqref="G138:G141 G143:G145 G147 G149:G151 G153:G156 G158:G160 G164">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Ota-Oro,Jamie Carbajal,Jessica Cano,Connor McClurg,Martin Gomez"</formula1>
    </dataValidation>
    <dataValidation type="list" allowBlank="1" sqref="F150:F151 F153:F160 F162:F169 F171:F196 F198:F223">
      <formula1>"RVSD,SB,OC,LA,SD,IMP,KERN,VENTURA,FRESNO,TULARE"</formula1>
    </dataValidation>
    <dataValidation type="list" allowBlank="1" sqref="F2:F77 F79:F89 F92:F94 F121 F161 F170 F197 F224:F243">
      <formula1>"RVSD,SB,OC,LA,SD,IMP,KERN,Ventura"</formula1>
    </dataValidation>
    <dataValidation type="list" allowBlank="1" showDropDown="1" sqref="AR115 AR117 AR129:AR130 AR179">
      <formula1>"See Notes,agent is listed as Blake, but is actually Tyler until his license is fixed. Splits should be 50/50 for a company provided lead to Tyler upon closing. confirm with Dana that his license is active and registered with eXp prior to adding his name t"&amp;"o the file or skyslope. the source of the lead was zillow reg 2022, so now can be listed as PAST CLIENT, not referral fee due to zillow, but not SOI pay to Tyler. ,Connors first deal TC fee is being waived &amp; he's in the EA Program,Mario needs to be billed"&amp;" through the store for the deduction amount for Photos,Showcase Token and Sign Install ,Rachele owes $200; follow up with dana before entering splits- needs to be paid through store"</formula1>
    </dataValidation>
    <dataValidation type="list" allowBlank="1" sqref="G2:G3 G65 G69 G74 G76:G77 G79 G84:G86">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formula1>
    </dataValidation>
    <dataValidation type="list" allowBlank="1" showErrorMessage="1" sqref="AH72 AH75 AH78 AH87:AH120 AH122:AH243">
      <formula1>"$,$0.00,$250.,Subscribed,Showcase Token,N/A"</formula1>
    </dataValidation>
    <dataValidation type="list" allowBlank="1" showErrorMessage="1" sqref="Y2:Y24 U32 V189 Y26:Y243">
      <formula1>"Q1 2026,Q2 2026,Q3 2026,Q4 2026"</formula1>
    </dataValidation>
    <dataValidation type="list" allowBlank="1" sqref="AW2:AW169 AW170:AX170 AW171:AW223 AW224:AX243">
      <formula1>"Complete - Pending,Complete - Closed,Complete - Fell Out,See Notes,N/A"</formula1>
    </dataValidation>
    <dataValidation type="list" allowBlank="1" sqref="AB140:AB157 AB161">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Homes,Ylopo,Instagram,Opendoor,Company Lead"</formula1>
    </dataValidation>
    <dataValidation type="list" allowBlank="1" sqref="I2:I3 I9 I14 I17 I25:I27 I30 I32 I34:I37 I39:I136 I197 I224:I243">
      <formula1>"Nichole,Derek,Kimberly,KellyL,Jasmine,N/A,c/o Alicia Good,ISA,KellyM,c/o Alexandra Haro,c/o Stephanie Casados,c/o Petra Campos,c/o Rosalina Williams,c/o Isy Ota-Oro"</formula1>
    </dataValidation>
    <dataValidation type="list" allowBlank="1" sqref="G17 G25:G27 G30">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formula1>
    </dataValidation>
    <dataValidation type="list" allowBlank="1" showErrorMessage="1" sqref="AA162:AA169 AA171:AA196 AA198:AA223">
      <formula1>"New Build,Resale,Condo,Manu,Mobile,OpenDoor,OpenDoor_Flat,Vacant Land,See Notes"</formula1>
    </dataValidation>
    <dataValidation type="list" allowBlank="1" showErrorMessage="1" sqref="U121 U161 U170 U225:U243">
      <formula1>"Q1,Q2,Q3,Q4"</formula1>
    </dataValidation>
    <dataValidation type="list" allowBlank="1" sqref="Q2:Q4 Q6:Q31 Q33:Q55 Q57:Q118 Q120 Q122:Q160 Q163:Q164">
      <formula1>"New Build,First American ,myNHD,myNHD_Other,SNAP,SNAP_Other,NHD ,The Disclosure Report NHD,American Home Sheild,Disclosure Source,PDQ,See Notes, Property ID,Waived,Referral,Logic NHD,CRES NHD,Fast NHD,Your One NHD"</formula1>
    </dataValidation>
    <dataValidation type="list" allowBlank="1" sqref="Q5 Q32 Q56 Q121 Q161 Q170 Q197 Q224:Q243">
      <formula1>"New Build,First American ,JCP-LGS Disclosures,myNHD,myNHD_Other,SNAP,SNAP_Other,NHD ,The Disclosure Report NHD,American Home Sheild,Disclosure Source,PDQ,See Notes, Property ID,Waived,Referral,Logic NHD,CRES NHD,Fast NHD"</formula1>
    </dataValidation>
    <dataValidation type="list" allowBlank="1" sqref="G162 G165:G169 G171:G196 G200 G219">
      <formula1>"Alexandra Haro,Alexis Cassidy,Alicia Good,Blake Cory,Bridget Sisco,Carmen Avalos,Cavin Quintanilla,Cheree More-Zarty,Cheryl Shaw,Connor McClurg,Dana Garcia,Diane Caddy,Edward Kaveney ""Eddie"",George Folia,Isy Ota-Oro,Jamie Carbajal,Jeanette Simms,Jeffrey"&amp;" Cottingham,Jenna Melendez,Jessica Cano,Joe Rodriguez,Kathy Zumaya,Kay Patel,Kendra Jo Harlan,Kiona Grantham,Larry Randolph,Mario Muñoz,Martin Gomez,Melissa Mantz,Mercedes Torres,Michael Wickam,Monique Lewis,Myrna Peterson,Nate Bunnell,Nicole Shettleroe,R"&amp;"achele Lacey,Renée Keeling,Richard Luizzi,Robin Tapia,Ron Prunty,Ronda Bryce,Rosalina Williams,Spencer Salter,Stephanie Carson,Zayn Almusawi,Kathleen Allen"</formula1>
    </dataValidation>
    <dataValidation type="list" allowBlank="1" showErrorMessage="1" sqref="AM165:AM169 AM171:AM175 AM177:AM210 AM212:AM243">
      <formula1>"Buyer,SOI 70,Seller,SOI 80,SOI 90,SOI 60,SOI 85,SOI 75"</formula1>
    </dataValidation>
    <dataValidation type="list" allowBlank="1" showErrorMessage="1" sqref="AH2:AH3 AH17 AH24 AH26:AH31 AH33:AH34 AH36:AH71 AH73:AH74 AH76:AH77 AH79:AH86">
      <formula1>"$,$0.00,$250.,N/A,Subscribed"</formula1>
    </dataValidation>
    <dataValidation type="list" allowBlank="1" sqref="G163">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Ota-Oro,Jamie Carbajal,Jessica Cano,Connor McClurg,Martin Gomez,Spencer Salter"</formula1>
    </dataValidation>
    <dataValidation type="list" allowBlank="1" sqref="AT106:AT120 AT122:AT137">
      <formula1>"See Notes"</formula1>
    </dataValidation>
    <dataValidation type="list" allowBlank="1" sqref="P162 P165:P169 P171:P196 P198:P223">
      <formula1>"New Build,Vacant Land,Waived,American Home Sheild,First American HW,Fidelity HW,HWA,OpenDoor,ORHW_Nikki,ORHW,See Comment,Oredered By Other,Referral"</formula1>
    </dataValidation>
    <dataValidation type="list" allowBlank="1" sqref="G221:G223">
      <formula1>"Alexandra Haro,Alexis Cassidy,Alicia Good,Blake Cory,Bridget Sisco,Carmen Avalos,Cavin Quintanilla,Cheree Moore-Zarty,Cheryl Shaw,Christine Van Hyning,Connor McClurg,Dana Garcia,Diane Caddy,Edward Kaveney ""Eddie"",George Folia,Isy Ota-Oro,Jamie Carbajal,"&amp;"Jeanette Simms,Jeffrey Cottingham,Jenna Melendez,Jessica Cano,Joe Rodriguez,Kathy Zumaya,Kay Patel,Kendra Jo Harlan,Kiona Grantham,Kristi Beneventi,Larry Randolph,Mario Muñoz,Martin Gomez,Melissa Mantz,Mercedes Torres,Michael Wickam,Monique Lewis,Myrna Pe"&amp;"terson,Nate Bunnell,Nicole Shettleroe,Rachele Lacey,Renée Keeling,Richard Luizzi,Robin Tapia,Ron Prunty,Ronda Bryce,Rosalina Williams,Samantha Gonzales,Spencer Salter,Stephanie Carson,Zayn Almusawi,Kathleen Allen,Erskine Bonilla"</formula1>
    </dataValidation>
    <dataValidation type="list" allowBlank="1" showErrorMessage="1" sqref="J2:J243">
      <formula1>"Alexis,Kenia,Outside"</formula1>
    </dataValidation>
    <dataValidation type="list" allowBlank="1" sqref="AB158:AB160 AB162:AB169 AB171:AB223">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Homes,Ylopo,Instagram,Opendoor,Company Lead,Crush It Marketing"</formula1>
    </dataValidation>
    <dataValidation type="list" allowBlank="1" showErrorMessage="1" sqref="A2:A243">
      <formula1>"January,February,March,April,May,June,July,August,September,October,November,December"</formula1>
    </dataValidation>
    <dataValidation type="list" allowBlank="1" sqref="B2:B243">
      <formula1>"Buyer,Seller"</formula1>
    </dataValidation>
    <dataValidation type="list" allowBlank="1" showErrorMessage="1" sqref="AM2:AM3 AM17 AM24 AM26:AM28 AM30 AM32 AM34:AM44 AM46 AM48:AM58 AM60:AM70 AM73:AM74 AM76:AM77 AM79:AM81 AM84:AM85 AM99">
      <formula1>"Buyer,SOI 70,Seller,SOI 80,SOI 90,SOI 60,SOI 85,Seller SOI+5 30/70"</formula1>
    </dataValidation>
    <dataValidation type="list" allowBlank="1" showErrorMessage="1" sqref="AM162:AM164">
      <formula1>"Buyer,SOI 70,Seller,SOI 80,SOI 90,SOI 60,SOI 85,SOI 75,Seller 60/40"</formula1>
    </dataValidation>
    <dataValidation type="list" allowBlank="1" sqref="G4:G8 G10:G13 G15:G16 G18 G20 G22">
      <formula1>"Alicia Good,Alexandra Haro,Alexis Cassidy,Ansar Khan,Blake Cory,Bridget Sisco,Carmen Avalos,Charles Provido,Cheree Moore-Zarty,Cheryl Shaw,Dana Garcia,Edward Kaveney ""Eddie"",Jenna Melendez,Joe Rodriguez,Kathy Zumaya,Kay Patel,Kendra Jo Harlan,Kiona Gran"&amp;"tham,Larry Randolph,Mario Muñoz,Michael Wickam,Melissa Mantz,Mercedes Torres,Monique Lewis,Myrna Peterson,Nate Bunnell,Nelly Guerrero,Nicole Shettleroe,Rachele Lacey,Renée Keeling,Richard Luizzi,Robin Tapia,Ron Prunty,Ronda Bryce,Rosalina Williams,Stephan"&amp;"ie Carson,Stephanie Casados"</formula1>
    </dataValidation>
    <dataValidation type="list" allowBlank="1" showErrorMessage="1" sqref="AM29 AM31 AM33 AM47 AM59 AM89 AM211">
      <formula1>"Buyer,SOI 70,Seller,SOI 80,SOI 90,SOI 60,SOI 85,Seller 60/40"</formula1>
    </dataValidation>
    <dataValidation type="list" allowBlank="1" showErrorMessage="1" sqref="AM71 AM82:AM83 AM88 AM102 AM112 AM121 AM176">
      <formula1>"Buyer,SOI 70,Seller,SOI 80,SOI 90,SOI 60,SOI 85,SOI 100"</formula1>
    </dataValidation>
    <dataValidation type="list" allowBlank="1" showErrorMessage="1" sqref="AM72 AM75 AM78 AM87 AM90:AM98 AM100:AM101 AM103:AM111 AM113:AM120 AM122:AM142 AM144:AM146 AM148:AM161">
      <formula1>"Buyer,SOI 70,Seller,SOI 80,SOI 90,SOI 60,SOI 85"</formula1>
    </dataValidation>
    <dataValidation type="list" allowBlank="1" showDropDown="1" sqref="AR2:AR3 AR5:AR109 AR111:AR114 AR121 AR167:AR168 AR170 AR192:AR193 AR197 AR224:AR243">
      <formula1>"See Notes"</formula1>
    </dataValidation>
    <dataValidation type="list" allowBlank="1" sqref="H4:H8 H10:H13 H15:H16 H18:H22">
      <formula1>"Melissa,Mario,Kay,Bridget/Mario,Bridget/Kay,Kiona,Blake"</formula1>
    </dataValidation>
    <dataValidation type="list" allowBlank="1" showErrorMessage="1" sqref="AG14 AG18 AG20 AG22">
      <formula1>"$500.00,$0.00"</formula1>
    </dataValidation>
    <dataValidation type="list" allowBlank="1" sqref="G36">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formula1>
    </dataValidation>
    <dataValidation type="list" allowBlank="1" sqref="G64 G68 G73">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formula1>
    </dataValidation>
    <dataValidation type="list" allowBlank="1" sqref="AB2:AB3 AB17 AB23:AB31 AB33:AB115 AB117:AB120">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Homes,Ylopo,Instagram,Opendoor,Company Lead,On The Move Van"</formula1>
    </dataValidation>
    <dataValidation type="list" allowBlank="1" sqref="G198 G201:G209 G212">
      <formula1>"Alexandra Haro,Alexis Cassidy,Alicia Good,Blake Cory,Bridget Sisco,Carmen Avalos,Cavin Quintanilla,Cheree Moore-Zarty,Cheryl Shaw,Connor McClurg,Dana Garcia,Diane Caddy,Edward Kaveney ""Eddie"",George Folia,Isy Ota-Oro,Jamie Carbajal,Jeanette Simms,Jeffre"&amp;"y Cottingham,Jenna Melendez,Jessica Cano,Joe Rodriguez,Kathy Zumaya,Kay Patel,Kendra Jo Harlan,Kiona Grantham,Larry Randolph,Mario Muñoz,Martin Gomez,Melissa Mantz,Mercedes Torres,Michael Wickam,Monique Lewis,Myrna Peterson,Nate Bunnell,Nicole Shettleroe,"&amp;"Rachele Lacey,Renée Keeling,Richard Luizzi,Robin Tapia,Ron Prunty,Ronda Bryce,Rosalina Williams,Spencer Salter,Stephanie Carson,Zayn Almusawi,Kathleen Allen"</formula1>
    </dataValidation>
    <dataValidation type="list" allowBlank="1" sqref="I137:I196 I198:I223">
      <formula1>"Nichole,Derek,Kimberly,KellyL,Jasmine,N/A,c/o Alicia Good,ISA,KellyM,c/o Alexandra Haro,c/o Stephanie Casados,c/o Petra Campos,c/o Rosalina Williams"</formula1>
    </dataValidation>
    <dataValidation type="list" allowBlank="1" showErrorMessage="1" sqref="AM4:AM13 AM15:AM16 AM18 AM20 AM22:AM23 AM25">
      <formula1>"Buyer,SOI 70,Seller,SOI 80,SOI 90,SOI 60"</formula1>
    </dataValidation>
    <dataValidation type="list" allowBlank="1" sqref="F78 F90:F91 F95:F120 F122:F149 F152">
      <formula1>"RVSD,SB,OC,LA,SD,IMP,KERN,VENTURA,FRESNO"</formula1>
    </dataValidation>
    <dataValidation type="list" allowBlank="1" showErrorMessage="1" sqref="AH14 AH25 AH32">
      <formula1>"$,$250,N/A,Subscribed"</formula1>
    </dataValidation>
    <dataValidation type="list" allowBlank="1" showErrorMessage="1" sqref="AG15:AG16 AG19 AG21 AG23:AG25 AG28">
      <formula1>"$500.00,$0.00,Subscribed"</formula1>
    </dataValidation>
    <dataValidation type="list" allowBlank="1" showErrorMessage="1" sqref="AG17 AG26:AG27 AG29:AG31">
      <formula1>"$500.00,$0.00,Subscribed,$595.00"</formula1>
    </dataValidation>
    <dataValidation type="list" allowBlank="1" sqref="G199 G211 G213:G218 G220">
      <formula1>"Alexandra Haro,Alexis Cassidy,Alicia Good,Blake Cory,Bridget Sisco,Carmen Avalos,Cavin Quintanilla,Cheree Moore-Zarty,Cheryl Shaw,Christine Van Hyning,Connor McClurg,Dana Garcia,Diane Caddy,Edward Kaveney ""Eddie"",George Folia,Isy Ota-Oro,Jamie Carbajal,"&amp;"Jeanette Simms,Jeffrey Cottingham,Jenna Melendez,Jessica Cano,Joe Rodriguez,Kathy Zumaya,Kay Patel,Kendra Jo Harlan,Kiona Grantham,Kristi Beneventi,Larry Randolph,Mario Muñoz,Martin Gomez,Melissa Mantz,Mercedes Torres,Michael Wickam,Monique Lewis,Myrna Pe"&amp;"terson,Nate Bunnell,Nicole Shettleroe,Rachele Lacey,Renée Keeling,Richard Luizzi,Robin Tapia,Ron Prunty,Ronda Bryce,Rosalina Williams,Samantha Gonzales,Spencer Salter,Stephanie Carson,Zayn Almusawi,Kathleen Allen"</formula1>
    </dataValidation>
    <dataValidation type="list" allowBlank="1" showErrorMessage="1" sqref="AM19 AM21">
      <formula1>"Buyer,SOI 70,Seller,SOI 80,SOI 90"</formula1>
    </dataValidation>
    <dataValidation type="list" allowBlank="1" sqref="G78 G80 G90:G91 G94:G107">
      <formula1>"Alexandra Haro,Alexis Cassidy,Alicia Good,Blake Cory,Bridget Sisco,Carmen Avalos,Cheree Moore-Zarty,Cheryl Shaw,Dana Garcia,Edward Kaveney ""Eddie"",George Folia,Mario Muñoz,Michael Wickam,Jeffrey Cottingham,Jenna Melendez,Joe Rodriguez,Kathy Zumaya,Kay P"&amp;"atel,Kendra Jo Harlan,Kiona Grantham,Larry Randolph,Melissa Mantz,Mercedes Torres,Monique Lewis,Myrna Peterson,Nate Bunnell,Nicole Shettleroe,Rachele Lacey,Renée Keeling,Richard Luizzi,Robin Tapia,Ron Prunty,Ronda Bryce,Rosalina Williams,Stephanie Carson,"&amp;"Diane Caddy,Jeanette Simms,Cavin Quintanilla,Kathleen Allen,Zayn Almusawi,Isy Ota-Oro,Jamie Carbajal,Jessica Cano"</formula1>
    </dataValidation>
    <dataValidation type="list" allowBlank="1" sqref="H2:H3 H17 H23:H31 H33:H120 H122:H160 H162:H169 H171:H196 H198:H224">
      <formula1>"Blake,Kiona,Mario,Melissa"</formula1>
    </dataValidation>
    <dataValidation type="list" allowBlank="1" showErrorMessage="1" sqref="AF2:AF3 AF17 AF25:AF28 AF30 AF34 AF36:AF37 AF39:AF40 AF42:AF43 AF46 AF48:AF58 AF60:AF62 AF64:AF88 AF90:AF98 AF100:AF101 AF103:AF120 AF122:AF161 AF163:AF169 AF171:AF196 AF198:AF210 AF212:AF243">
      <formula1>"$,$595.00,New Build,OpenDoor,VA Loan,Waived,Referral,Agent Pay"</formula1>
    </dataValidation>
    <dataValidation type="list" allowBlank="1" sqref="AB4:AB16 AB18:AB22 AB32 AB121 AB170 AB224:AB243">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formula1>
    </dataValidation>
    <dataValidation type="list" allowBlank="1" sqref="Q162 Q165:Q169 Q171:Q196 Q198:Q223">
      <formula1>"New Build,First American ,myNHD,myNHD_Other,American Home Sheild,CRES NHD,The Disclosure Report NHD,Disclosure Source,Fast NHD,Logic NHD,OpenDoor,PDQ, Property ID,SNAP,SNAP_Other,Waived,Your One NHD,See Notes,Referral"</formula1>
    </dataValidation>
    <dataValidation type="list" allowBlank="1" showErrorMessage="1" sqref="AH35">
      <formula1>"$,$0.00,$250.00,N/A,Subscribed"</formula1>
    </dataValidation>
  </dataValidations>
  <hyperlinks>
    <hyperlink r:id="rId4" ref="AB59"/>
    <hyperlink r:id="rId5" ref="M78"/>
    <hyperlink r:id="rId6" ref="T81"/>
    <hyperlink r:id="rId7" ref="AB122"/>
  </hyperlinks>
  <drawing r:id="rId8"/>
  <legacy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24.75"/>
    <col customWidth="1" min="2" max="3" width="14.25"/>
    <col customWidth="1" min="4" max="4" width="32.5"/>
    <col customWidth="1" min="5" max="6" width="11.88"/>
    <col customWidth="1" min="7" max="7" width="25.0"/>
    <col customWidth="1" min="8" max="8" width="16.75"/>
    <col customWidth="1" min="9" max="9" width="15.5"/>
    <col customWidth="1" min="10" max="10" width="17.0"/>
    <col customWidth="1" min="11" max="11" width="24.13"/>
    <col customWidth="1" min="12" max="13" width="17.13"/>
    <col customWidth="1" min="14" max="14" width="12.63"/>
    <col customWidth="1" min="15" max="15" width="42.63"/>
    <col customWidth="1" min="16" max="17" width="31.38"/>
    <col customWidth="1" min="18" max="18" width="26.75"/>
    <col customWidth="1" min="19" max="19" width="27.25"/>
    <col customWidth="1" min="20" max="21" width="18.88"/>
    <col customWidth="1" min="22" max="22" width="25.13"/>
    <col customWidth="1" min="23" max="23" width="18.88"/>
    <col customWidth="1" min="24" max="24" width="31.38"/>
    <col customWidth="1" min="25" max="26" width="11.38"/>
    <col customWidth="1" min="27" max="29" width="10.75"/>
    <col customWidth="1" min="30" max="30" width="1.38"/>
    <col customWidth="1" min="32" max="32" width="24.63"/>
    <col customWidth="1" min="33" max="33" width="12.75"/>
    <col customWidth="1" min="34" max="34" width="11.38"/>
    <col customWidth="1" min="35" max="35" width="9.5"/>
    <col customWidth="1" min="36" max="36" width="11.25"/>
    <col customWidth="1" min="37" max="39" width="11.88"/>
    <col customWidth="1" min="40" max="40" width="12.0"/>
    <col customWidth="1" min="41" max="42" width="9.5"/>
    <col customWidth="1" min="43" max="43" width="14.0"/>
    <col customWidth="1" min="44" max="46" width="9.5"/>
    <col customWidth="1" min="47" max="47" width="1.38"/>
    <col customWidth="1" min="48" max="48" width="18.88"/>
    <col customWidth="1" min="49" max="49" width="1.38"/>
    <col customWidth="1" min="50" max="50" width="16.38"/>
    <col customWidth="1" min="51" max="51" width="17.63"/>
    <col customWidth="1" min="52" max="56" width="1.38"/>
  </cols>
  <sheetData>
    <row r="1">
      <c r="A1" s="242"/>
      <c r="B1" s="243"/>
      <c r="C1" s="242"/>
      <c r="D1" s="244"/>
      <c r="E1" s="245"/>
      <c r="F1" s="245"/>
      <c r="G1" s="246"/>
      <c r="H1" s="245"/>
      <c r="I1" s="245"/>
      <c r="J1" s="245"/>
      <c r="K1" s="245"/>
      <c r="L1" s="245"/>
      <c r="M1" s="245"/>
      <c r="N1" s="247"/>
      <c r="O1" s="248"/>
      <c r="P1" s="248"/>
      <c r="Q1" s="248"/>
      <c r="R1" s="248"/>
      <c r="S1" s="249"/>
      <c r="T1" s="250"/>
      <c r="U1" s="250"/>
      <c r="V1" s="250"/>
      <c r="W1" s="249"/>
      <c r="X1" s="249"/>
      <c r="Y1" s="250"/>
      <c r="Z1" s="250"/>
      <c r="AA1" s="250"/>
      <c r="AB1" s="250"/>
      <c r="AC1" s="250"/>
      <c r="AD1" s="251"/>
      <c r="AE1" s="252" t="s">
        <v>2170</v>
      </c>
      <c r="AT1" s="253"/>
      <c r="AU1" s="251"/>
      <c r="AV1" s="254" t="s">
        <v>2171</v>
      </c>
      <c r="AW1" s="251"/>
      <c r="AX1" s="255"/>
      <c r="AY1" s="255"/>
      <c r="AZ1" s="17"/>
      <c r="BA1" s="17"/>
      <c r="BB1" s="17"/>
      <c r="BC1" s="17"/>
      <c r="BD1" s="17"/>
    </row>
    <row r="2" ht="28.5" customHeight="1">
      <c r="A2" s="256"/>
      <c r="B2" s="256"/>
      <c r="C2" s="256"/>
      <c r="D2" s="244"/>
      <c r="E2" s="257"/>
      <c r="F2" s="257"/>
      <c r="G2" s="258"/>
      <c r="H2" s="259"/>
      <c r="I2" s="257"/>
      <c r="J2" s="257"/>
      <c r="K2" s="257"/>
      <c r="L2" s="257"/>
      <c r="M2" s="257"/>
      <c r="N2" s="260"/>
      <c r="O2" s="261"/>
      <c r="P2" s="261"/>
      <c r="Q2" s="261"/>
      <c r="R2" s="262"/>
      <c r="S2" s="260"/>
      <c r="T2" s="263"/>
      <c r="U2" s="263"/>
      <c r="V2" s="263"/>
      <c r="W2" s="260"/>
      <c r="X2" s="263"/>
      <c r="Y2" s="263"/>
      <c r="Z2" s="263"/>
      <c r="AA2" s="263"/>
      <c r="AB2" s="263"/>
      <c r="AC2" s="263"/>
      <c r="AD2" s="29"/>
      <c r="AE2" s="264"/>
      <c r="AF2" s="265"/>
      <c r="AG2" s="265"/>
      <c r="AH2" s="266"/>
      <c r="AI2" s="265"/>
      <c r="AJ2" s="265"/>
      <c r="AK2" s="265"/>
      <c r="AL2" s="265"/>
      <c r="AM2" s="265"/>
      <c r="AN2" s="265"/>
      <c r="AO2" s="265"/>
      <c r="AP2" s="265"/>
      <c r="AQ2" s="267"/>
      <c r="AR2" s="267"/>
      <c r="AS2" s="267"/>
      <c r="AT2" s="267"/>
      <c r="AU2" s="111"/>
      <c r="AV2" s="268"/>
      <c r="AW2" s="42"/>
      <c r="AX2" s="112"/>
      <c r="AY2" s="112"/>
      <c r="AZ2" s="17"/>
      <c r="BA2" s="17"/>
      <c r="BB2" s="17"/>
      <c r="BC2" s="17"/>
      <c r="BD2" s="17"/>
    </row>
    <row r="3" ht="21.75" customHeight="1">
      <c r="A3" s="269" t="s">
        <v>2172</v>
      </c>
      <c r="B3" s="270" t="s">
        <v>2173</v>
      </c>
      <c r="C3" s="269" t="s">
        <v>2174</v>
      </c>
      <c r="D3" s="271" t="s">
        <v>2175</v>
      </c>
      <c r="E3" s="1" t="s">
        <v>1</v>
      </c>
      <c r="F3" s="1" t="s">
        <v>2</v>
      </c>
      <c r="G3" s="2" t="s">
        <v>3</v>
      </c>
      <c r="H3" s="2" t="s">
        <v>4</v>
      </c>
      <c r="I3" s="2" t="s">
        <v>5</v>
      </c>
      <c r="J3" s="2" t="s">
        <v>6</v>
      </c>
      <c r="K3" s="3" t="s">
        <v>7</v>
      </c>
      <c r="L3" s="1" t="s">
        <v>8</v>
      </c>
      <c r="M3" s="3" t="s">
        <v>9</v>
      </c>
      <c r="N3" s="1" t="s">
        <v>10</v>
      </c>
      <c r="O3" s="4" t="s">
        <v>11</v>
      </c>
      <c r="P3" s="2" t="s">
        <v>12</v>
      </c>
      <c r="Q3" s="2" t="s">
        <v>13</v>
      </c>
      <c r="R3" s="5" t="s">
        <v>14</v>
      </c>
      <c r="S3" s="5" t="s">
        <v>15</v>
      </c>
      <c r="T3" s="5" t="s">
        <v>16</v>
      </c>
      <c r="U3" s="5" t="s">
        <v>17</v>
      </c>
      <c r="V3" s="5" t="s">
        <v>18</v>
      </c>
      <c r="W3" s="5" t="s">
        <v>19</v>
      </c>
      <c r="X3" s="5" t="s">
        <v>20</v>
      </c>
      <c r="Y3" s="1" t="s">
        <v>21</v>
      </c>
      <c r="Z3" s="6" t="s">
        <v>22</v>
      </c>
      <c r="AA3" s="6" t="s">
        <v>23</v>
      </c>
      <c r="AB3" s="6" t="s">
        <v>24</v>
      </c>
      <c r="AC3" s="1" t="s">
        <v>25</v>
      </c>
      <c r="AD3" s="7"/>
      <c r="AE3" s="8" t="s">
        <v>26</v>
      </c>
      <c r="AF3" s="9" t="s">
        <v>27</v>
      </c>
      <c r="AG3" s="10" t="s">
        <v>28</v>
      </c>
      <c r="AH3" s="11" t="s">
        <v>29</v>
      </c>
      <c r="AI3" s="10" t="s">
        <v>30</v>
      </c>
      <c r="AJ3" s="12" t="s">
        <v>31</v>
      </c>
      <c r="AK3" s="12" t="s">
        <v>2176</v>
      </c>
      <c r="AL3" s="12" t="s">
        <v>33</v>
      </c>
      <c r="AM3" s="10" t="s">
        <v>2177</v>
      </c>
      <c r="AN3" s="10" t="s">
        <v>35</v>
      </c>
      <c r="AO3" s="10" t="s">
        <v>36</v>
      </c>
      <c r="AP3" s="10" t="s">
        <v>37</v>
      </c>
      <c r="AQ3" s="9" t="s">
        <v>38</v>
      </c>
      <c r="AR3" s="9" t="s">
        <v>39</v>
      </c>
      <c r="AS3" s="9" t="s">
        <v>40</v>
      </c>
      <c r="AT3" s="9" t="s">
        <v>41</v>
      </c>
      <c r="AU3" s="14"/>
      <c r="AV3" s="16" t="s">
        <v>43</v>
      </c>
      <c r="AW3" s="17"/>
      <c r="AX3" s="18" t="s">
        <v>44</v>
      </c>
      <c r="AY3" s="19" t="s">
        <v>45</v>
      </c>
      <c r="AZ3" s="17"/>
      <c r="BA3" s="17"/>
      <c r="BB3" s="17"/>
      <c r="BC3" s="17"/>
      <c r="BD3" s="17"/>
    </row>
    <row r="4">
      <c r="A4" s="66" t="s">
        <v>2178</v>
      </c>
      <c r="B4" s="272">
        <v>46027.0</v>
      </c>
      <c r="C4" s="66" t="s">
        <v>2179</v>
      </c>
      <c r="D4" s="273" t="s">
        <v>2180</v>
      </c>
      <c r="E4" s="116" t="s">
        <v>803</v>
      </c>
      <c r="F4" s="116" t="s">
        <v>47</v>
      </c>
      <c r="G4" s="225" t="s">
        <v>1258</v>
      </c>
      <c r="H4" s="37" t="s">
        <v>138</v>
      </c>
      <c r="I4" s="37">
        <v>92583.0</v>
      </c>
      <c r="J4" s="37" t="s">
        <v>50</v>
      </c>
      <c r="K4" s="37" t="s">
        <v>742</v>
      </c>
      <c r="L4" s="55"/>
      <c r="M4" s="37"/>
      <c r="N4" s="37" t="s">
        <v>103</v>
      </c>
      <c r="O4" s="56" t="s">
        <v>2181</v>
      </c>
      <c r="P4" s="49" t="s">
        <v>2182</v>
      </c>
      <c r="Q4" s="65" t="s">
        <v>2183</v>
      </c>
      <c r="R4" s="108" t="s">
        <v>92</v>
      </c>
      <c r="S4" s="37" t="s">
        <v>2184</v>
      </c>
      <c r="T4" s="37" t="s">
        <v>93</v>
      </c>
      <c r="U4" s="37" t="s">
        <v>132</v>
      </c>
      <c r="V4" s="37" t="s">
        <v>2185</v>
      </c>
      <c r="W4" s="37" t="s">
        <v>144</v>
      </c>
      <c r="X4" s="37" t="s">
        <v>144</v>
      </c>
      <c r="Y4" s="37" t="s">
        <v>605</v>
      </c>
      <c r="Z4" s="60">
        <v>46015.0</v>
      </c>
      <c r="AA4" s="60">
        <v>46062.0</v>
      </c>
      <c r="AB4" s="60">
        <v>46062.0</v>
      </c>
      <c r="AC4" s="60"/>
      <c r="AD4" s="29"/>
      <c r="AE4" s="54" t="s">
        <v>124</v>
      </c>
      <c r="AF4" s="37" t="s">
        <v>167</v>
      </c>
      <c r="AG4" s="34">
        <v>144000.0</v>
      </c>
      <c r="AH4" s="31">
        <v>0.02</v>
      </c>
      <c r="AI4" s="32">
        <f t="shared" ref="AI4:AI52" si="1">SUM(AG4*AH4)</f>
        <v>2880</v>
      </c>
      <c r="AJ4" s="33" t="s">
        <v>684</v>
      </c>
      <c r="AK4" s="34">
        <v>0.0</v>
      </c>
      <c r="AL4" s="34">
        <v>0.0</v>
      </c>
      <c r="AM4" s="34">
        <v>0.0</v>
      </c>
      <c r="AN4" s="34">
        <v>595.0</v>
      </c>
      <c r="AO4" s="119">
        <v>0.0</v>
      </c>
      <c r="AP4" s="36">
        <v>0.0</v>
      </c>
      <c r="AQ4" s="37" t="s">
        <v>47</v>
      </c>
      <c r="AR4" s="40">
        <f t="shared" ref="AR4:AR5" si="2">SUM(AI4+AM4-AO4-AN4)</f>
        <v>2285</v>
      </c>
      <c r="AS4" s="38">
        <f t="shared" ref="AS4:AS5" si="3">if(AQ4="Buyer",(AR4)*50%,if(AQ4="Seller",(AR4)*60%,if(AQ4="Buyer_SOI",(AR4)*30%, if(AQ4="Seller_SOI",AR4*40%,if(AQ4="Seller_SOI 5+",AR4*30%, if(AQ4="Seller_SOI 2+",AR4*35%, if(AQ4="Buyer_SOI 2+",AR4*25%, if(AQ4="Buyer_SOI 5+",AR4*20%))))))))</f>
        <v>1142.5</v>
      </c>
      <c r="AT4" s="40">
        <f t="shared" ref="AT4:AT14" si="4">sum(AR4-AS4)</f>
        <v>1142.5</v>
      </c>
      <c r="AU4" s="111"/>
      <c r="AV4" s="37"/>
      <c r="AW4" s="42"/>
      <c r="AX4" s="52"/>
      <c r="AY4" s="23"/>
      <c r="AZ4" s="42"/>
      <c r="BA4" s="42"/>
      <c r="BB4" s="42"/>
      <c r="BC4" s="42"/>
      <c r="BD4" s="42"/>
    </row>
    <row r="5">
      <c r="A5" s="66" t="s">
        <v>2186</v>
      </c>
      <c r="B5" s="272">
        <v>46027.0</v>
      </c>
      <c r="C5" s="66" t="s">
        <v>2179</v>
      </c>
      <c r="D5" s="273" t="s">
        <v>2187</v>
      </c>
      <c r="E5" s="116" t="s">
        <v>803</v>
      </c>
      <c r="F5" s="116" t="s">
        <v>47</v>
      </c>
      <c r="G5" s="225" t="s">
        <v>2188</v>
      </c>
      <c r="H5" s="37" t="s">
        <v>225</v>
      </c>
      <c r="I5" s="37">
        <v>92078.0</v>
      </c>
      <c r="J5" s="37" t="s">
        <v>87</v>
      </c>
      <c r="K5" s="37" t="s">
        <v>424</v>
      </c>
      <c r="L5" s="55"/>
      <c r="M5" s="37"/>
      <c r="N5" s="37" t="s">
        <v>54</v>
      </c>
      <c r="O5" s="49" t="s">
        <v>2189</v>
      </c>
      <c r="P5" s="49" t="s">
        <v>2190</v>
      </c>
      <c r="Q5" s="49" t="s">
        <v>2191</v>
      </c>
      <c r="R5" s="108" t="s">
        <v>1077</v>
      </c>
      <c r="S5" s="37" t="s">
        <v>436</v>
      </c>
      <c r="T5" s="37" t="s">
        <v>60</v>
      </c>
      <c r="U5" s="37" t="s">
        <v>61</v>
      </c>
      <c r="V5" s="37" t="s">
        <v>672</v>
      </c>
      <c r="W5" s="37" t="s">
        <v>2192</v>
      </c>
      <c r="X5" s="37" t="s">
        <v>2193</v>
      </c>
      <c r="Y5" s="37" t="s">
        <v>605</v>
      </c>
      <c r="Z5" s="60">
        <v>46022.0</v>
      </c>
      <c r="AA5" s="60">
        <v>46066.0</v>
      </c>
      <c r="AB5" s="60">
        <v>46066.0</v>
      </c>
      <c r="AC5" s="60"/>
      <c r="AD5" s="29"/>
      <c r="AE5" s="54" t="s">
        <v>124</v>
      </c>
      <c r="AF5" s="37"/>
      <c r="AG5" s="30">
        <v>412500.0</v>
      </c>
      <c r="AH5" s="31">
        <v>0.03</v>
      </c>
      <c r="AI5" s="32">
        <f t="shared" si="1"/>
        <v>12375</v>
      </c>
      <c r="AJ5" s="33">
        <v>595.0</v>
      </c>
      <c r="AK5" s="34">
        <v>500.0</v>
      </c>
      <c r="AL5" s="34">
        <v>0.0</v>
      </c>
      <c r="AM5" s="34">
        <v>0.0</v>
      </c>
      <c r="AN5" s="34">
        <v>0.0</v>
      </c>
      <c r="AO5" s="119">
        <v>0.0</v>
      </c>
      <c r="AP5" s="36">
        <v>0.0</v>
      </c>
      <c r="AQ5" s="37"/>
      <c r="AR5" s="40">
        <f t="shared" si="2"/>
        <v>12375</v>
      </c>
      <c r="AS5" s="38" t="b">
        <f t="shared" si="3"/>
        <v>0</v>
      </c>
      <c r="AT5" s="40">
        <f t="shared" si="4"/>
        <v>12375</v>
      </c>
      <c r="AU5" s="111"/>
      <c r="AV5" s="37"/>
      <c r="AW5" s="42"/>
      <c r="AX5" s="23" t="s">
        <v>2194</v>
      </c>
      <c r="AY5" s="23" t="s">
        <v>2195</v>
      </c>
      <c r="AZ5" s="42"/>
      <c r="BA5" s="42"/>
      <c r="BB5" s="42"/>
      <c r="BC5" s="42"/>
      <c r="BD5" s="42"/>
    </row>
    <row r="6">
      <c r="A6" s="66" t="s">
        <v>2186</v>
      </c>
      <c r="B6" s="272">
        <v>46028.0</v>
      </c>
      <c r="C6" s="66" t="s">
        <v>2179</v>
      </c>
      <c r="D6" s="273" t="s">
        <v>2196</v>
      </c>
      <c r="E6" s="118" t="s">
        <v>583</v>
      </c>
      <c r="F6" s="116" t="s">
        <v>84</v>
      </c>
      <c r="G6" s="225" t="s">
        <v>2197</v>
      </c>
      <c r="H6" s="37" t="s">
        <v>2198</v>
      </c>
      <c r="I6" s="37"/>
      <c r="J6" s="37" t="s">
        <v>101</v>
      </c>
      <c r="K6" s="37" t="s">
        <v>102</v>
      </c>
      <c r="L6" s="37" t="s">
        <v>172</v>
      </c>
      <c r="M6" s="37" t="s">
        <v>53</v>
      </c>
      <c r="N6" s="37" t="s">
        <v>103</v>
      </c>
      <c r="O6" s="56"/>
      <c r="P6" s="107"/>
      <c r="Q6" s="107"/>
      <c r="R6" s="142"/>
      <c r="S6" s="37"/>
      <c r="T6" s="37"/>
      <c r="U6" s="37"/>
      <c r="V6" s="37"/>
      <c r="W6" s="37"/>
      <c r="X6" s="37"/>
      <c r="Y6" s="37" t="s">
        <v>605</v>
      </c>
      <c r="Z6" s="60"/>
      <c r="AA6" s="241"/>
      <c r="AB6" s="241"/>
      <c r="AC6" s="60"/>
      <c r="AD6" s="29"/>
      <c r="AE6" s="54"/>
      <c r="AF6" s="37" t="s">
        <v>110</v>
      </c>
      <c r="AG6" s="34">
        <v>0.0</v>
      </c>
      <c r="AH6" s="31">
        <v>0.0</v>
      </c>
      <c r="AI6" s="32">
        <f t="shared" si="1"/>
        <v>0</v>
      </c>
      <c r="AJ6" s="33" t="s">
        <v>106</v>
      </c>
      <c r="AK6" s="34">
        <v>0.0</v>
      </c>
      <c r="AL6" s="34" t="s">
        <v>82</v>
      </c>
      <c r="AM6" s="34">
        <v>0.0</v>
      </c>
      <c r="AN6" s="34">
        <v>0.0</v>
      </c>
      <c r="AO6" s="35">
        <f t="shared" ref="AO6:AO7" si="5">sum(AI6,-AN6)*0.4</f>
        <v>0</v>
      </c>
      <c r="AP6" s="36">
        <v>0.0</v>
      </c>
      <c r="AQ6" s="37" t="s">
        <v>84</v>
      </c>
      <c r="AR6" s="40">
        <f t="shared" ref="AR6:AR14" si="6">SUM(AI6+AM6-AO6-AN6,AJ6)</f>
        <v>0</v>
      </c>
      <c r="AS6" s="39">
        <f t="shared" ref="AS6:AS14" si="7">if(AQ6="Buyer",(-sum(-AR6,AJ6))*50%,if(AQ6="Seller",(-sum(-AR6,AJ6))*50%,(-sum(-AR6,AJ6))*(100-right(AQ6,2))/100))+sum(AJ6)</f>
        <v>0</v>
      </c>
      <c r="AT6" s="40">
        <f t="shared" si="4"/>
        <v>0</v>
      </c>
      <c r="AU6" s="111"/>
      <c r="AV6" s="37"/>
      <c r="AW6" s="42"/>
      <c r="AX6" s="23" t="s">
        <v>2199</v>
      </c>
      <c r="AY6" s="23" t="s">
        <v>114</v>
      </c>
      <c r="AZ6" s="42"/>
      <c r="BA6" s="42"/>
      <c r="BB6" s="42"/>
      <c r="BC6" s="42"/>
      <c r="BD6" s="42"/>
    </row>
    <row r="7">
      <c r="A7" s="66" t="s">
        <v>2178</v>
      </c>
      <c r="B7" s="272">
        <v>46042.0</v>
      </c>
      <c r="C7" s="66" t="s">
        <v>84</v>
      </c>
      <c r="D7" s="273" t="s">
        <v>2200</v>
      </c>
      <c r="E7" s="116" t="s">
        <v>583</v>
      </c>
      <c r="F7" s="116" t="s">
        <v>84</v>
      </c>
      <c r="G7" s="225" t="s">
        <v>1213</v>
      </c>
      <c r="H7" s="37" t="s">
        <v>2201</v>
      </c>
      <c r="I7" s="37">
        <v>92505.0</v>
      </c>
      <c r="J7" s="37" t="s">
        <v>50</v>
      </c>
      <c r="K7" s="37" t="s">
        <v>288</v>
      </c>
      <c r="L7" s="37" t="s">
        <v>73</v>
      </c>
      <c r="M7" s="37"/>
      <c r="N7" s="37" t="s">
        <v>103</v>
      </c>
      <c r="O7" s="56" t="s">
        <v>2202</v>
      </c>
      <c r="P7" s="49" t="s">
        <v>2203</v>
      </c>
      <c r="Q7" s="49" t="s">
        <v>1216</v>
      </c>
      <c r="R7" s="108" t="s">
        <v>92</v>
      </c>
      <c r="S7" s="37" t="s">
        <v>143</v>
      </c>
      <c r="T7" s="37" t="s">
        <v>93</v>
      </c>
      <c r="U7" s="37" t="s">
        <v>132</v>
      </c>
      <c r="V7" s="37" t="s">
        <v>94</v>
      </c>
      <c r="W7" s="37" t="s">
        <v>680</v>
      </c>
      <c r="X7" s="37" t="s">
        <v>680</v>
      </c>
      <c r="Y7" s="37" t="s">
        <v>605</v>
      </c>
      <c r="Z7" s="60">
        <v>45981.0</v>
      </c>
      <c r="AA7" s="60">
        <v>45992.0</v>
      </c>
      <c r="AB7" s="60">
        <v>46038.0</v>
      </c>
      <c r="AC7" s="37"/>
      <c r="AD7" s="29"/>
      <c r="AE7" s="54" t="s">
        <v>124</v>
      </c>
      <c r="AF7" s="37" t="s">
        <v>145</v>
      </c>
      <c r="AG7" s="34">
        <v>40000.0</v>
      </c>
      <c r="AH7" s="31">
        <v>0.0</v>
      </c>
      <c r="AI7" s="32">
        <f t="shared" si="1"/>
        <v>0</v>
      </c>
      <c r="AJ7" s="33">
        <v>695.0</v>
      </c>
      <c r="AK7" s="34">
        <v>0.0</v>
      </c>
      <c r="AL7" s="34">
        <v>0.0</v>
      </c>
      <c r="AM7" s="34">
        <v>0.0</v>
      </c>
      <c r="AN7" s="34">
        <v>0.0</v>
      </c>
      <c r="AO7" s="35">
        <f t="shared" si="5"/>
        <v>0</v>
      </c>
      <c r="AP7" s="36">
        <v>0.0</v>
      </c>
      <c r="AQ7" s="37" t="s">
        <v>84</v>
      </c>
      <c r="AR7" s="40">
        <f t="shared" si="6"/>
        <v>695</v>
      </c>
      <c r="AS7" s="39">
        <f t="shared" si="7"/>
        <v>695</v>
      </c>
      <c r="AT7" s="40">
        <f t="shared" si="4"/>
        <v>0</v>
      </c>
      <c r="AU7" s="111"/>
      <c r="AV7" s="37"/>
      <c r="AW7" s="42"/>
      <c r="AX7" s="23"/>
      <c r="AY7" s="23"/>
      <c r="AZ7" s="42"/>
      <c r="BA7" s="42"/>
      <c r="BB7" s="42"/>
      <c r="BC7" s="42"/>
      <c r="BD7" s="42"/>
    </row>
    <row r="8">
      <c r="A8" s="66" t="s">
        <v>2186</v>
      </c>
      <c r="B8" s="272">
        <v>46042.0</v>
      </c>
      <c r="C8" s="66" t="s">
        <v>2179</v>
      </c>
      <c r="D8" s="273" t="s">
        <v>2200</v>
      </c>
      <c r="E8" s="116" t="s">
        <v>583</v>
      </c>
      <c r="F8" s="116" t="s">
        <v>47</v>
      </c>
      <c r="G8" s="225" t="s">
        <v>1213</v>
      </c>
      <c r="H8" s="37" t="s">
        <v>2201</v>
      </c>
      <c r="I8" s="37">
        <v>92505.0</v>
      </c>
      <c r="J8" s="37" t="s">
        <v>50</v>
      </c>
      <c r="K8" s="37" t="s">
        <v>288</v>
      </c>
      <c r="L8" s="37" t="s">
        <v>73</v>
      </c>
      <c r="M8" s="37" t="s">
        <v>53</v>
      </c>
      <c r="N8" s="37" t="s">
        <v>103</v>
      </c>
      <c r="O8" s="56" t="s">
        <v>2204</v>
      </c>
      <c r="P8" s="49" t="s">
        <v>2205</v>
      </c>
      <c r="Q8" s="49" t="s">
        <v>2206</v>
      </c>
      <c r="R8" s="108" t="s">
        <v>92</v>
      </c>
      <c r="S8" s="37" t="s">
        <v>143</v>
      </c>
      <c r="T8" s="37" t="s">
        <v>93</v>
      </c>
      <c r="U8" s="37" t="s">
        <v>132</v>
      </c>
      <c r="V8" s="37" t="s">
        <v>94</v>
      </c>
      <c r="W8" s="37" t="s">
        <v>680</v>
      </c>
      <c r="X8" s="37" t="s">
        <v>680</v>
      </c>
      <c r="Y8" s="37" t="s">
        <v>605</v>
      </c>
      <c r="Z8" s="60">
        <v>45981.0</v>
      </c>
      <c r="AA8" s="60">
        <v>45992.0</v>
      </c>
      <c r="AB8" s="60">
        <v>46038.0</v>
      </c>
      <c r="AC8" s="37"/>
      <c r="AD8" s="29"/>
      <c r="AE8" s="54" t="s">
        <v>124</v>
      </c>
      <c r="AF8" s="37" t="s">
        <v>167</v>
      </c>
      <c r="AG8" s="34">
        <v>40000.0</v>
      </c>
      <c r="AH8" s="31">
        <v>0.05</v>
      </c>
      <c r="AI8" s="32">
        <f t="shared" si="1"/>
        <v>2000</v>
      </c>
      <c r="AJ8" s="33">
        <v>595.0</v>
      </c>
      <c r="AK8" s="34">
        <v>500.0</v>
      </c>
      <c r="AL8" s="34">
        <v>0.0</v>
      </c>
      <c r="AM8" s="34">
        <v>0.0</v>
      </c>
      <c r="AN8" s="34">
        <v>0.0</v>
      </c>
      <c r="AO8" s="119">
        <v>0.0</v>
      </c>
      <c r="AP8" s="36">
        <v>0.0</v>
      </c>
      <c r="AQ8" s="37" t="s">
        <v>212</v>
      </c>
      <c r="AR8" s="40">
        <f t="shared" si="6"/>
        <v>2595</v>
      </c>
      <c r="AS8" s="39">
        <f t="shared" si="7"/>
        <v>995</v>
      </c>
      <c r="AT8" s="40">
        <f t="shared" si="4"/>
        <v>1600</v>
      </c>
      <c r="AU8" s="111"/>
      <c r="AV8" s="37"/>
      <c r="AW8" s="42"/>
      <c r="AX8" s="23" t="s">
        <v>2207</v>
      </c>
      <c r="AY8" s="23" t="s">
        <v>69</v>
      </c>
      <c r="AZ8" s="42"/>
      <c r="BA8" s="42"/>
      <c r="BB8" s="42"/>
      <c r="BC8" s="42"/>
      <c r="BD8" s="42"/>
    </row>
    <row r="9">
      <c r="A9" s="274"/>
      <c r="B9" s="272">
        <v>46042.0</v>
      </c>
      <c r="C9" s="66" t="s">
        <v>2179</v>
      </c>
      <c r="D9" s="275" t="s">
        <v>2208</v>
      </c>
      <c r="E9" s="37" t="s">
        <v>803</v>
      </c>
      <c r="F9" s="37" t="s">
        <v>47</v>
      </c>
      <c r="G9" s="54" t="s">
        <v>2209</v>
      </c>
      <c r="H9" s="37" t="s">
        <v>71</v>
      </c>
      <c r="I9" s="37">
        <v>92544.0</v>
      </c>
      <c r="J9" s="37" t="s">
        <v>50</v>
      </c>
      <c r="K9" s="37" t="s">
        <v>214</v>
      </c>
      <c r="L9" s="37" t="s">
        <v>172</v>
      </c>
      <c r="M9" s="55"/>
      <c r="N9" s="37" t="s">
        <v>54</v>
      </c>
      <c r="O9" s="56" t="s">
        <v>2210</v>
      </c>
      <c r="P9" s="49" t="s">
        <v>2211</v>
      </c>
      <c r="Q9" s="49" t="s">
        <v>2212</v>
      </c>
      <c r="R9" s="108" t="s">
        <v>2213</v>
      </c>
      <c r="S9" s="37" t="s">
        <v>59</v>
      </c>
      <c r="T9" s="37" t="s">
        <v>60</v>
      </c>
      <c r="U9" s="37" t="s">
        <v>61</v>
      </c>
      <c r="V9" s="37"/>
      <c r="W9" s="37" t="s">
        <v>2214</v>
      </c>
      <c r="X9" s="37" t="s">
        <v>2215</v>
      </c>
      <c r="Y9" s="37" t="s">
        <v>64</v>
      </c>
      <c r="Z9" s="60">
        <v>46042.0</v>
      </c>
      <c r="AA9" s="60">
        <v>46072.0</v>
      </c>
      <c r="AB9" s="60">
        <v>46072.0</v>
      </c>
      <c r="AC9" s="60"/>
      <c r="AD9" s="29"/>
      <c r="AE9" s="54" t="s">
        <v>65</v>
      </c>
      <c r="AF9" s="37"/>
      <c r="AG9" s="30">
        <v>482000.0</v>
      </c>
      <c r="AH9" s="31">
        <v>0.025</v>
      </c>
      <c r="AI9" s="32">
        <f t="shared" si="1"/>
        <v>12050</v>
      </c>
      <c r="AJ9" s="33">
        <v>595.0</v>
      </c>
      <c r="AK9" s="34">
        <v>500.0</v>
      </c>
      <c r="AL9" s="34" t="s">
        <v>82</v>
      </c>
      <c r="AM9" s="34">
        <v>0.0</v>
      </c>
      <c r="AN9" s="34">
        <v>0.0</v>
      </c>
      <c r="AO9" s="34">
        <v>0.0</v>
      </c>
      <c r="AP9" s="36">
        <v>0.0</v>
      </c>
      <c r="AQ9" s="37" t="s">
        <v>47</v>
      </c>
      <c r="AR9" s="40">
        <f t="shared" si="6"/>
        <v>12645</v>
      </c>
      <c r="AS9" s="39">
        <f t="shared" si="7"/>
        <v>6620</v>
      </c>
      <c r="AT9" s="40">
        <f t="shared" si="4"/>
        <v>6025</v>
      </c>
      <c r="AU9" s="111"/>
      <c r="AV9" s="37"/>
      <c r="AW9" s="42"/>
      <c r="AX9" s="52"/>
      <c r="AY9" s="23"/>
      <c r="AZ9" s="42"/>
      <c r="BA9" s="42"/>
      <c r="BB9" s="42"/>
      <c r="BC9" s="42"/>
      <c r="BD9" s="42"/>
    </row>
    <row r="10">
      <c r="A10" s="274"/>
      <c r="B10" s="272">
        <v>46044.0</v>
      </c>
      <c r="C10" s="66" t="s">
        <v>2179</v>
      </c>
      <c r="D10" s="273" t="s">
        <v>2216</v>
      </c>
      <c r="E10" s="37" t="s">
        <v>563</v>
      </c>
      <c r="F10" s="37" t="s">
        <v>84</v>
      </c>
      <c r="G10" s="54" t="s">
        <v>1228</v>
      </c>
      <c r="H10" s="37" t="s">
        <v>2201</v>
      </c>
      <c r="I10" s="37">
        <v>92507.0</v>
      </c>
      <c r="J10" s="37" t="s">
        <v>50</v>
      </c>
      <c r="K10" s="37" t="s">
        <v>399</v>
      </c>
      <c r="L10" s="37" t="s">
        <v>73</v>
      </c>
      <c r="M10" s="55"/>
      <c r="N10" s="37" t="s">
        <v>103</v>
      </c>
      <c r="O10" s="56" t="s">
        <v>2217</v>
      </c>
      <c r="P10" s="49" t="s">
        <v>2218</v>
      </c>
      <c r="Q10" s="108" t="s">
        <v>1231</v>
      </c>
      <c r="R10" s="108" t="s">
        <v>92</v>
      </c>
      <c r="S10" s="37" t="s">
        <v>2219</v>
      </c>
      <c r="T10" s="37" t="s">
        <v>60</v>
      </c>
      <c r="U10" s="37" t="s">
        <v>132</v>
      </c>
      <c r="V10" s="37" t="s">
        <v>94</v>
      </c>
      <c r="W10" s="276" t="s">
        <v>2220</v>
      </c>
      <c r="X10" s="37" t="s">
        <v>2221</v>
      </c>
      <c r="Y10" s="37" t="s">
        <v>64</v>
      </c>
      <c r="Z10" s="60">
        <v>46042.0</v>
      </c>
      <c r="AA10" s="60">
        <v>46087.0</v>
      </c>
      <c r="AB10" s="60">
        <v>46087.0</v>
      </c>
      <c r="AC10" s="60"/>
      <c r="AD10" s="29"/>
      <c r="AE10" s="54" t="s">
        <v>65</v>
      </c>
      <c r="AF10" s="37" t="s">
        <v>145</v>
      </c>
      <c r="AG10" s="30">
        <v>500000.0</v>
      </c>
      <c r="AH10" s="31">
        <v>0.035</v>
      </c>
      <c r="AI10" s="32">
        <f t="shared" si="1"/>
        <v>17500</v>
      </c>
      <c r="AJ10" s="33">
        <v>695.0</v>
      </c>
      <c r="AK10" s="34">
        <v>0.0</v>
      </c>
      <c r="AL10" s="34" t="s">
        <v>82</v>
      </c>
      <c r="AM10" s="34">
        <v>0.0</v>
      </c>
      <c r="AN10" s="34">
        <v>0.0</v>
      </c>
      <c r="AO10" s="35">
        <f>sum(AI10,-AN10)*0.4</f>
        <v>7000</v>
      </c>
      <c r="AP10" s="36">
        <v>0.0</v>
      </c>
      <c r="AQ10" s="37" t="s">
        <v>84</v>
      </c>
      <c r="AR10" s="40">
        <f t="shared" si="6"/>
        <v>11195</v>
      </c>
      <c r="AS10" s="39">
        <f t="shared" si="7"/>
        <v>5945</v>
      </c>
      <c r="AT10" s="40">
        <f t="shared" si="4"/>
        <v>5250</v>
      </c>
      <c r="AU10" s="111"/>
      <c r="AV10" s="37"/>
      <c r="AW10" s="42"/>
      <c r="AX10" s="52"/>
      <c r="AY10" s="23"/>
      <c r="AZ10" s="42"/>
      <c r="BA10" s="42"/>
      <c r="BB10" s="42"/>
      <c r="BC10" s="42"/>
      <c r="BD10" s="42"/>
    </row>
    <row r="11">
      <c r="A11" s="66" t="s">
        <v>2178</v>
      </c>
      <c r="B11" s="272">
        <v>46050.0</v>
      </c>
      <c r="C11" s="66" t="s">
        <v>2179</v>
      </c>
      <c r="D11" s="273" t="s">
        <v>2222</v>
      </c>
      <c r="E11" s="37" t="s">
        <v>803</v>
      </c>
      <c r="F11" s="37" t="s">
        <v>47</v>
      </c>
      <c r="G11" s="54" t="s">
        <v>2223</v>
      </c>
      <c r="H11" s="37" t="s">
        <v>86</v>
      </c>
      <c r="I11" s="37">
        <v>92056.0</v>
      </c>
      <c r="J11" s="37" t="s">
        <v>87</v>
      </c>
      <c r="K11" s="37" t="s">
        <v>574</v>
      </c>
      <c r="L11" s="37" t="s">
        <v>52</v>
      </c>
      <c r="M11" s="55"/>
      <c r="N11" s="37" t="s">
        <v>103</v>
      </c>
      <c r="O11" s="56" t="s">
        <v>2224</v>
      </c>
      <c r="P11" s="107"/>
      <c r="Q11" s="49" t="s">
        <v>2225</v>
      </c>
      <c r="R11" s="108" t="s">
        <v>2226</v>
      </c>
      <c r="S11" s="37" t="s">
        <v>143</v>
      </c>
      <c r="T11" s="37" t="s">
        <v>60</v>
      </c>
      <c r="U11" s="37" t="s">
        <v>107</v>
      </c>
      <c r="V11" s="37"/>
      <c r="W11" s="37" t="s">
        <v>2227</v>
      </c>
      <c r="X11" s="37" t="s">
        <v>2228</v>
      </c>
      <c r="Y11" s="37" t="s">
        <v>64</v>
      </c>
      <c r="Z11" s="60">
        <v>46044.0</v>
      </c>
      <c r="AA11" s="241"/>
      <c r="AB11" s="241"/>
      <c r="AC11" s="60"/>
      <c r="AD11" s="29"/>
      <c r="AE11" s="54" t="s">
        <v>65</v>
      </c>
      <c r="AF11" s="37" t="s">
        <v>167</v>
      </c>
      <c r="AG11" s="30">
        <v>845000.0</v>
      </c>
      <c r="AH11" s="31">
        <v>0.02</v>
      </c>
      <c r="AI11" s="32">
        <f t="shared" si="1"/>
        <v>16900</v>
      </c>
      <c r="AJ11" s="33" t="s">
        <v>82</v>
      </c>
      <c r="AK11" s="34">
        <v>0.0</v>
      </c>
      <c r="AL11" s="34" t="s">
        <v>82</v>
      </c>
      <c r="AM11" s="34">
        <v>0.0</v>
      </c>
      <c r="AN11" s="34">
        <v>0.0</v>
      </c>
      <c r="AO11" s="34">
        <v>0.0</v>
      </c>
      <c r="AP11" s="36">
        <v>0.0</v>
      </c>
      <c r="AQ11" s="37" t="s">
        <v>552</v>
      </c>
      <c r="AR11" s="40">
        <f t="shared" si="6"/>
        <v>16900</v>
      </c>
      <c r="AS11" s="39">
        <f t="shared" si="7"/>
        <v>2535</v>
      </c>
      <c r="AT11" s="40">
        <f t="shared" si="4"/>
        <v>14365</v>
      </c>
      <c r="AU11" s="111"/>
      <c r="AV11" s="37"/>
      <c r="AW11" s="42"/>
      <c r="AX11" s="52"/>
      <c r="AY11" s="23"/>
      <c r="AZ11" s="42"/>
      <c r="BA11" s="42"/>
      <c r="BB11" s="42"/>
      <c r="BC11" s="42"/>
      <c r="BD11" s="42"/>
    </row>
    <row r="12">
      <c r="A12" s="274"/>
      <c r="B12" s="272">
        <v>46050.0</v>
      </c>
      <c r="C12" s="66" t="s">
        <v>2179</v>
      </c>
      <c r="D12" s="273" t="s">
        <v>2229</v>
      </c>
      <c r="E12" s="37" t="s">
        <v>803</v>
      </c>
      <c r="F12" s="37" t="s">
        <v>47</v>
      </c>
      <c r="G12" s="54" t="s">
        <v>2230</v>
      </c>
      <c r="H12" s="37" t="s">
        <v>316</v>
      </c>
      <c r="I12" s="37">
        <v>92563.0</v>
      </c>
      <c r="J12" s="37" t="s">
        <v>50</v>
      </c>
      <c r="K12" s="37" t="s">
        <v>332</v>
      </c>
      <c r="L12" s="37" t="s">
        <v>73</v>
      </c>
      <c r="M12" s="55"/>
      <c r="N12" s="37" t="s">
        <v>103</v>
      </c>
      <c r="O12" s="56" t="s">
        <v>2231</v>
      </c>
      <c r="P12" s="49" t="s">
        <v>2232</v>
      </c>
      <c r="Q12" s="108" t="s">
        <v>2233</v>
      </c>
      <c r="R12" s="108" t="s">
        <v>239</v>
      </c>
      <c r="S12" s="37" t="s">
        <v>2234</v>
      </c>
      <c r="T12" s="37" t="s">
        <v>60</v>
      </c>
      <c r="U12" s="37" t="s">
        <v>61</v>
      </c>
      <c r="V12" s="37" t="s">
        <v>178</v>
      </c>
      <c r="W12" s="37" t="s">
        <v>2235</v>
      </c>
      <c r="X12" s="37" t="s">
        <v>2236</v>
      </c>
      <c r="Y12" s="37" t="s">
        <v>64</v>
      </c>
      <c r="Z12" s="60">
        <v>46048.0</v>
      </c>
      <c r="AA12" s="60">
        <v>46070.0</v>
      </c>
      <c r="AB12" s="60">
        <v>46070.0</v>
      </c>
      <c r="AC12" s="60"/>
      <c r="AD12" s="29"/>
      <c r="AE12" s="54" t="s">
        <v>65</v>
      </c>
      <c r="AF12" s="37" t="s">
        <v>66</v>
      </c>
      <c r="AG12" s="30">
        <v>665000.0</v>
      </c>
      <c r="AH12" s="31">
        <v>0.025</v>
      </c>
      <c r="AI12" s="32">
        <f t="shared" si="1"/>
        <v>16625</v>
      </c>
      <c r="AJ12" s="33">
        <v>595.0</v>
      </c>
      <c r="AK12" s="34">
        <v>500.0</v>
      </c>
      <c r="AL12" s="34" t="s">
        <v>82</v>
      </c>
      <c r="AM12" s="34">
        <v>0.0</v>
      </c>
      <c r="AN12" s="34">
        <v>0.0</v>
      </c>
      <c r="AO12" s="34">
        <v>0.0</v>
      </c>
      <c r="AP12" s="36">
        <v>0.0</v>
      </c>
      <c r="AQ12" s="37" t="s">
        <v>47</v>
      </c>
      <c r="AR12" s="40">
        <f t="shared" si="6"/>
        <v>17220</v>
      </c>
      <c r="AS12" s="39">
        <f t="shared" si="7"/>
        <v>8907.5</v>
      </c>
      <c r="AT12" s="40">
        <f t="shared" si="4"/>
        <v>8312.5</v>
      </c>
      <c r="AU12" s="111"/>
      <c r="AV12" s="37"/>
      <c r="AW12" s="42"/>
      <c r="AX12" s="52"/>
      <c r="AY12" s="23"/>
      <c r="AZ12" s="42"/>
      <c r="BA12" s="42"/>
      <c r="BB12" s="42"/>
      <c r="BC12" s="42"/>
      <c r="BD12" s="42"/>
    </row>
    <row r="13">
      <c r="A13" s="274"/>
      <c r="B13" s="272">
        <v>46052.0</v>
      </c>
      <c r="C13" s="66" t="s">
        <v>2179</v>
      </c>
      <c r="D13" s="273" t="s">
        <v>2237</v>
      </c>
      <c r="E13" s="37" t="s">
        <v>803</v>
      </c>
      <c r="F13" s="37" t="s">
        <v>84</v>
      </c>
      <c r="G13" s="54" t="s">
        <v>2238</v>
      </c>
      <c r="H13" s="37" t="s">
        <v>138</v>
      </c>
      <c r="I13" s="37">
        <v>92582.0</v>
      </c>
      <c r="J13" s="37" t="s">
        <v>50</v>
      </c>
      <c r="K13" s="37" t="s">
        <v>424</v>
      </c>
      <c r="L13" s="37" t="s">
        <v>172</v>
      </c>
      <c r="M13" s="55"/>
      <c r="N13" s="37" t="s">
        <v>54</v>
      </c>
      <c r="O13" s="56" t="s">
        <v>2239</v>
      </c>
      <c r="P13" s="49" t="s">
        <v>2240</v>
      </c>
      <c r="Q13" s="49" t="s">
        <v>2241</v>
      </c>
      <c r="R13" s="108" t="s">
        <v>92</v>
      </c>
      <c r="S13" s="37" t="s">
        <v>2242</v>
      </c>
      <c r="T13" s="37" t="s">
        <v>60</v>
      </c>
      <c r="U13" s="37" t="s">
        <v>132</v>
      </c>
      <c r="V13" s="37" t="s">
        <v>94</v>
      </c>
      <c r="W13" s="37" t="s">
        <v>2243</v>
      </c>
      <c r="X13" s="37" t="s">
        <v>2244</v>
      </c>
      <c r="Y13" s="37" t="s">
        <v>64</v>
      </c>
      <c r="Z13" s="60">
        <v>46043.0</v>
      </c>
      <c r="AA13" s="60">
        <v>46073.0</v>
      </c>
      <c r="AB13" s="60">
        <v>46073.0</v>
      </c>
      <c r="AC13" s="60"/>
      <c r="AD13" s="29"/>
      <c r="AE13" s="54" t="s">
        <v>124</v>
      </c>
      <c r="AF13" s="37" t="s">
        <v>167</v>
      </c>
      <c r="AG13" s="30">
        <v>115000.0</v>
      </c>
      <c r="AH13" s="31">
        <v>0.04</v>
      </c>
      <c r="AI13" s="32">
        <f t="shared" si="1"/>
        <v>4600</v>
      </c>
      <c r="AJ13" s="33">
        <v>695.0</v>
      </c>
      <c r="AK13" s="34">
        <v>0.0</v>
      </c>
      <c r="AL13" s="34" t="s">
        <v>82</v>
      </c>
      <c r="AM13" s="34">
        <v>0.0</v>
      </c>
      <c r="AN13" s="34">
        <v>0.0</v>
      </c>
      <c r="AO13" s="34">
        <v>0.0</v>
      </c>
      <c r="AP13" s="36">
        <v>0.0</v>
      </c>
      <c r="AQ13" s="37" t="s">
        <v>202</v>
      </c>
      <c r="AR13" s="40">
        <f t="shared" si="6"/>
        <v>5295</v>
      </c>
      <c r="AS13" s="39">
        <f t="shared" si="7"/>
        <v>2075</v>
      </c>
      <c r="AT13" s="40">
        <f t="shared" si="4"/>
        <v>3220</v>
      </c>
      <c r="AU13" s="111"/>
      <c r="AV13" s="37"/>
      <c r="AW13" s="42"/>
      <c r="AX13" s="277"/>
      <c r="AY13" s="278"/>
      <c r="AZ13" s="42"/>
      <c r="BA13" s="42"/>
      <c r="BB13" s="42"/>
      <c r="BC13" s="42"/>
      <c r="BD13" s="42"/>
    </row>
    <row r="14">
      <c r="A14" s="66" t="s">
        <v>2178</v>
      </c>
      <c r="B14" s="272">
        <v>46055.0</v>
      </c>
      <c r="C14" s="66" t="s">
        <v>2179</v>
      </c>
      <c r="D14" s="273" t="s">
        <v>2245</v>
      </c>
      <c r="E14" s="23" t="s">
        <v>803</v>
      </c>
      <c r="F14" s="23" t="s">
        <v>47</v>
      </c>
      <c r="G14" s="24" t="s">
        <v>2246</v>
      </c>
      <c r="H14" s="23" t="s">
        <v>86</v>
      </c>
      <c r="I14" s="23">
        <v>92056.0</v>
      </c>
      <c r="J14" s="23" t="s">
        <v>87</v>
      </c>
      <c r="K14" s="23" t="s">
        <v>742</v>
      </c>
      <c r="L14" s="23" t="s">
        <v>172</v>
      </c>
      <c r="M14" s="50"/>
      <c r="N14" s="23" t="s">
        <v>103</v>
      </c>
      <c r="O14" s="25" t="s">
        <v>2247</v>
      </c>
      <c r="P14" s="26" t="s">
        <v>2248</v>
      </c>
      <c r="Q14" s="26" t="s">
        <v>2249</v>
      </c>
      <c r="R14" s="27" t="s">
        <v>2250</v>
      </c>
      <c r="S14" s="47" t="s">
        <v>143</v>
      </c>
      <c r="T14" s="23" t="s">
        <v>60</v>
      </c>
      <c r="U14" s="23" t="s">
        <v>61</v>
      </c>
      <c r="V14" s="23"/>
      <c r="W14" s="23" t="s">
        <v>2251</v>
      </c>
      <c r="X14" s="23" t="s">
        <v>2252</v>
      </c>
      <c r="Y14" s="23" t="s">
        <v>64</v>
      </c>
      <c r="Z14" s="28">
        <v>46052.0</v>
      </c>
      <c r="AA14" s="28">
        <v>46066.0</v>
      </c>
      <c r="AB14" s="28">
        <v>46066.0</v>
      </c>
      <c r="AC14" s="28"/>
      <c r="AD14" s="29"/>
      <c r="AE14" s="24" t="s">
        <v>65</v>
      </c>
      <c r="AF14" s="23" t="s">
        <v>66</v>
      </c>
      <c r="AG14" s="30">
        <v>620000.0</v>
      </c>
      <c r="AH14" s="31">
        <v>0.025</v>
      </c>
      <c r="AI14" s="32">
        <f t="shared" si="1"/>
        <v>15500</v>
      </c>
      <c r="AJ14" s="33">
        <v>595.0</v>
      </c>
      <c r="AK14" s="34" t="s">
        <v>111</v>
      </c>
      <c r="AL14" s="34" t="s">
        <v>82</v>
      </c>
      <c r="AM14" s="34">
        <v>0.0</v>
      </c>
      <c r="AN14" s="34">
        <v>0.0</v>
      </c>
      <c r="AO14" s="35">
        <f>sum(AI14,-AN14)*0.4</f>
        <v>6200</v>
      </c>
      <c r="AP14" s="36">
        <v>0.0</v>
      </c>
      <c r="AQ14" s="37" t="s">
        <v>47</v>
      </c>
      <c r="AR14" s="40">
        <f t="shared" si="6"/>
        <v>9895</v>
      </c>
      <c r="AS14" s="39">
        <f t="shared" si="7"/>
        <v>5245</v>
      </c>
      <c r="AT14" s="40">
        <f t="shared" si="4"/>
        <v>4650</v>
      </c>
      <c r="AU14" s="111"/>
      <c r="AV14" s="23"/>
      <c r="AW14" s="42"/>
      <c r="AX14" s="52"/>
      <c r="AY14" s="23"/>
      <c r="AZ14" s="42"/>
      <c r="BA14" s="42"/>
      <c r="BB14" s="42"/>
      <c r="BC14" s="42"/>
      <c r="BD14" s="42"/>
    </row>
    <row r="15">
      <c r="A15" s="66" t="s">
        <v>2178</v>
      </c>
      <c r="B15" s="272">
        <v>46071.0</v>
      </c>
      <c r="C15" s="66" t="s">
        <v>2179</v>
      </c>
      <c r="D15" s="273" t="s">
        <v>2253</v>
      </c>
      <c r="E15" s="37" t="s">
        <v>563</v>
      </c>
      <c r="F15" s="37" t="s">
        <v>47</v>
      </c>
      <c r="G15" s="54" t="s">
        <v>2254</v>
      </c>
      <c r="H15" s="37" t="s">
        <v>49</v>
      </c>
      <c r="I15" s="37">
        <v>92586.0</v>
      </c>
      <c r="J15" s="37" t="s">
        <v>50</v>
      </c>
      <c r="K15" s="48" t="s">
        <v>362</v>
      </c>
      <c r="L15" s="37" t="s">
        <v>172</v>
      </c>
      <c r="M15" s="37" t="s">
        <v>215</v>
      </c>
      <c r="N15" s="37" t="s">
        <v>103</v>
      </c>
      <c r="O15" s="56" t="s">
        <v>2255</v>
      </c>
      <c r="P15" s="49" t="s">
        <v>2256</v>
      </c>
      <c r="Q15" s="108" t="s">
        <v>1284</v>
      </c>
      <c r="R15" s="108" t="s">
        <v>1462</v>
      </c>
      <c r="S15" s="134" t="s">
        <v>143</v>
      </c>
      <c r="T15" s="37" t="s">
        <v>60</v>
      </c>
      <c r="U15" s="37" t="s">
        <v>61</v>
      </c>
      <c r="V15" s="37"/>
      <c r="W15" s="37" t="s">
        <v>2257</v>
      </c>
      <c r="X15" s="37" t="s">
        <v>2258</v>
      </c>
      <c r="Y15" s="37" t="s">
        <v>64</v>
      </c>
      <c r="Z15" s="60">
        <v>46032.0</v>
      </c>
      <c r="AA15" s="60">
        <v>46085.0</v>
      </c>
      <c r="AB15" s="60">
        <v>46085.0</v>
      </c>
      <c r="AC15" s="60"/>
      <c r="AD15" s="29"/>
      <c r="AE15" s="54" t="s">
        <v>124</v>
      </c>
      <c r="AF15" s="37" t="s">
        <v>1061</v>
      </c>
      <c r="AG15" s="30">
        <v>169900.0</v>
      </c>
      <c r="AH15" s="31">
        <v>0.02</v>
      </c>
      <c r="AI15" s="32">
        <f t="shared" si="1"/>
        <v>3398</v>
      </c>
      <c r="AJ15" s="33">
        <v>595.0</v>
      </c>
      <c r="AK15" s="34">
        <v>500.0</v>
      </c>
      <c r="AL15" s="34">
        <v>0.0</v>
      </c>
      <c r="AM15" s="34">
        <v>1500.0</v>
      </c>
      <c r="AN15" s="34">
        <v>0.0</v>
      </c>
      <c r="AO15" s="34">
        <v>0.0</v>
      </c>
      <c r="AP15" s="36">
        <v>0.0</v>
      </c>
      <c r="AQ15" s="37" t="s">
        <v>47</v>
      </c>
      <c r="AR15" s="38">
        <f t="shared" ref="AR15:AR62" si="8">if(AJ15=595, SUM(AI15+AM15-AO15-AN15),sum(AI15-AN15-AO15,595))</f>
        <v>4898</v>
      </c>
      <c r="AS15" s="39">
        <f t="shared" ref="AS15:AS62" si="9">if(AQ15="Buyer",-sum((-AI15+AO15+AN15)*50%),if(AQ15="Seller",-sum((-AI15+AO15+AN15)*50%),-sum(((-AI15+AO15+AN15)*((100-right(AQ15,2))/100)))))+if(AJ15&lt;&gt;595,595, sum(AJ15))</f>
        <v>2294</v>
      </c>
      <c r="AT15" s="40">
        <f t="shared" ref="AT15:AT62" si="10">sum(AR15-AS15)+-sum(AK15:AL15)</f>
        <v>2104</v>
      </c>
      <c r="AU15" s="111"/>
      <c r="AV15" s="37" t="s">
        <v>67</v>
      </c>
      <c r="AW15" s="42"/>
      <c r="AX15" s="37" t="s">
        <v>2259</v>
      </c>
      <c r="AY15" s="37" t="s">
        <v>69</v>
      </c>
      <c r="AZ15" s="42"/>
      <c r="BA15" s="42"/>
      <c r="BB15" s="42"/>
      <c r="BC15" s="42"/>
      <c r="BD15" s="42"/>
    </row>
    <row r="16">
      <c r="A16" s="274"/>
      <c r="B16" s="272">
        <v>46076.0</v>
      </c>
      <c r="C16" s="66" t="s">
        <v>2179</v>
      </c>
      <c r="D16" s="273" t="s">
        <v>2260</v>
      </c>
      <c r="E16" s="23" t="s">
        <v>1418</v>
      </c>
      <c r="F16" s="23" t="s">
        <v>47</v>
      </c>
      <c r="G16" s="24" t="s">
        <v>2261</v>
      </c>
      <c r="H16" s="23" t="s">
        <v>49</v>
      </c>
      <c r="I16" s="23">
        <v>92586.0</v>
      </c>
      <c r="J16" s="23" t="s">
        <v>50</v>
      </c>
      <c r="K16" s="37" t="s">
        <v>88</v>
      </c>
      <c r="L16" s="23" t="s">
        <v>52</v>
      </c>
      <c r="M16" s="50"/>
      <c r="N16" s="23" t="s">
        <v>54</v>
      </c>
      <c r="O16" s="25" t="s">
        <v>1659</v>
      </c>
      <c r="P16" s="26" t="s">
        <v>1660</v>
      </c>
      <c r="Q16" s="26" t="s">
        <v>1661</v>
      </c>
      <c r="R16" s="27" t="s">
        <v>163</v>
      </c>
      <c r="S16" s="23" t="s">
        <v>59</v>
      </c>
      <c r="T16" s="23" t="s">
        <v>60</v>
      </c>
      <c r="U16" s="23" t="s">
        <v>61</v>
      </c>
      <c r="V16" s="23"/>
      <c r="W16" s="23" t="s">
        <v>2262</v>
      </c>
      <c r="X16" s="23" t="s">
        <v>2263</v>
      </c>
      <c r="Y16" s="23" t="s">
        <v>64</v>
      </c>
      <c r="Z16" s="28">
        <v>46056.0</v>
      </c>
      <c r="AA16" s="28">
        <v>46118.0</v>
      </c>
      <c r="AB16" s="28">
        <v>46118.0</v>
      </c>
      <c r="AC16" s="28"/>
      <c r="AD16" s="29"/>
      <c r="AE16" s="24" t="s">
        <v>65</v>
      </c>
      <c r="AF16" s="23" t="s">
        <v>66</v>
      </c>
      <c r="AG16" s="30">
        <v>425000.0</v>
      </c>
      <c r="AH16" s="31">
        <v>0.025</v>
      </c>
      <c r="AI16" s="32">
        <f t="shared" si="1"/>
        <v>10625</v>
      </c>
      <c r="AJ16" s="33">
        <v>595.0</v>
      </c>
      <c r="AK16" s="34">
        <v>500.0</v>
      </c>
      <c r="AL16" s="34">
        <v>0.0</v>
      </c>
      <c r="AM16" s="34">
        <v>1395.0</v>
      </c>
      <c r="AN16" s="34">
        <v>0.0</v>
      </c>
      <c r="AO16" s="35">
        <f t="shared" ref="AO16:AO17" si="11">sum(AI16,-AN16)*0.4</f>
        <v>4250</v>
      </c>
      <c r="AP16" s="36">
        <v>0.0</v>
      </c>
      <c r="AQ16" s="37" t="s">
        <v>47</v>
      </c>
      <c r="AR16" s="38">
        <f t="shared" si="8"/>
        <v>7770</v>
      </c>
      <c r="AS16" s="39">
        <f t="shared" si="9"/>
        <v>3782.5</v>
      </c>
      <c r="AT16" s="40">
        <f t="shared" si="10"/>
        <v>3487.5</v>
      </c>
      <c r="AU16" s="111"/>
      <c r="AV16" s="23" t="s">
        <v>67</v>
      </c>
      <c r="AW16" s="42"/>
      <c r="AX16" s="52"/>
      <c r="AY16" s="23"/>
      <c r="AZ16" s="42"/>
      <c r="BA16" s="42"/>
      <c r="BB16" s="42"/>
      <c r="BC16" s="42"/>
      <c r="BD16" s="42"/>
    </row>
    <row r="17">
      <c r="A17" s="66" t="s">
        <v>2264</v>
      </c>
      <c r="B17" s="272">
        <v>46076.0</v>
      </c>
      <c r="C17" s="66" t="s">
        <v>2179</v>
      </c>
      <c r="D17" s="273" t="s">
        <v>2265</v>
      </c>
      <c r="E17" s="23" t="s">
        <v>563</v>
      </c>
      <c r="F17" s="23" t="s">
        <v>84</v>
      </c>
      <c r="G17" s="24" t="s">
        <v>2266</v>
      </c>
      <c r="H17" s="23" t="s">
        <v>316</v>
      </c>
      <c r="I17" s="23">
        <v>92562.0</v>
      </c>
      <c r="J17" s="23" t="s">
        <v>50</v>
      </c>
      <c r="K17" s="23" t="s">
        <v>641</v>
      </c>
      <c r="L17" s="23" t="s">
        <v>172</v>
      </c>
      <c r="M17" s="50"/>
      <c r="N17" s="23" t="s">
        <v>103</v>
      </c>
      <c r="O17" s="54" t="s">
        <v>1603</v>
      </c>
      <c r="P17" s="54" t="s">
        <v>1604</v>
      </c>
      <c r="Q17" s="54" t="s">
        <v>1605</v>
      </c>
      <c r="R17" s="27" t="s">
        <v>92</v>
      </c>
      <c r="S17" s="23" t="s">
        <v>2267</v>
      </c>
      <c r="T17" s="23" t="s">
        <v>60</v>
      </c>
      <c r="U17" s="23" t="s">
        <v>132</v>
      </c>
      <c r="V17" s="23" t="s">
        <v>94</v>
      </c>
      <c r="W17" s="23" t="s">
        <v>2268</v>
      </c>
      <c r="X17" s="23" t="s">
        <v>2269</v>
      </c>
      <c r="Y17" s="23" t="s">
        <v>64</v>
      </c>
      <c r="Z17" s="28">
        <v>46063.0</v>
      </c>
      <c r="AA17" s="28">
        <v>46093.0</v>
      </c>
      <c r="AB17" s="28">
        <v>46093.0</v>
      </c>
      <c r="AC17" s="28"/>
      <c r="AD17" s="29"/>
      <c r="AE17" s="24" t="s">
        <v>65</v>
      </c>
      <c r="AF17" s="23" t="s">
        <v>66</v>
      </c>
      <c r="AG17" s="30">
        <v>595000.0</v>
      </c>
      <c r="AH17" s="31">
        <v>0.025</v>
      </c>
      <c r="AI17" s="32">
        <f t="shared" si="1"/>
        <v>14875</v>
      </c>
      <c r="AJ17" s="33">
        <v>595.0</v>
      </c>
      <c r="AK17" s="34" t="s">
        <v>111</v>
      </c>
      <c r="AL17" s="34" t="s">
        <v>82</v>
      </c>
      <c r="AM17" s="34">
        <v>695.0</v>
      </c>
      <c r="AN17" s="34">
        <v>0.0</v>
      </c>
      <c r="AO17" s="35">
        <f t="shared" si="11"/>
        <v>5950</v>
      </c>
      <c r="AP17" s="36">
        <v>0.0</v>
      </c>
      <c r="AQ17" s="37" t="s">
        <v>84</v>
      </c>
      <c r="AR17" s="38">
        <f t="shared" si="8"/>
        <v>9620</v>
      </c>
      <c r="AS17" s="39">
        <f t="shared" si="9"/>
        <v>5057.5</v>
      </c>
      <c r="AT17" s="40">
        <f t="shared" si="10"/>
        <v>4562.5</v>
      </c>
      <c r="AU17" s="111"/>
      <c r="AV17" s="23" t="s">
        <v>67</v>
      </c>
      <c r="AW17" s="42"/>
      <c r="AX17" s="52"/>
      <c r="AY17" s="23"/>
      <c r="AZ17" s="42"/>
      <c r="BA17" s="42"/>
      <c r="BB17" s="42"/>
      <c r="BC17" s="42"/>
      <c r="BD17" s="42"/>
    </row>
    <row r="18">
      <c r="A18" s="274"/>
      <c r="B18" s="272">
        <v>46077.0</v>
      </c>
      <c r="C18" s="66" t="s">
        <v>2179</v>
      </c>
      <c r="D18" s="273" t="s">
        <v>2270</v>
      </c>
      <c r="E18" s="23" t="s">
        <v>563</v>
      </c>
      <c r="F18" s="23" t="s">
        <v>47</v>
      </c>
      <c r="G18" s="24" t="s">
        <v>2271</v>
      </c>
      <c r="H18" s="23" t="s">
        <v>225</v>
      </c>
      <c r="I18" s="23">
        <v>92078.0</v>
      </c>
      <c r="J18" s="23" t="s">
        <v>87</v>
      </c>
      <c r="K18" s="23" t="s">
        <v>226</v>
      </c>
      <c r="L18" s="23" t="s">
        <v>52</v>
      </c>
      <c r="M18" s="50"/>
      <c r="N18" s="23" t="s">
        <v>54</v>
      </c>
      <c r="O18" s="25" t="s">
        <v>236</v>
      </c>
      <c r="P18" s="26" t="s">
        <v>237</v>
      </c>
      <c r="Q18" s="26" t="s">
        <v>2272</v>
      </c>
      <c r="R18" s="27" t="s">
        <v>2273</v>
      </c>
      <c r="S18" s="23" t="s">
        <v>2274</v>
      </c>
      <c r="T18" s="23" t="s">
        <v>60</v>
      </c>
      <c r="U18" s="23" t="s">
        <v>61</v>
      </c>
      <c r="V18" s="23" t="s">
        <v>79</v>
      </c>
      <c r="W18" s="23" t="s">
        <v>2275</v>
      </c>
      <c r="X18" s="23" t="s">
        <v>2276</v>
      </c>
      <c r="Y18" s="23" t="s">
        <v>64</v>
      </c>
      <c r="Z18" s="28">
        <v>46064.0</v>
      </c>
      <c r="AA18" s="28">
        <v>46085.0</v>
      </c>
      <c r="AB18" s="28">
        <v>46085.0</v>
      </c>
      <c r="AC18" s="28"/>
      <c r="AD18" s="29"/>
      <c r="AE18" s="24" t="s">
        <v>65</v>
      </c>
      <c r="AF18" s="23" t="s">
        <v>156</v>
      </c>
      <c r="AG18" s="30">
        <v>900000.0</v>
      </c>
      <c r="AH18" s="31">
        <v>0.02</v>
      </c>
      <c r="AI18" s="32">
        <f t="shared" si="1"/>
        <v>18000</v>
      </c>
      <c r="AJ18" s="33">
        <v>595.0</v>
      </c>
      <c r="AK18" s="34">
        <v>500.0</v>
      </c>
      <c r="AL18" s="34">
        <v>0.0</v>
      </c>
      <c r="AM18" s="34">
        <v>1095.0</v>
      </c>
      <c r="AN18" s="34">
        <v>0.0</v>
      </c>
      <c r="AO18" s="34">
        <v>0.0</v>
      </c>
      <c r="AP18" s="36">
        <v>0.0</v>
      </c>
      <c r="AQ18" s="37" t="s">
        <v>47</v>
      </c>
      <c r="AR18" s="38">
        <f t="shared" si="8"/>
        <v>19095</v>
      </c>
      <c r="AS18" s="39">
        <f t="shared" si="9"/>
        <v>9595</v>
      </c>
      <c r="AT18" s="40">
        <f t="shared" si="10"/>
        <v>9000</v>
      </c>
      <c r="AU18" s="111"/>
      <c r="AV18" s="23" t="s">
        <v>67</v>
      </c>
      <c r="AW18" s="42"/>
      <c r="AX18" s="52"/>
      <c r="AY18" s="23"/>
      <c r="AZ18" s="42"/>
      <c r="BA18" s="42"/>
      <c r="BB18" s="42"/>
      <c r="BC18" s="42"/>
      <c r="BD18" s="42"/>
    </row>
    <row r="19">
      <c r="A19" s="274"/>
      <c r="B19" s="272">
        <v>46079.0</v>
      </c>
      <c r="C19" s="66" t="s">
        <v>2179</v>
      </c>
      <c r="D19" s="273" t="s">
        <v>2270</v>
      </c>
      <c r="E19" s="158" t="s">
        <v>563</v>
      </c>
      <c r="F19" s="158" t="s">
        <v>84</v>
      </c>
      <c r="G19" s="167" t="s">
        <v>1326</v>
      </c>
      <c r="H19" s="158" t="s">
        <v>1327</v>
      </c>
      <c r="I19" s="158">
        <v>90744.0</v>
      </c>
      <c r="J19" s="158" t="s">
        <v>726</v>
      </c>
      <c r="K19" s="158" t="s">
        <v>226</v>
      </c>
      <c r="L19" s="158" t="s">
        <v>52</v>
      </c>
      <c r="M19" s="167"/>
      <c r="N19" s="158" t="s">
        <v>54</v>
      </c>
      <c r="O19" s="160" t="s">
        <v>1328</v>
      </c>
      <c r="P19" s="167" t="s">
        <v>1329</v>
      </c>
      <c r="Q19" s="167" t="s">
        <v>1330</v>
      </c>
      <c r="R19" s="160" t="s">
        <v>1331</v>
      </c>
      <c r="S19" s="163" t="s">
        <v>143</v>
      </c>
      <c r="T19" s="158" t="s">
        <v>93</v>
      </c>
      <c r="U19" s="158" t="s">
        <v>132</v>
      </c>
      <c r="V19" s="158" t="s">
        <v>94</v>
      </c>
      <c r="W19" s="163" t="s">
        <v>680</v>
      </c>
      <c r="X19" s="163" t="s">
        <v>680</v>
      </c>
      <c r="Y19" s="158" t="s">
        <v>64</v>
      </c>
      <c r="Z19" s="164">
        <v>46072.0</v>
      </c>
      <c r="AA19" s="164">
        <v>46087.0</v>
      </c>
      <c r="AB19" s="164">
        <v>46087.0</v>
      </c>
      <c r="AC19" s="279"/>
      <c r="AD19" s="166"/>
      <c r="AE19" s="167" t="s">
        <v>65</v>
      </c>
      <c r="AF19" s="159" t="s">
        <v>167</v>
      </c>
      <c r="AG19" s="38">
        <v>449999.0</v>
      </c>
      <c r="AH19" s="51">
        <v>0.03</v>
      </c>
      <c r="AI19" s="32">
        <f t="shared" si="1"/>
        <v>13499.97</v>
      </c>
      <c r="AJ19" s="168">
        <v>595.0</v>
      </c>
      <c r="AK19" s="38">
        <v>500.0</v>
      </c>
      <c r="AL19" s="38" t="s">
        <v>82</v>
      </c>
      <c r="AM19" s="38">
        <v>1345.0</v>
      </c>
      <c r="AN19" s="38">
        <v>0.0</v>
      </c>
      <c r="AO19" s="38">
        <v>0.0</v>
      </c>
      <c r="AP19" s="38">
        <v>0.0</v>
      </c>
      <c r="AQ19" s="116" t="s">
        <v>84</v>
      </c>
      <c r="AR19" s="38">
        <f t="shared" si="8"/>
        <v>14844.97</v>
      </c>
      <c r="AS19" s="38">
        <f t="shared" si="9"/>
        <v>7344.985</v>
      </c>
      <c r="AT19" s="40">
        <f t="shared" si="10"/>
        <v>6999.985</v>
      </c>
      <c r="AU19" s="169"/>
      <c r="AV19" s="167"/>
      <c r="AW19" s="145"/>
      <c r="AX19" s="167"/>
      <c r="AY19" s="167"/>
      <c r="AZ19" s="145"/>
      <c r="BA19" s="145"/>
      <c r="BB19" s="145"/>
      <c r="BC19" s="145"/>
      <c r="BD19" s="145"/>
    </row>
    <row r="20">
      <c r="A20" s="274"/>
      <c r="B20" s="272">
        <v>46079.0</v>
      </c>
      <c r="C20" s="66" t="s">
        <v>2179</v>
      </c>
      <c r="D20" s="273" t="s">
        <v>2270</v>
      </c>
      <c r="E20" s="158" t="s">
        <v>563</v>
      </c>
      <c r="F20" s="158" t="s">
        <v>47</v>
      </c>
      <c r="G20" s="167" t="s">
        <v>1326</v>
      </c>
      <c r="H20" s="158" t="s">
        <v>1327</v>
      </c>
      <c r="I20" s="158">
        <v>90744.0</v>
      </c>
      <c r="J20" s="158" t="s">
        <v>726</v>
      </c>
      <c r="K20" s="158" t="s">
        <v>226</v>
      </c>
      <c r="L20" s="158" t="s">
        <v>52</v>
      </c>
      <c r="M20" s="167"/>
      <c r="N20" s="158" t="s">
        <v>54</v>
      </c>
      <c r="O20" s="160" t="s">
        <v>2277</v>
      </c>
      <c r="P20" s="167" t="s">
        <v>2278</v>
      </c>
      <c r="Q20" s="167" t="s">
        <v>2279</v>
      </c>
      <c r="R20" s="160" t="s">
        <v>1331</v>
      </c>
      <c r="S20" s="163" t="s">
        <v>143</v>
      </c>
      <c r="T20" s="158" t="s">
        <v>93</v>
      </c>
      <c r="U20" s="158" t="s">
        <v>132</v>
      </c>
      <c r="V20" s="158" t="s">
        <v>94</v>
      </c>
      <c r="W20" s="163" t="s">
        <v>680</v>
      </c>
      <c r="X20" s="163" t="s">
        <v>680</v>
      </c>
      <c r="Y20" s="158" t="s">
        <v>64</v>
      </c>
      <c r="Z20" s="164">
        <v>46072.0</v>
      </c>
      <c r="AA20" s="164">
        <v>46087.0</v>
      </c>
      <c r="AB20" s="164">
        <v>46087.0</v>
      </c>
      <c r="AC20" s="279"/>
      <c r="AD20" s="166"/>
      <c r="AE20" s="167" t="s">
        <v>65</v>
      </c>
      <c r="AF20" s="159" t="s">
        <v>167</v>
      </c>
      <c r="AG20" s="38">
        <v>449999.0</v>
      </c>
      <c r="AH20" s="51">
        <v>0.02</v>
      </c>
      <c r="AI20" s="32">
        <f t="shared" si="1"/>
        <v>8999.98</v>
      </c>
      <c r="AJ20" s="168">
        <v>595.0</v>
      </c>
      <c r="AK20" s="38">
        <v>500.0</v>
      </c>
      <c r="AL20" s="38">
        <v>0.0</v>
      </c>
      <c r="AM20" s="38">
        <v>1095.0</v>
      </c>
      <c r="AN20" s="38">
        <v>0.0</v>
      </c>
      <c r="AO20" s="38">
        <v>0.0</v>
      </c>
      <c r="AP20" s="38">
        <v>0.0</v>
      </c>
      <c r="AQ20" s="116" t="s">
        <v>47</v>
      </c>
      <c r="AR20" s="38">
        <f t="shared" si="8"/>
        <v>10094.98</v>
      </c>
      <c r="AS20" s="38">
        <f t="shared" si="9"/>
        <v>5094.99</v>
      </c>
      <c r="AT20" s="40">
        <f t="shared" si="10"/>
        <v>4499.99</v>
      </c>
      <c r="AU20" s="169"/>
      <c r="AV20" s="167"/>
      <c r="AW20" s="145"/>
      <c r="AX20" s="167"/>
      <c r="AY20" s="167"/>
      <c r="AZ20" s="145"/>
      <c r="BA20" s="145"/>
      <c r="BB20" s="145"/>
      <c r="BC20" s="145"/>
      <c r="BD20" s="145"/>
    </row>
    <row r="21">
      <c r="A21" s="274"/>
      <c r="B21" s="272">
        <v>46083.0</v>
      </c>
      <c r="C21" s="66" t="s">
        <v>2179</v>
      </c>
      <c r="D21" s="273" t="s">
        <v>2270</v>
      </c>
      <c r="E21" s="23" t="s">
        <v>563</v>
      </c>
      <c r="F21" s="23" t="s">
        <v>47</v>
      </c>
      <c r="G21" s="24" t="s">
        <v>2280</v>
      </c>
      <c r="H21" s="23" t="s">
        <v>432</v>
      </c>
      <c r="I21" s="23">
        <v>92570.0</v>
      </c>
      <c r="J21" s="23" t="s">
        <v>50</v>
      </c>
      <c r="K21" s="23" t="s">
        <v>646</v>
      </c>
      <c r="L21" s="23" t="s">
        <v>73</v>
      </c>
      <c r="M21" s="23" t="s">
        <v>371</v>
      </c>
      <c r="N21" s="23" t="s">
        <v>54</v>
      </c>
      <c r="O21" s="25" t="s">
        <v>786</v>
      </c>
      <c r="P21" s="26" t="s">
        <v>1296</v>
      </c>
      <c r="Q21" s="26" t="s">
        <v>2281</v>
      </c>
      <c r="R21" s="27" t="s">
        <v>92</v>
      </c>
      <c r="S21" s="47" t="s">
        <v>143</v>
      </c>
      <c r="T21" s="23" t="s">
        <v>93</v>
      </c>
      <c r="U21" s="23" t="s">
        <v>132</v>
      </c>
      <c r="V21" s="23" t="s">
        <v>94</v>
      </c>
      <c r="W21" s="47" t="s">
        <v>144</v>
      </c>
      <c r="X21" s="47" t="s">
        <v>144</v>
      </c>
      <c r="Y21" s="23" t="s">
        <v>64</v>
      </c>
      <c r="Z21" s="28">
        <v>46067.0</v>
      </c>
      <c r="AA21" s="28">
        <v>46083.0</v>
      </c>
      <c r="AB21" s="28">
        <v>46083.0</v>
      </c>
      <c r="AC21" s="28"/>
      <c r="AD21" s="29"/>
      <c r="AE21" s="24" t="s">
        <v>65</v>
      </c>
      <c r="AF21" s="23" t="s">
        <v>145</v>
      </c>
      <c r="AG21" s="30">
        <v>370000.0</v>
      </c>
      <c r="AH21" s="31">
        <v>0.03</v>
      </c>
      <c r="AI21" s="32">
        <f t="shared" si="1"/>
        <v>11100</v>
      </c>
      <c r="AJ21" s="33" t="s">
        <v>82</v>
      </c>
      <c r="AK21" s="34">
        <v>0.0</v>
      </c>
      <c r="AL21" s="34">
        <v>0.0</v>
      </c>
      <c r="AM21" s="34">
        <v>0.0</v>
      </c>
      <c r="AN21" s="34">
        <v>0.0</v>
      </c>
      <c r="AO21" s="35">
        <f>sum(AI21,-AN21)*0.4</f>
        <v>4440</v>
      </c>
      <c r="AP21" s="36">
        <v>0.0</v>
      </c>
      <c r="AQ21" s="37" t="s">
        <v>47</v>
      </c>
      <c r="AR21" s="38">
        <f t="shared" si="8"/>
        <v>7255</v>
      </c>
      <c r="AS21" s="39">
        <f t="shared" si="9"/>
        <v>3925</v>
      </c>
      <c r="AT21" s="40">
        <f t="shared" si="10"/>
        <v>3330</v>
      </c>
      <c r="AU21" s="111"/>
      <c r="AV21" s="23"/>
      <c r="AW21" s="42"/>
      <c r="AX21" s="52"/>
      <c r="AY21" s="23"/>
      <c r="AZ21" s="42"/>
      <c r="BA21" s="42"/>
      <c r="BB21" s="42"/>
      <c r="BC21" s="42"/>
      <c r="BD21" s="42"/>
    </row>
    <row r="22">
      <c r="A22" s="274"/>
      <c r="B22" s="272">
        <v>46084.0</v>
      </c>
      <c r="C22" s="66" t="s">
        <v>2179</v>
      </c>
      <c r="D22" s="273" t="s">
        <v>2282</v>
      </c>
      <c r="E22" s="23" t="s">
        <v>583</v>
      </c>
      <c r="F22" s="23" t="s">
        <v>47</v>
      </c>
      <c r="G22" s="24" t="s">
        <v>2283</v>
      </c>
      <c r="H22" s="23" t="s">
        <v>71</v>
      </c>
      <c r="I22" s="23">
        <v>92545.0</v>
      </c>
      <c r="J22" s="23" t="s">
        <v>50</v>
      </c>
      <c r="K22" s="23" t="s">
        <v>376</v>
      </c>
      <c r="L22" s="23" t="s">
        <v>52</v>
      </c>
      <c r="M22" s="50"/>
      <c r="N22" s="23" t="s">
        <v>103</v>
      </c>
      <c r="O22" s="25" t="s">
        <v>786</v>
      </c>
      <c r="P22" s="43"/>
      <c r="Q22" s="26" t="s">
        <v>1297</v>
      </c>
      <c r="R22" s="27" t="s">
        <v>92</v>
      </c>
      <c r="S22" s="23" t="s">
        <v>2284</v>
      </c>
      <c r="T22" s="23" t="s">
        <v>60</v>
      </c>
      <c r="U22" s="23" t="s">
        <v>132</v>
      </c>
      <c r="V22" s="23" t="s">
        <v>94</v>
      </c>
      <c r="W22" s="23" t="s">
        <v>2285</v>
      </c>
      <c r="X22" s="23" t="s">
        <v>2286</v>
      </c>
      <c r="Y22" s="23" t="s">
        <v>64</v>
      </c>
      <c r="Z22" s="28">
        <v>46079.0</v>
      </c>
      <c r="AA22" s="172">
        <v>46100.0</v>
      </c>
      <c r="AB22" s="172">
        <v>46100.0</v>
      </c>
      <c r="AC22" s="28"/>
      <c r="AD22" s="29"/>
      <c r="AE22" s="24" t="s">
        <v>124</v>
      </c>
      <c r="AF22" s="23" t="s">
        <v>262</v>
      </c>
      <c r="AG22" s="30">
        <v>375000.0</v>
      </c>
      <c r="AH22" s="51">
        <v>0.0</v>
      </c>
      <c r="AI22" s="32">
        <f t="shared" si="1"/>
        <v>0</v>
      </c>
      <c r="AJ22" s="33" t="s">
        <v>82</v>
      </c>
      <c r="AK22" s="34">
        <v>0.0</v>
      </c>
      <c r="AL22" s="34" t="s">
        <v>82</v>
      </c>
      <c r="AM22" s="34">
        <v>0.0</v>
      </c>
      <c r="AN22" s="34">
        <v>0.0</v>
      </c>
      <c r="AO22" s="34">
        <v>0.0</v>
      </c>
      <c r="AP22" s="36">
        <v>0.0</v>
      </c>
      <c r="AQ22" s="37" t="s">
        <v>47</v>
      </c>
      <c r="AR22" s="38">
        <f t="shared" si="8"/>
        <v>595</v>
      </c>
      <c r="AS22" s="39">
        <f t="shared" si="9"/>
        <v>595</v>
      </c>
      <c r="AT22" s="40">
        <f t="shared" si="10"/>
        <v>0</v>
      </c>
      <c r="AU22" s="111"/>
      <c r="AV22" s="23"/>
      <c r="AW22" s="42"/>
      <c r="AX22" s="52"/>
      <c r="AY22" s="23"/>
      <c r="AZ22" s="42"/>
      <c r="BA22" s="42"/>
      <c r="BB22" s="42"/>
      <c r="BC22" s="42"/>
      <c r="BD22" s="42"/>
    </row>
    <row r="23">
      <c r="A23" s="66" t="s">
        <v>2178</v>
      </c>
      <c r="B23" s="272">
        <v>46085.0</v>
      </c>
      <c r="C23" s="66" t="s">
        <v>2179</v>
      </c>
      <c r="D23" s="273" t="s">
        <v>2287</v>
      </c>
      <c r="E23" s="23" t="s">
        <v>563</v>
      </c>
      <c r="F23" s="23" t="s">
        <v>84</v>
      </c>
      <c r="G23" s="24" t="s">
        <v>1367</v>
      </c>
      <c r="H23" s="23" t="s">
        <v>148</v>
      </c>
      <c r="I23" s="23">
        <v>92883.0</v>
      </c>
      <c r="J23" s="23" t="s">
        <v>50</v>
      </c>
      <c r="K23" s="23" t="s">
        <v>341</v>
      </c>
      <c r="L23" s="23" t="s">
        <v>172</v>
      </c>
      <c r="M23" s="50"/>
      <c r="N23" s="23" t="s">
        <v>54</v>
      </c>
      <c r="O23" s="25" t="s">
        <v>1368</v>
      </c>
      <c r="P23" s="26" t="s">
        <v>1369</v>
      </c>
      <c r="Q23" s="26" t="s">
        <v>1370</v>
      </c>
      <c r="R23" s="27" t="s">
        <v>92</v>
      </c>
      <c r="S23" s="23" t="s">
        <v>2288</v>
      </c>
      <c r="T23" s="23" t="s">
        <v>60</v>
      </c>
      <c r="U23" s="23" t="s">
        <v>132</v>
      </c>
      <c r="V23" s="23" t="s">
        <v>94</v>
      </c>
      <c r="W23" s="23" t="s">
        <v>2289</v>
      </c>
      <c r="X23" s="23" t="s">
        <v>2290</v>
      </c>
      <c r="Y23" s="23" t="s">
        <v>64</v>
      </c>
      <c r="Z23" s="28">
        <v>46076.0</v>
      </c>
      <c r="AA23" s="28">
        <v>46106.0</v>
      </c>
      <c r="AB23" s="28">
        <v>46106.0</v>
      </c>
      <c r="AC23" s="28"/>
      <c r="AD23" s="29"/>
      <c r="AE23" s="24" t="s">
        <v>65</v>
      </c>
      <c r="AF23" s="23" t="s">
        <v>66</v>
      </c>
      <c r="AG23" s="30">
        <v>615000.0</v>
      </c>
      <c r="AH23" s="31">
        <v>0.025</v>
      </c>
      <c r="AI23" s="32">
        <f t="shared" si="1"/>
        <v>15375</v>
      </c>
      <c r="AJ23" s="33">
        <v>595.0</v>
      </c>
      <c r="AK23" s="34">
        <v>500.0</v>
      </c>
      <c r="AL23" s="34" t="s">
        <v>82</v>
      </c>
      <c r="AM23" s="34">
        <v>1345.0</v>
      </c>
      <c r="AN23" s="34">
        <v>0.0</v>
      </c>
      <c r="AO23" s="35">
        <f>sum(AI23,-AN23)*0.4</f>
        <v>6150</v>
      </c>
      <c r="AP23" s="36">
        <v>0.0</v>
      </c>
      <c r="AQ23" s="37" t="s">
        <v>84</v>
      </c>
      <c r="AR23" s="38">
        <f t="shared" si="8"/>
        <v>10570</v>
      </c>
      <c r="AS23" s="39">
        <f t="shared" si="9"/>
        <v>5207.5</v>
      </c>
      <c r="AT23" s="40">
        <f t="shared" si="10"/>
        <v>4862.5</v>
      </c>
      <c r="AU23" s="111"/>
      <c r="AV23" s="23" t="s">
        <v>67</v>
      </c>
      <c r="AW23" s="42"/>
      <c r="AX23" s="52"/>
      <c r="AY23" s="23"/>
      <c r="AZ23" s="42"/>
      <c r="BA23" s="42"/>
      <c r="BB23" s="42"/>
      <c r="BC23" s="42"/>
      <c r="BD23" s="42"/>
    </row>
    <row r="24">
      <c r="A24" s="274"/>
      <c r="B24" s="272">
        <v>46086.0</v>
      </c>
      <c r="C24" s="66" t="s">
        <v>2179</v>
      </c>
      <c r="D24" s="273" t="s">
        <v>2270</v>
      </c>
      <c r="E24" s="23" t="s">
        <v>563</v>
      </c>
      <c r="F24" s="23" t="s">
        <v>84</v>
      </c>
      <c r="G24" s="24" t="s">
        <v>1434</v>
      </c>
      <c r="H24" s="23" t="s">
        <v>71</v>
      </c>
      <c r="I24" s="23">
        <v>92545.0</v>
      </c>
      <c r="J24" s="23" t="s">
        <v>50</v>
      </c>
      <c r="K24" s="23" t="s">
        <v>812</v>
      </c>
      <c r="L24" s="23" t="s">
        <v>73</v>
      </c>
      <c r="M24" s="50"/>
      <c r="N24" s="23" t="s">
        <v>103</v>
      </c>
      <c r="O24" s="54" t="s">
        <v>1435</v>
      </c>
      <c r="P24" s="54" t="s">
        <v>1436</v>
      </c>
      <c r="Q24" s="54" t="s">
        <v>1437</v>
      </c>
      <c r="R24" s="108" t="s">
        <v>92</v>
      </c>
      <c r="S24" s="23" t="s">
        <v>2291</v>
      </c>
      <c r="T24" s="23" t="s">
        <v>60</v>
      </c>
      <c r="U24" s="23" t="s">
        <v>132</v>
      </c>
      <c r="V24" s="23" t="s">
        <v>94</v>
      </c>
      <c r="W24" s="23" t="s">
        <v>2292</v>
      </c>
      <c r="X24" s="23" t="s">
        <v>2293</v>
      </c>
      <c r="Y24" s="23" t="s">
        <v>64</v>
      </c>
      <c r="Z24" s="28">
        <v>46057.0</v>
      </c>
      <c r="AA24" s="28">
        <v>46087.0</v>
      </c>
      <c r="AB24" s="28">
        <v>46087.0</v>
      </c>
      <c r="AC24" s="28"/>
      <c r="AD24" s="29"/>
      <c r="AE24" s="24" t="s">
        <v>65</v>
      </c>
      <c r="AF24" s="23" t="s">
        <v>167</v>
      </c>
      <c r="AG24" s="30">
        <v>425000.0</v>
      </c>
      <c r="AH24" s="31">
        <v>0.04</v>
      </c>
      <c r="AI24" s="32">
        <f t="shared" si="1"/>
        <v>17000</v>
      </c>
      <c r="AJ24" s="33">
        <v>595.0</v>
      </c>
      <c r="AK24" s="34">
        <v>500.0</v>
      </c>
      <c r="AL24" s="34">
        <v>250.0</v>
      </c>
      <c r="AM24" s="34">
        <v>1345.0</v>
      </c>
      <c r="AN24" s="34">
        <v>0.0</v>
      </c>
      <c r="AO24" s="34">
        <v>0.0</v>
      </c>
      <c r="AP24" s="36">
        <v>0.0</v>
      </c>
      <c r="AQ24" s="37" t="s">
        <v>168</v>
      </c>
      <c r="AR24" s="38">
        <f t="shared" si="8"/>
        <v>18345</v>
      </c>
      <c r="AS24" s="39">
        <f t="shared" si="9"/>
        <v>2295</v>
      </c>
      <c r="AT24" s="40">
        <f t="shared" si="10"/>
        <v>15300</v>
      </c>
      <c r="AU24" s="111"/>
      <c r="AV24" s="23" t="s">
        <v>67</v>
      </c>
      <c r="AW24" s="42"/>
      <c r="AX24" s="52"/>
      <c r="AY24" s="23"/>
      <c r="AZ24" s="42"/>
      <c r="BA24" s="42"/>
      <c r="BB24" s="42"/>
      <c r="BC24" s="42"/>
      <c r="BD24" s="42"/>
    </row>
    <row r="25">
      <c r="A25" s="66" t="s">
        <v>2186</v>
      </c>
      <c r="B25" s="272">
        <v>46094.0</v>
      </c>
      <c r="C25" s="66" t="s">
        <v>84</v>
      </c>
      <c r="D25" s="273" t="s">
        <v>2294</v>
      </c>
      <c r="E25" s="23" t="s">
        <v>803</v>
      </c>
      <c r="F25" s="23" t="s">
        <v>47</v>
      </c>
      <c r="G25" s="24" t="s">
        <v>2295</v>
      </c>
      <c r="H25" s="23" t="s">
        <v>432</v>
      </c>
      <c r="I25" s="23">
        <v>92570.0</v>
      </c>
      <c r="J25" s="23" t="s">
        <v>50</v>
      </c>
      <c r="K25" s="23" t="s">
        <v>102</v>
      </c>
      <c r="L25" s="23" t="s">
        <v>172</v>
      </c>
      <c r="M25" s="50"/>
      <c r="N25" s="23" t="s">
        <v>103</v>
      </c>
      <c r="O25" s="25" t="s">
        <v>786</v>
      </c>
      <c r="P25" s="26" t="s">
        <v>1296</v>
      </c>
      <c r="Q25" s="26" t="s">
        <v>2281</v>
      </c>
      <c r="R25" s="27" t="s">
        <v>92</v>
      </c>
      <c r="S25" s="47" t="s">
        <v>143</v>
      </c>
      <c r="T25" s="23" t="s">
        <v>93</v>
      </c>
      <c r="U25" s="23" t="s">
        <v>132</v>
      </c>
      <c r="V25" s="23" t="s">
        <v>94</v>
      </c>
      <c r="W25" s="47" t="s">
        <v>144</v>
      </c>
      <c r="X25" s="47" t="s">
        <v>144</v>
      </c>
      <c r="Y25" s="23" t="s">
        <v>64</v>
      </c>
      <c r="Z25" s="28">
        <v>46064.0</v>
      </c>
      <c r="AA25" s="28">
        <v>46079.0</v>
      </c>
      <c r="AB25" s="28">
        <v>46079.0</v>
      </c>
      <c r="AC25" s="28"/>
      <c r="AD25" s="29"/>
      <c r="AE25" s="24" t="s">
        <v>65</v>
      </c>
      <c r="AF25" s="23" t="s">
        <v>145</v>
      </c>
      <c r="AG25" s="30">
        <v>270000.0</v>
      </c>
      <c r="AH25" s="31">
        <v>0.03</v>
      </c>
      <c r="AI25" s="32">
        <f t="shared" si="1"/>
        <v>8100</v>
      </c>
      <c r="AJ25" s="33" t="s">
        <v>82</v>
      </c>
      <c r="AK25" s="34">
        <v>0.0</v>
      </c>
      <c r="AL25" s="34">
        <v>0.0</v>
      </c>
      <c r="AM25" s="34">
        <v>0.0</v>
      </c>
      <c r="AN25" s="34">
        <v>0.0</v>
      </c>
      <c r="AO25" s="35">
        <f t="shared" ref="AO25:AO27" si="12">sum(AI25,-AN25)*0.4</f>
        <v>3240</v>
      </c>
      <c r="AP25" s="36">
        <v>0.0</v>
      </c>
      <c r="AQ25" s="37" t="s">
        <v>47</v>
      </c>
      <c r="AR25" s="38">
        <f t="shared" si="8"/>
        <v>5455</v>
      </c>
      <c r="AS25" s="39">
        <f t="shared" si="9"/>
        <v>3025</v>
      </c>
      <c r="AT25" s="40">
        <f t="shared" si="10"/>
        <v>2430</v>
      </c>
      <c r="AU25" s="111"/>
      <c r="AV25" s="23"/>
      <c r="AW25" s="42"/>
      <c r="AX25" s="52"/>
      <c r="AY25" s="23"/>
      <c r="AZ25" s="42"/>
      <c r="BA25" s="42"/>
      <c r="BB25" s="42"/>
      <c r="BC25" s="42"/>
      <c r="BD25" s="42"/>
    </row>
    <row r="26">
      <c r="A26" s="274"/>
      <c r="B26" s="272">
        <v>46094.0</v>
      </c>
      <c r="C26" s="66" t="s">
        <v>2179</v>
      </c>
      <c r="D26" s="273" t="s">
        <v>2296</v>
      </c>
      <c r="E26" s="23" t="s">
        <v>1418</v>
      </c>
      <c r="F26" s="23" t="s">
        <v>47</v>
      </c>
      <c r="G26" s="24" t="s">
        <v>2297</v>
      </c>
      <c r="H26" s="23" t="s">
        <v>86</v>
      </c>
      <c r="I26" s="23">
        <v>92054.0</v>
      </c>
      <c r="J26" s="23" t="s">
        <v>87</v>
      </c>
      <c r="K26" s="23" t="s">
        <v>2298</v>
      </c>
      <c r="L26" s="158" t="s">
        <v>52</v>
      </c>
      <c r="M26" s="50"/>
      <c r="N26" s="158" t="s">
        <v>54</v>
      </c>
      <c r="O26" s="25" t="s">
        <v>2299</v>
      </c>
      <c r="P26" s="26" t="s">
        <v>2300</v>
      </c>
      <c r="Q26" s="26" t="s">
        <v>2301</v>
      </c>
      <c r="R26" s="27" t="s">
        <v>1571</v>
      </c>
      <c r="S26" s="23" t="s">
        <v>2184</v>
      </c>
      <c r="T26" s="23" t="s">
        <v>93</v>
      </c>
      <c r="U26" s="37" t="s">
        <v>621</v>
      </c>
      <c r="V26" s="23" t="s">
        <v>178</v>
      </c>
      <c r="W26" s="23" t="s">
        <v>2302</v>
      </c>
      <c r="X26" s="23" t="s">
        <v>2303</v>
      </c>
      <c r="Y26" s="158" t="s">
        <v>64</v>
      </c>
      <c r="Z26" s="165">
        <v>46083.0</v>
      </c>
      <c r="AA26" s="165">
        <v>46113.0</v>
      </c>
      <c r="AB26" s="165">
        <v>46113.0</v>
      </c>
      <c r="AC26" s="28"/>
      <c r="AD26" s="29"/>
      <c r="AE26" s="24" t="s">
        <v>124</v>
      </c>
      <c r="AF26" s="37" t="s">
        <v>66</v>
      </c>
      <c r="AG26" s="30">
        <v>409000.0</v>
      </c>
      <c r="AH26" s="31">
        <v>0.025</v>
      </c>
      <c r="AI26" s="32">
        <f t="shared" si="1"/>
        <v>10225</v>
      </c>
      <c r="AJ26" s="33" t="s">
        <v>82</v>
      </c>
      <c r="AK26" s="34">
        <v>0.0</v>
      </c>
      <c r="AL26" s="34" t="s">
        <v>82</v>
      </c>
      <c r="AM26" s="34">
        <v>0.0</v>
      </c>
      <c r="AN26" s="34">
        <v>0.0</v>
      </c>
      <c r="AO26" s="35">
        <f t="shared" si="12"/>
        <v>4090</v>
      </c>
      <c r="AP26" s="36">
        <v>0.0</v>
      </c>
      <c r="AQ26" s="37" t="s">
        <v>47</v>
      </c>
      <c r="AR26" s="38">
        <f t="shared" si="8"/>
        <v>6730</v>
      </c>
      <c r="AS26" s="39">
        <f t="shared" si="9"/>
        <v>3662.5</v>
      </c>
      <c r="AT26" s="40">
        <f t="shared" si="10"/>
        <v>3067.5</v>
      </c>
      <c r="AU26" s="111"/>
      <c r="AV26" s="23"/>
      <c r="AW26" s="42"/>
      <c r="AX26" s="52"/>
      <c r="AY26" s="23"/>
      <c r="AZ26" s="42"/>
      <c r="BA26" s="42"/>
      <c r="BB26" s="42"/>
      <c r="BC26" s="42"/>
      <c r="BD26" s="42"/>
    </row>
    <row r="27">
      <c r="A27" s="274"/>
      <c r="B27" s="272">
        <v>46098.0</v>
      </c>
      <c r="C27" s="66" t="s">
        <v>84</v>
      </c>
      <c r="D27" s="273" t="s">
        <v>2304</v>
      </c>
      <c r="E27" s="158" t="s">
        <v>563</v>
      </c>
      <c r="F27" s="23" t="s">
        <v>47</v>
      </c>
      <c r="G27" s="24" t="s">
        <v>2305</v>
      </c>
      <c r="H27" s="23" t="s">
        <v>49</v>
      </c>
      <c r="I27" s="23">
        <v>92586.0</v>
      </c>
      <c r="J27" s="23" t="s">
        <v>50</v>
      </c>
      <c r="K27" s="37" t="s">
        <v>88</v>
      </c>
      <c r="L27" s="158" t="s">
        <v>52</v>
      </c>
      <c r="M27" s="50"/>
      <c r="N27" s="158" t="s">
        <v>54</v>
      </c>
      <c r="O27" s="25" t="s">
        <v>1659</v>
      </c>
      <c r="P27" s="26" t="s">
        <v>1660</v>
      </c>
      <c r="Q27" s="26" t="s">
        <v>1661</v>
      </c>
      <c r="R27" s="27" t="s">
        <v>2306</v>
      </c>
      <c r="S27" s="23" t="s">
        <v>59</v>
      </c>
      <c r="T27" s="23" t="s">
        <v>60</v>
      </c>
      <c r="U27" s="23" t="s">
        <v>114</v>
      </c>
      <c r="V27" s="23"/>
      <c r="W27" s="23" t="s">
        <v>2307</v>
      </c>
      <c r="X27" s="23" t="s">
        <v>2308</v>
      </c>
      <c r="Y27" s="158" t="s">
        <v>64</v>
      </c>
      <c r="Z27" s="165">
        <v>46082.0</v>
      </c>
      <c r="AA27" s="165">
        <v>46104.0</v>
      </c>
      <c r="AB27" s="165">
        <v>46104.0</v>
      </c>
      <c r="AC27" s="28"/>
      <c r="AD27" s="29"/>
      <c r="AE27" s="24" t="s">
        <v>65</v>
      </c>
      <c r="AF27" s="37" t="s">
        <v>66</v>
      </c>
      <c r="AG27" s="30">
        <v>425000.0</v>
      </c>
      <c r="AH27" s="31">
        <v>0.03</v>
      </c>
      <c r="AI27" s="32">
        <f t="shared" si="1"/>
        <v>12750</v>
      </c>
      <c r="AJ27" s="33">
        <v>595.0</v>
      </c>
      <c r="AK27" s="34">
        <v>500.0</v>
      </c>
      <c r="AL27" s="34" t="s">
        <v>82</v>
      </c>
      <c r="AM27" s="34">
        <v>1395.0</v>
      </c>
      <c r="AN27" s="34">
        <v>0.0</v>
      </c>
      <c r="AO27" s="35">
        <f t="shared" si="12"/>
        <v>5100</v>
      </c>
      <c r="AP27" s="36">
        <v>0.0</v>
      </c>
      <c r="AQ27" s="37" t="s">
        <v>47</v>
      </c>
      <c r="AR27" s="38">
        <f t="shared" si="8"/>
        <v>9045</v>
      </c>
      <c r="AS27" s="39">
        <f t="shared" si="9"/>
        <v>4420</v>
      </c>
      <c r="AT27" s="40">
        <f t="shared" si="10"/>
        <v>4125</v>
      </c>
      <c r="AU27" s="111"/>
      <c r="AV27" s="23"/>
      <c r="AW27" s="42"/>
      <c r="AX27" s="52"/>
      <c r="AY27" s="23"/>
      <c r="AZ27" s="42"/>
      <c r="BA27" s="42"/>
      <c r="BB27" s="42"/>
      <c r="BC27" s="42"/>
      <c r="BD27" s="42"/>
    </row>
    <row r="28">
      <c r="A28" s="274"/>
      <c r="B28" s="272">
        <v>46099.0</v>
      </c>
      <c r="C28" s="66" t="s">
        <v>2179</v>
      </c>
      <c r="D28" s="273" t="s">
        <v>2309</v>
      </c>
      <c r="E28" s="23" t="s">
        <v>1418</v>
      </c>
      <c r="F28" s="23" t="s">
        <v>47</v>
      </c>
      <c r="G28" s="24" t="s">
        <v>2310</v>
      </c>
      <c r="H28" s="23" t="s">
        <v>2311</v>
      </c>
      <c r="I28" s="23">
        <v>93726.0</v>
      </c>
      <c r="J28" s="23" t="s">
        <v>2312</v>
      </c>
      <c r="K28" s="23" t="s">
        <v>1809</v>
      </c>
      <c r="L28" s="23" t="s">
        <v>52</v>
      </c>
      <c r="M28" s="50"/>
      <c r="N28" s="23" t="s">
        <v>54</v>
      </c>
      <c r="O28" s="25" t="s">
        <v>2313</v>
      </c>
      <c r="P28" s="26" t="s">
        <v>2314</v>
      </c>
      <c r="Q28" s="26" t="s">
        <v>2315</v>
      </c>
      <c r="R28" s="27" t="s">
        <v>859</v>
      </c>
      <c r="S28" s="23" t="s">
        <v>1813</v>
      </c>
      <c r="T28" s="23" t="s">
        <v>664</v>
      </c>
      <c r="U28" s="23" t="s">
        <v>107</v>
      </c>
      <c r="V28" s="86" t="s">
        <v>859</v>
      </c>
      <c r="W28" s="23" t="s">
        <v>2316</v>
      </c>
      <c r="X28" s="23" t="s">
        <v>2317</v>
      </c>
      <c r="Y28" s="23" t="s">
        <v>64</v>
      </c>
      <c r="Z28" s="28">
        <v>46092.0</v>
      </c>
      <c r="AA28" s="28">
        <v>46113.0</v>
      </c>
      <c r="AB28" s="28">
        <v>46113.0</v>
      </c>
      <c r="AC28" s="28"/>
      <c r="AD28" s="29"/>
      <c r="AE28" s="24" t="s">
        <v>65</v>
      </c>
      <c r="AF28" s="23" t="s">
        <v>167</v>
      </c>
      <c r="AG28" s="30">
        <v>370000.0</v>
      </c>
      <c r="AH28" s="31">
        <v>0.02</v>
      </c>
      <c r="AI28" s="32">
        <f t="shared" si="1"/>
        <v>7400</v>
      </c>
      <c r="AJ28" s="33" t="s">
        <v>82</v>
      </c>
      <c r="AK28" s="34">
        <v>0.0</v>
      </c>
      <c r="AL28" s="34" t="s">
        <v>82</v>
      </c>
      <c r="AM28" s="34">
        <v>0.0</v>
      </c>
      <c r="AN28" s="34">
        <v>0.0</v>
      </c>
      <c r="AO28" s="34">
        <v>0.0</v>
      </c>
      <c r="AP28" s="36">
        <v>0.0</v>
      </c>
      <c r="AQ28" s="37" t="s">
        <v>552</v>
      </c>
      <c r="AR28" s="38">
        <f t="shared" si="8"/>
        <v>7995</v>
      </c>
      <c r="AS28" s="39">
        <f t="shared" si="9"/>
        <v>1705</v>
      </c>
      <c r="AT28" s="40">
        <f t="shared" si="10"/>
        <v>6290</v>
      </c>
      <c r="AU28" s="111"/>
      <c r="AV28" s="23"/>
      <c r="AW28" s="42"/>
      <c r="AX28" s="52"/>
      <c r="AY28" s="23"/>
      <c r="AZ28" s="42"/>
      <c r="BA28" s="42"/>
      <c r="BB28" s="42"/>
      <c r="BC28" s="42"/>
      <c r="BD28" s="42"/>
    </row>
    <row r="29">
      <c r="A29" s="66" t="s">
        <v>2178</v>
      </c>
      <c r="B29" s="272">
        <v>46101.0</v>
      </c>
      <c r="C29" s="66" t="s">
        <v>2179</v>
      </c>
      <c r="D29" s="273" t="s">
        <v>2318</v>
      </c>
      <c r="E29" s="23" t="s">
        <v>563</v>
      </c>
      <c r="F29" s="23" t="s">
        <v>84</v>
      </c>
      <c r="G29" s="24" t="s">
        <v>2319</v>
      </c>
      <c r="H29" s="23" t="s">
        <v>2320</v>
      </c>
      <c r="I29" s="23">
        <v>92220.0</v>
      </c>
      <c r="J29" s="23" t="s">
        <v>50</v>
      </c>
      <c r="K29" s="23" t="s">
        <v>288</v>
      </c>
      <c r="L29" s="23" t="s">
        <v>73</v>
      </c>
      <c r="M29" s="50"/>
      <c r="N29" s="23" t="s">
        <v>103</v>
      </c>
      <c r="O29" s="25" t="s">
        <v>2321</v>
      </c>
      <c r="P29" s="26" t="s">
        <v>2322</v>
      </c>
      <c r="Q29" s="27" t="s">
        <v>2323</v>
      </c>
      <c r="R29" s="27" t="s">
        <v>92</v>
      </c>
      <c r="S29" s="23" t="s">
        <v>2324</v>
      </c>
      <c r="T29" s="23" t="s">
        <v>60</v>
      </c>
      <c r="U29" s="23" t="s">
        <v>61</v>
      </c>
      <c r="V29" s="23" t="s">
        <v>94</v>
      </c>
      <c r="W29" s="23" t="s">
        <v>2325</v>
      </c>
      <c r="X29" s="23" t="s">
        <v>2326</v>
      </c>
      <c r="Y29" s="23" t="s">
        <v>64</v>
      </c>
      <c r="Z29" s="28">
        <v>46062.0</v>
      </c>
      <c r="AA29" s="28">
        <v>46092.0</v>
      </c>
      <c r="AB29" s="28">
        <v>46092.0</v>
      </c>
      <c r="AC29" s="28"/>
      <c r="AD29" s="29"/>
      <c r="AE29" s="24" t="s">
        <v>65</v>
      </c>
      <c r="AF29" s="23" t="s">
        <v>145</v>
      </c>
      <c r="AG29" s="30">
        <v>370000.0</v>
      </c>
      <c r="AH29" s="31">
        <v>0.02</v>
      </c>
      <c r="AI29" s="32">
        <f t="shared" si="1"/>
        <v>7400</v>
      </c>
      <c r="AJ29" s="33">
        <v>595.0</v>
      </c>
      <c r="AK29" s="34">
        <v>500.0</v>
      </c>
      <c r="AL29" s="34">
        <v>250.0</v>
      </c>
      <c r="AM29" s="34">
        <v>1345.0</v>
      </c>
      <c r="AN29" s="34">
        <v>0.0</v>
      </c>
      <c r="AO29" s="35">
        <f t="shared" ref="AO29:AO30" si="13">sum(AI29,-AN29)*0.4</f>
        <v>2960</v>
      </c>
      <c r="AP29" s="36">
        <v>0.0</v>
      </c>
      <c r="AQ29" s="37" t="s">
        <v>84</v>
      </c>
      <c r="AR29" s="38">
        <f t="shared" si="8"/>
        <v>5785</v>
      </c>
      <c r="AS29" s="39">
        <f t="shared" si="9"/>
        <v>2815</v>
      </c>
      <c r="AT29" s="40">
        <f t="shared" si="10"/>
        <v>2220</v>
      </c>
      <c r="AU29" s="111"/>
      <c r="AV29" s="23" t="s">
        <v>67</v>
      </c>
      <c r="AW29" s="42"/>
      <c r="AX29" s="52"/>
      <c r="AY29" s="23"/>
      <c r="AZ29" s="42"/>
      <c r="BA29" s="42"/>
      <c r="BB29" s="42"/>
      <c r="BC29" s="42"/>
      <c r="BD29" s="42"/>
    </row>
    <row r="30">
      <c r="A30" s="274"/>
      <c r="B30" s="272">
        <v>46101.0</v>
      </c>
      <c r="C30" s="66" t="s">
        <v>2179</v>
      </c>
      <c r="D30" s="273" t="s">
        <v>2327</v>
      </c>
      <c r="E30" s="23" t="s">
        <v>1418</v>
      </c>
      <c r="F30" s="23" t="s">
        <v>84</v>
      </c>
      <c r="G30" s="24" t="s">
        <v>1680</v>
      </c>
      <c r="H30" s="23" t="s">
        <v>71</v>
      </c>
      <c r="I30" s="23">
        <v>92544.0</v>
      </c>
      <c r="J30" s="23" t="s">
        <v>50</v>
      </c>
      <c r="K30" s="23" t="s">
        <v>102</v>
      </c>
      <c r="L30" s="23" t="s">
        <v>172</v>
      </c>
      <c r="M30" s="50"/>
      <c r="N30" s="23" t="s">
        <v>103</v>
      </c>
      <c r="O30" s="25" t="s">
        <v>2328</v>
      </c>
      <c r="P30" s="49" t="s">
        <v>1682</v>
      </c>
      <c r="Q30" s="49" t="s">
        <v>1683</v>
      </c>
      <c r="R30" s="24" t="s">
        <v>1167</v>
      </c>
      <c r="S30" s="23" t="s">
        <v>436</v>
      </c>
      <c r="T30" s="23" t="s">
        <v>60</v>
      </c>
      <c r="U30" s="23" t="s">
        <v>132</v>
      </c>
      <c r="V30" s="23" t="s">
        <v>94</v>
      </c>
      <c r="W30" s="23" t="s">
        <v>2329</v>
      </c>
      <c r="X30" s="23" t="s">
        <v>2330</v>
      </c>
      <c r="Y30" s="23" t="s">
        <v>64</v>
      </c>
      <c r="Z30" s="28">
        <v>46083.0</v>
      </c>
      <c r="AA30" s="28">
        <v>46083.0</v>
      </c>
      <c r="AB30" s="28">
        <v>46083.0</v>
      </c>
      <c r="AC30" s="28"/>
      <c r="AD30" s="29"/>
      <c r="AE30" s="24" t="s">
        <v>124</v>
      </c>
      <c r="AF30" s="23" t="s">
        <v>66</v>
      </c>
      <c r="AG30" s="30">
        <v>240000.0</v>
      </c>
      <c r="AH30" s="31">
        <v>0.03</v>
      </c>
      <c r="AI30" s="32">
        <f t="shared" si="1"/>
        <v>7200</v>
      </c>
      <c r="AJ30" s="33">
        <v>595.0</v>
      </c>
      <c r="AK30" s="34" t="s">
        <v>111</v>
      </c>
      <c r="AL30" s="34" t="s">
        <v>111</v>
      </c>
      <c r="AM30" s="34">
        <v>1250.0</v>
      </c>
      <c r="AN30" s="34">
        <v>0.0</v>
      </c>
      <c r="AO30" s="35">
        <f t="shared" si="13"/>
        <v>2880</v>
      </c>
      <c r="AP30" s="36">
        <v>0.0</v>
      </c>
      <c r="AQ30" s="37" t="s">
        <v>84</v>
      </c>
      <c r="AR30" s="38">
        <f t="shared" si="8"/>
        <v>5570</v>
      </c>
      <c r="AS30" s="39">
        <f t="shared" si="9"/>
        <v>2755</v>
      </c>
      <c r="AT30" s="40">
        <f t="shared" si="10"/>
        <v>2815</v>
      </c>
      <c r="AU30" s="111"/>
      <c r="AV30" s="23"/>
      <c r="AW30" s="42"/>
      <c r="AX30" s="52"/>
      <c r="AY30" s="23"/>
      <c r="AZ30" s="42"/>
      <c r="BA30" s="42"/>
      <c r="BB30" s="42"/>
      <c r="BC30" s="42"/>
      <c r="BD30" s="42"/>
    </row>
    <row r="31">
      <c r="A31" s="66" t="s">
        <v>2178</v>
      </c>
      <c r="B31" s="272">
        <v>46104.0</v>
      </c>
      <c r="C31" s="66" t="s">
        <v>84</v>
      </c>
      <c r="D31" s="273" t="s">
        <v>2331</v>
      </c>
      <c r="E31" s="23" t="s">
        <v>563</v>
      </c>
      <c r="F31" s="23" t="s">
        <v>84</v>
      </c>
      <c r="G31" s="24" t="s">
        <v>1514</v>
      </c>
      <c r="H31" s="23" t="s">
        <v>1515</v>
      </c>
      <c r="I31" s="23">
        <v>91752.0</v>
      </c>
      <c r="J31" s="23" t="s">
        <v>50</v>
      </c>
      <c r="K31" s="23" t="s">
        <v>139</v>
      </c>
      <c r="L31" s="23" t="s">
        <v>73</v>
      </c>
      <c r="M31" s="23" t="s">
        <v>346</v>
      </c>
      <c r="N31" s="23" t="s">
        <v>103</v>
      </c>
      <c r="O31" s="25" t="s">
        <v>1516</v>
      </c>
      <c r="P31" s="26" t="s">
        <v>1517</v>
      </c>
      <c r="Q31" s="27" t="s">
        <v>1518</v>
      </c>
      <c r="R31" s="27" t="s">
        <v>92</v>
      </c>
      <c r="S31" s="23" t="s">
        <v>2332</v>
      </c>
      <c r="T31" s="23" t="s">
        <v>60</v>
      </c>
      <c r="U31" s="23" t="s">
        <v>132</v>
      </c>
      <c r="V31" s="23" t="s">
        <v>94</v>
      </c>
      <c r="W31" s="23" t="s">
        <v>1519</v>
      </c>
      <c r="X31" s="23" t="s">
        <v>1520</v>
      </c>
      <c r="Y31" s="23" t="s">
        <v>64</v>
      </c>
      <c r="Z31" s="28">
        <v>46077.0</v>
      </c>
      <c r="AA31" s="28">
        <v>46107.0</v>
      </c>
      <c r="AB31" s="28">
        <v>46107.0</v>
      </c>
      <c r="AC31" s="28"/>
      <c r="AD31" s="29"/>
      <c r="AE31" s="24" t="s">
        <v>65</v>
      </c>
      <c r="AF31" s="23" t="s">
        <v>801</v>
      </c>
      <c r="AG31" s="30">
        <v>1005000.0</v>
      </c>
      <c r="AH31" s="31">
        <v>0.025</v>
      </c>
      <c r="AI31" s="32">
        <f t="shared" si="1"/>
        <v>25125</v>
      </c>
      <c r="AJ31" s="33">
        <v>595.0</v>
      </c>
      <c r="AK31" s="34">
        <v>500.0</v>
      </c>
      <c r="AL31" s="34">
        <v>250.0</v>
      </c>
      <c r="AM31" s="34">
        <v>995.0</v>
      </c>
      <c r="AN31" s="34">
        <v>0.0</v>
      </c>
      <c r="AO31" s="34">
        <v>0.0</v>
      </c>
      <c r="AP31" s="36">
        <v>0.0</v>
      </c>
      <c r="AQ31" s="37" t="s">
        <v>84</v>
      </c>
      <c r="AR31" s="38">
        <f t="shared" si="8"/>
        <v>26120</v>
      </c>
      <c r="AS31" s="39">
        <f t="shared" si="9"/>
        <v>13157.5</v>
      </c>
      <c r="AT31" s="40">
        <f t="shared" si="10"/>
        <v>12212.5</v>
      </c>
      <c r="AU31" s="14"/>
      <c r="AV31" s="41"/>
      <c r="AW31" s="14"/>
      <c r="AX31" s="23" t="s">
        <v>67</v>
      </c>
      <c r="AY31" s="42"/>
      <c r="AZ31" s="52"/>
      <c r="BA31" s="23"/>
      <c r="BB31" s="42"/>
      <c r="BC31" s="42"/>
      <c r="BD31" s="42"/>
    </row>
    <row r="32">
      <c r="A32" s="66" t="s">
        <v>2186</v>
      </c>
      <c r="B32" s="272">
        <v>46104.0</v>
      </c>
      <c r="C32" s="66" t="s">
        <v>2179</v>
      </c>
      <c r="D32" s="273" t="s">
        <v>2333</v>
      </c>
      <c r="E32" s="23" t="s">
        <v>1418</v>
      </c>
      <c r="F32" s="23" t="s">
        <v>84</v>
      </c>
      <c r="G32" s="24" t="s">
        <v>2238</v>
      </c>
      <c r="H32" s="23" t="s">
        <v>138</v>
      </c>
      <c r="I32" s="23">
        <v>92582.0</v>
      </c>
      <c r="J32" s="23" t="s">
        <v>50</v>
      </c>
      <c r="K32" s="23" t="s">
        <v>424</v>
      </c>
      <c r="L32" s="23" t="s">
        <v>172</v>
      </c>
      <c r="M32" s="50"/>
      <c r="N32" s="23" t="s">
        <v>54</v>
      </c>
      <c r="O32" s="25" t="s">
        <v>2239</v>
      </c>
      <c r="P32" s="26" t="s">
        <v>2240</v>
      </c>
      <c r="Q32" s="26" t="s">
        <v>2241</v>
      </c>
      <c r="R32" s="24" t="s">
        <v>1167</v>
      </c>
      <c r="S32" s="23" t="s">
        <v>420</v>
      </c>
      <c r="T32" s="23" t="s">
        <v>249</v>
      </c>
      <c r="U32" s="23" t="s">
        <v>132</v>
      </c>
      <c r="V32" s="23" t="s">
        <v>94</v>
      </c>
      <c r="W32" s="23" t="s">
        <v>2334</v>
      </c>
      <c r="X32" s="23" t="s">
        <v>2335</v>
      </c>
      <c r="Y32" s="23" t="s">
        <v>64</v>
      </c>
      <c r="Z32" s="28">
        <v>46085.0</v>
      </c>
      <c r="AA32" s="28">
        <v>46115.0</v>
      </c>
      <c r="AB32" s="28">
        <v>46115.0</v>
      </c>
      <c r="AC32" s="28"/>
      <c r="AD32" s="29"/>
      <c r="AE32" s="24" t="s">
        <v>124</v>
      </c>
      <c r="AF32" s="23" t="s">
        <v>167</v>
      </c>
      <c r="AG32" s="30">
        <v>115000.0</v>
      </c>
      <c r="AH32" s="31">
        <v>0.04</v>
      </c>
      <c r="AI32" s="32">
        <f t="shared" si="1"/>
        <v>4600</v>
      </c>
      <c r="AJ32" s="33">
        <v>595.0</v>
      </c>
      <c r="AK32" s="34">
        <v>500.0</v>
      </c>
      <c r="AL32" s="34" t="s">
        <v>82</v>
      </c>
      <c r="AM32" s="34">
        <v>695.0</v>
      </c>
      <c r="AN32" s="34">
        <v>0.0</v>
      </c>
      <c r="AO32" s="34">
        <v>0.0</v>
      </c>
      <c r="AP32" s="36">
        <v>0.0</v>
      </c>
      <c r="AQ32" s="37" t="s">
        <v>202</v>
      </c>
      <c r="AR32" s="38">
        <f t="shared" si="8"/>
        <v>5295</v>
      </c>
      <c r="AS32" s="39">
        <f t="shared" si="9"/>
        <v>1975</v>
      </c>
      <c r="AT32" s="40">
        <f t="shared" si="10"/>
        <v>2820</v>
      </c>
      <c r="AU32" s="14"/>
      <c r="AV32" s="41"/>
      <c r="AW32" s="14"/>
      <c r="AX32" s="23"/>
      <c r="AY32" s="42"/>
      <c r="AZ32" s="52"/>
      <c r="BA32" s="23"/>
      <c r="BB32" s="42"/>
      <c r="BC32" s="42"/>
      <c r="BD32" s="42"/>
    </row>
    <row r="33">
      <c r="A33" s="274"/>
      <c r="B33" s="272">
        <v>46107.0</v>
      </c>
      <c r="C33" s="66" t="s">
        <v>2179</v>
      </c>
      <c r="D33" s="273" t="s">
        <v>2260</v>
      </c>
      <c r="E33" s="23" t="s">
        <v>1418</v>
      </c>
      <c r="F33" s="23" t="s">
        <v>47</v>
      </c>
      <c r="G33" s="24" t="s">
        <v>2336</v>
      </c>
      <c r="H33" s="23" t="s">
        <v>158</v>
      </c>
      <c r="I33" s="23">
        <v>92530.0</v>
      </c>
      <c r="J33" s="23" t="s">
        <v>50</v>
      </c>
      <c r="K33" s="23" t="s">
        <v>341</v>
      </c>
      <c r="L33" s="23" t="s">
        <v>172</v>
      </c>
      <c r="M33" s="50"/>
      <c r="N33" s="23" t="s">
        <v>54</v>
      </c>
      <c r="O33" s="25" t="s">
        <v>2337</v>
      </c>
      <c r="P33" s="26" t="s">
        <v>2338</v>
      </c>
      <c r="Q33" s="26" t="s">
        <v>2339</v>
      </c>
      <c r="R33" s="27" t="s">
        <v>178</v>
      </c>
      <c r="S33" s="23" t="s">
        <v>2242</v>
      </c>
      <c r="T33" s="23" t="s">
        <v>60</v>
      </c>
      <c r="U33" s="23" t="s">
        <v>61</v>
      </c>
      <c r="V33" s="23" t="s">
        <v>178</v>
      </c>
      <c r="W33" s="23" t="s">
        <v>2340</v>
      </c>
      <c r="X33" s="23" t="s">
        <v>2341</v>
      </c>
      <c r="Y33" s="23" t="s">
        <v>64</v>
      </c>
      <c r="Z33" s="28">
        <v>46098.0</v>
      </c>
      <c r="AA33" s="28">
        <v>46119.0</v>
      </c>
      <c r="AB33" s="28">
        <v>46119.0</v>
      </c>
      <c r="AC33" s="28"/>
      <c r="AD33" s="29"/>
      <c r="AE33" s="24" t="s">
        <v>124</v>
      </c>
      <c r="AF33" s="23" t="s">
        <v>66</v>
      </c>
      <c r="AG33" s="30">
        <v>380000.0</v>
      </c>
      <c r="AH33" s="31">
        <v>0.03</v>
      </c>
      <c r="AI33" s="32">
        <f t="shared" si="1"/>
        <v>11400</v>
      </c>
      <c r="AJ33" s="33">
        <v>595.0</v>
      </c>
      <c r="AK33" s="34">
        <v>500.0</v>
      </c>
      <c r="AL33" s="34">
        <v>0.0</v>
      </c>
      <c r="AM33" s="34">
        <v>1345.0</v>
      </c>
      <c r="AN33" s="34">
        <v>0.0</v>
      </c>
      <c r="AO33" s="35">
        <f>sum(AI33,-AN33)*0.4</f>
        <v>4560</v>
      </c>
      <c r="AP33" s="36">
        <v>0.0</v>
      </c>
      <c r="AQ33" s="37" t="s">
        <v>47</v>
      </c>
      <c r="AR33" s="38">
        <f t="shared" si="8"/>
        <v>8185</v>
      </c>
      <c r="AS33" s="39">
        <f t="shared" si="9"/>
        <v>4015</v>
      </c>
      <c r="AT33" s="40">
        <f t="shared" si="10"/>
        <v>3670</v>
      </c>
      <c r="AU33" s="14"/>
      <c r="AV33" s="41"/>
      <c r="AW33" s="14"/>
      <c r="AX33" s="23"/>
      <c r="AY33" s="42"/>
      <c r="AZ33" s="52"/>
      <c r="BA33" s="23"/>
      <c r="BB33" s="42"/>
      <c r="BC33" s="42"/>
      <c r="BD33" s="42"/>
    </row>
    <row r="34">
      <c r="A34" s="274"/>
      <c r="B34" s="272">
        <v>46108.0</v>
      </c>
      <c r="C34" s="66" t="s">
        <v>2179</v>
      </c>
      <c r="D34" s="273" t="s">
        <v>2260</v>
      </c>
      <c r="E34" s="23" t="s">
        <v>1418</v>
      </c>
      <c r="F34" s="23" t="s">
        <v>47</v>
      </c>
      <c r="G34" s="24" t="s">
        <v>2342</v>
      </c>
      <c r="H34" s="23" t="s">
        <v>49</v>
      </c>
      <c r="I34" s="23">
        <v>92586.0</v>
      </c>
      <c r="J34" s="23" t="s">
        <v>50</v>
      </c>
      <c r="K34" s="23" t="s">
        <v>1337</v>
      </c>
      <c r="L34" s="23" t="s">
        <v>52</v>
      </c>
      <c r="M34" s="50"/>
      <c r="N34" s="23" t="s">
        <v>54</v>
      </c>
      <c r="O34" s="25" t="s">
        <v>2343</v>
      </c>
      <c r="P34" s="26" t="s">
        <v>1524</v>
      </c>
      <c r="Q34" s="26" t="s">
        <v>2344</v>
      </c>
      <c r="R34" s="27" t="s">
        <v>2345</v>
      </c>
      <c r="S34" s="47" t="s">
        <v>143</v>
      </c>
      <c r="T34" s="23" t="s">
        <v>60</v>
      </c>
      <c r="U34" s="23" t="s">
        <v>61</v>
      </c>
      <c r="V34" s="23"/>
      <c r="W34" s="23" t="s">
        <v>2346</v>
      </c>
      <c r="X34" s="23" t="s">
        <v>2347</v>
      </c>
      <c r="Y34" s="23" t="s">
        <v>64</v>
      </c>
      <c r="Z34" s="28">
        <v>46093.0</v>
      </c>
      <c r="AA34" s="28">
        <v>46120.0</v>
      </c>
      <c r="AB34" s="28">
        <v>46120.0</v>
      </c>
      <c r="AC34" s="28"/>
      <c r="AD34" s="29"/>
      <c r="AE34" s="24" t="s">
        <v>65</v>
      </c>
      <c r="AF34" s="23" t="s">
        <v>485</v>
      </c>
      <c r="AG34" s="30">
        <v>355000.0</v>
      </c>
      <c r="AH34" s="31">
        <v>0.025</v>
      </c>
      <c r="AI34" s="32">
        <f t="shared" si="1"/>
        <v>8875</v>
      </c>
      <c r="AJ34" s="33">
        <v>595.0</v>
      </c>
      <c r="AK34" s="34">
        <v>500.0</v>
      </c>
      <c r="AL34" s="34" t="s">
        <v>82</v>
      </c>
      <c r="AM34" s="34">
        <v>1095.0</v>
      </c>
      <c r="AN34" s="34">
        <v>0.0</v>
      </c>
      <c r="AO34" s="34">
        <v>0.0</v>
      </c>
      <c r="AP34" s="36">
        <v>0.0</v>
      </c>
      <c r="AQ34" s="37" t="s">
        <v>47</v>
      </c>
      <c r="AR34" s="38">
        <f t="shared" si="8"/>
        <v>9970</v>
      </c>
      <c r="AS34" s="39">
        <f t="shared" si="9"/>
        <v>5032.5</v>
      </c>
      <c r="AT34" s="40">
        <f t="shared" si="10"/>
        <v>4437.5</v>
      </c>
      <c r="AU34" s="14"/>
      <c r="AV34" s="41"/>
      <c r="AW34" s="14"/>
      <c r="AX34" s="23"/>
      <c r="AY34" s="42"/>
      <c r="AZ34" s="52"/>
      <c r="BA34" s="23"/>
      <c r="BB34" s="42"/>
      <c r="BC34" s="42"/>
      <c r="BD34" s="42"/>
    </row>
    <row r="35">
      <c r="A35" s="66" t="s">
        <v>2178</v>
      </c>
      <c r="B35" s="272">
        <v>46108.0</v>
      </c>
      <c r="C35" s="66" t="s">
        <v>84</v>
      </c>
      <c r="D35" s="273" t="s">
        <v>2348</v>
      </c>
      <c r="E35" s="23" t="s">
        <v>563</v>
      </c>
      <c r="F35" s="23" t="s">
        <v>84</v>
      </c>
      <c r="G35" s="24" t="s">
        <v>1624</v>
      </c>
      <c r="H35" s="23" t="s">
        <v>100</v>
      </c>
      <c r="I35" s="23">
        <v>92395.0</v>
      </c>
      <c r="J35" s="23" t="s">
        <v>101</v>
      </c>
      <c r="K35" s="37" t="s">
        <v>88</v>
      </c>
      <c r="L35" s="23" t="s">
        <v>52</v>
      </c>
      <c r="M35" s="50"/>
      <c r="N35" s="23" t="s">
        <v>54</v>
      </c>
      <c r="O35" s="25" t="s">
        <v>1625</v>
      </c>
      <c r="P35" s="26" t="s">
        <v>1626</v>
      </c>
      <c r="Q35" s="26" t="s">
        <v>1627</v>
      </c>
      <c r="R35" s="27" t="s">
        <v>92</v>
      </c>
      <c r="S35" s="23" t="s">
        <v>1628</v>
      </c>
      <c r="T35" s="23" t="s">
        <v>60</v>
      </c>
      <c r="U35" s="23" t="s">
        <v>132</v>
      </c>
      <c r="V35" s="23" t="s">
        <v>94</v>
      </c>
      <c r="W35" s="23" t="s">
        <v>2349</v>
      </c>
      <c r="X35" s="23" t="s">
        <v>2350</v>
      </c>
      <c r="Y35" s="23" t="s">
        <v>64</v>
      </c>
      <c r="Z35" s="28">
        <v>46070.0</v>
      </c>
      <c r="AA35" s="28">
        <v>46100.0</v>
      </c>
      <c r="AB35" s="28">
        <v>46118.0</v>
      </c>
      <c r="AC35" s="28"/>
      <c r="AD35" s="29"/>
      <c r="AE35" s="24" t="s">
        <v>65</v>
      </c>
      <c r="AF35" s="23" t="s">
        <v>66</v>
      </c>
      <c r="AG35" s="30">
        <v>460000.0</v>
      </c>
      <c r="AH35" s="31">
        <v>0.045</v>
      </c>
      <c r="AI35" s="32">
        <f t="shared" si="1"/>
        <v>20700</v>
      </c>
      <c r="AJ35" s="33">
        <v>595.0</v>
      </c>
      <c r="AK35" s="34">
        <v>500.0</v>
      </c>
      <c r="AL35" s="34" t="s">
        <v>82</v>
      </c>
      <c r="AM35" s="34">
        <v>1395.0</v>
      </c>
      <c r="AN35" s="34">
        <v>0.0</v>
      </c>
      <c r="AO35" s="35">
        <f>sum(AI35,-AN35)*0.4</f>
        <v>8280</v>
      </c>
      <c r="AP35" s="36">
        <v>0.0</v>
      </c>
      <c r="AQ35" s="37" t="s">
        <v>84</v>
      </c>
      <c r="AR35" s="38">
        <f t="shared" si="8"/>
        <v>13815</v>
      </c>
      <c r="AS35" s="39">
        <f t="shared" si="9"/>
        <v>6805</v>
      </c>
      <c r="AT35" s="40">
        <f t="shared" si="10"/>
        <v>6510</v>
      </c>
      <c r="AU35" s="14"/>
      <c r="AV35" s="41"/>
      <c r="AW35" s="14"/>
      <c r="AX35" s="23" t="s">
        <v>67</v>
      </c>
      <c r="AY35" s="42"/>
      <c r="AZ35" s="52"/>
      <c r="BA35" s="23"/>
      <c r="BB35" s="42"/>
      <c r="BC35" s="42"/>
      <c r="BD35" s="42"/>
    </row>
    <row r="36">
      <c r="A36" s="274"/>
      <c r="B36" s="272">
        <v>46112.0</v>
      </c>
      <c r="C36" s="274"/>
      <c r="D36" s="273" t="s">
        <v>2351</v>
      </c>
      <c r="E36" s="37" t="s">
        <v>803</v>
      </c>
      <c r="F36" s="37" t="s">
        <v>47</v>
      </c>
      <c r="G36" s="54" t="s">
        <v>2352</v>
      </c>
      <c r="H36" s="37" t="s">
        <v>2353</v>
      </c>
      <c r="I36" s="37">
        <v>92003.0</v>
      </c>
      <c r="J36" s="37" t="s">
        <v>87</v>
      </c>
      <c r="K36" s="37" t="s">
        <v>184</v>
      </c>
      <c r="L36" s="37" t="s">
        <v>73</v>
      </c>
      <c r="M36" s="37" t="s">
        <v>53</v>
      </c>
      <c r="N36" s="37" t="s">
        <v>185</v>
      </c>
      <c r="O36" s="56" t="s">
        <v>2354</v>
      </c>
      <c r="P36" s="49" t="s">
        <v>2355</v>
      </c>
      <c r="Q36" s="49" t="s">
        <v>1050</v>
      </c>
      <c r="R36" s="108" t="s">
        <v>859</v>
      </c>
      <c r="S36" s="37" t="s">
        <v>2356</v>
      </c>
      <c r="T36" s="37"/>
      <c r="U36" s="37"/>
      <c r="V36" s="37"/>
      <c r="W36" s="37" t="s">
        <v>2357</v>
      </c>
      <c r="X36" s="37" t="s">
        <v>2358</v>
      </c>
      <c r="Y36" s="37" t="s">
        <v>64</v>
      </c>
      <c r="Z36" s="60">
        <v>46037.0</v>
      </c>
      <c r="AA36" s="60">
        <v>46068.0</v>
      </c>
      <c r="AB36" s="60">
        <v>46068.0</v>
      </c>
      <c r="AC36" s="37"/>
      <c r="AD36" s="29"/>
      <c r="AE36" s="54" t="s">
        <v>65</v>
      </c>
      <c r="AF36" s="37" t="s">
        <v>167</v>
      </c>
      <c r="AG36" s="30">
        <v>1040000.0</v>
      </c>
      <c r="AH36" s="31">
        <v>0.025</v>
      </c>
      <c r="AI36" s="32">
        <f t="shared" si="1"/>
        <v>26000</v>
      </c>
      <c r="AJ36" s="33">
        <v>595.0</v>
      </c>
      <c r="AK36" s="34">
        <v>0.0</v>
      </c>
      <c r="AL36" s="34">
        <v>0.0</v>
      </c>
      <c r="AM36" s="34">
        <v>0.0</v>
      </c>
      <c r="AN36" s="34">
        <v>0.0</v>
      </c>
      <c r="AO36" s="34">
        <v>0.0</v>
      </c>
      <c r="AP36" s="36">
        <v>0.0</v>
      </c>
      <c r="AQ36" s="37" t="s">
        <v>168</v>
      </c>
      <c r="AR36" s="38">
        <f t="shared" si="8"/>
        <v>26000</v>
      </c>
      <c r="AS36" s="39">
        <f t="shared" si="9"/>
        <v>3195</v>
      </c>
      <c r="AT36" s="40">
        <f t="shared" si="10"/>
        <v>22805</v>
      </c>
      <c r="AU36" s="14"/>
      <c r="AV36" s="41"/>
      <c r="AW36" s="14"/>
      <c r="AX36" s="37"/>
      <c r="AY36" s="42"/>
      <c r="AZ36" s="37" t="s">
        <v>2259</v>
      </c>
      <c r="BA36" s="37" t="s">
        <v>69</v>
      </c>
      <c r="BB36" s="42"/>
      <c r="BC36" s="42"/>
      <c r="BD36" s="42"/>
    </row>
    <row r="37">
      <c r="A37" s="204"/>
      <c r="B37" s="272">
        <v>46112.0</v>
      </c>
      <c r="C37" s="227" t="s">
        <v>2179</v>
      </c>
      <c r="D37" s="280" t="s">
        <v>2359</v>
      </c>
      <c r="E37" s="23" t="s">
        <v>1418</v>
      </c>
      <c r="F37" s="23" t="s">
        <v>47</v>
      </c>
      <c r="G37" s="24" t="s">
        <v>2360</v>
      </c>
      <c r="H37" s="23" t="s">
        <v>497</v>
      </c>
      <c r="I37" s="23">
        <v>92592.0</v>
      </c>
      <c r="J37" s="23" t="s">
        <v>50</v>
      </c>
      <c r="K37" s="23" t="s">
        <v>742</v>
      </c>
      <c r="L37" s="23" t="s">
        <v>172</v>
      </c>
      <c r="M37" s="23" t="s">
        <v>53</v>
      </c>
      <c r="N37" s="23" t="s">
        <v>103</v>
      </c>
      <c r="O37" s="25" t="s">
        <v>2361</v>
      </c>
      <c r="P37" s="26" t="s">
        <v>2362</v>
      </c>
      <c r="Q37" s="26" t="s">
        <v>2363</v>
      </c>
      <c r="R37" s="27" t="s">
        <v>208</v>
      </c>
      <c r="S37" s="23" t="s">
        <v>2364</v>
      </c>
      <c r="T37" s="23"/>
      <c r="U37" s="23" t="s">
        <v>61</v>
      </c>
      <c r="V37" s="23"/>
      <c r="W37" s="23" t="s">
        <v>2365</v>
      </c>
      <c r="X37" s="23" t="s">
        <v>2366</v>
      </c>
      <c r="Y37" s="23" t="s">
        <v>64</v>
      </c>
      <c r="Z37" s="28">
        <v>46090.0</v>
      </c>
      <c r="AA37" s="28">
        <v>46118.0</v>
      </c>
      <c r="AB37" s="28">
        <v>46118.0</v>
      </c>
      <c r="AC37" s="28"/>
      <c r="AD37" s="29"/>
      <c r="AE37" s="24" t="s">
        <v>414</v>
      </c>
      <c r="AF37" s="23" t="s">
        <v>167</v>
      </c>
      <c r="AG37" s="30">
        <v>400000.0</v>
      </c>
      <c r="AH37" s="31">
        <v>0.02</v>
      </c>
      <c r="AI37" s="32">
        <f t="shared" si="1"/>
        <v>8000</v>
      </c>
      <c r="AJ37" s="33">
        <v>595.0</v>
      </c>
      <c r="AK37" s="34" t="s">
        <v>111</v>
      </c>
      <c r="AL37" s="34" t="s">
        <v>111</v>
      </c>
      <c r="AM37" s="34">
        <v>595.0</v>
      </c>
      <c r="AN37" s="34">
        <v>0.0</v>
      </c>
      <c r="AO37" s="34">
        <v>0.0</v>
      </c>
      <c r="AP37" s="36">
        <v>0.0</v>
      </c>
      <c r="AQ37" s="37" t="s">
        <v>202</v>
      </c>
      <c r="AR37" s="38">
        <f t="shared" si="8"/>
        <v>8595</v>
      </c>
      <c r="AS37" s="39">
        <f t="shared" si="9"/>
        <v>2995</v>
      </c>
      <c r="AT37" s="40">
        <f t="shared" si="10"/>
        <v>5600</v>
      </c>
      <c r="AU37" s="14"/>
      <c r="AV37" s="41"/>
      <c r="AW37" s="14"/>
      <c r="AX37" s="23"/>
      <c r="AY37" s="42"/>
      <c r="AZ37" s="52"/>
      <c r="BA37" s="23"/>
      <c r="BB37" s="42"/>
      <c r="BC37" s="42"/>
      <c r="BD37" s="42"/>
    </row>
    <row r="38">
      <c r="A38" s="66" t="s">
        <v>2264</v>
      </c>
      <c r="B38" s="272">
        <v>46112.0</v>
      </c>
      <c r="C38" s="66" t="s">
        <v>2179</v>
      </c>
      <c r="D38" s="273" t="s">
        <v>2367</v>
      </c>
      <c r="E38" s="23" t="s">
        <v>1418</v>
      </c>
      <c r="F38" s="23" t="s">
        <v>84</v>
      </c>
      <c r="G38" s="24" t="s">
        <v>1707</v>
      </c>
      <c r="H38" s="23" t="s">
        <v>1708</v>
      </c>
      <c r="I38" s="23">
        <v>92344.0</v>
      </c>
      <c r="J38" s="23" t="s">
        <v>101</v>
      </c>
      <c r="K38" s="23" t="s">
        <v>139</v>
      </c>
      <c r="L38" s="23" t="s">
        <v>73</v>
      </c>
      <c r="M38" s="50"/>
      <c r="N38" s="23" t="s">
        <v>103</v>
      </c>
      <c r="O38" s="49" t="s">
        <v>1709</v>
      </c>
      <c r="P38" s="49" t="s">
        <v>2368</v>
      </c>
      <c r="Q38" s="108" t="s">
        <v>1711</v>
      </c>
      <c r="R38" s="27" t="s">
        <v>92</v>
      </c>
      <c r="S38" s="47" t="s">
        <v>143</v>
      </c>
      <c r="T38" s="23" t="s">
        <v>93</v>
      </c>
      <c r="U38" s="23" t="s">
        <v>132</v>
      </c>
      <c r="V38" s="23" t="s">
        <v>94</v>
      </c>
      <c r="W38" s="23" t="s">
        <v>2369</v>
      </c>
      <c r="X38" s="23" t="s">
        <v>2370</v>
      </c>
      <c r="Y38" s="23" t="s">
        <v>64</v>
      </c>
      <c r="Z38" s="28">
        <v>46099.0</v>
      </c>
      <c r="AA38" s="28">
        <v>46114.0</v>
      </c>
      <c r="AB38" s="172">
        <v>46115.0</v>
      </c>
      <c r="AC38" s="28"/>
      <c r="AD38" s="29"/>
      <c r="AE38" s="24" t="s">
        <v>65</v>
      </c>
      <c r="AF38" s="23" t="s">
        <v>66</v>
      </c>
      <c r="AG38" s="30">
        <v>575000.0</v>
      </c>
      <c r="AH38" s="31">
        <v>0.025</v>
      </c>
      <c r="AI38" s="32">
        <f t="shared" si="1"/>
        <v>14375</v>
      </c>
      <c r="AJ38" s="33">
        <v>595.0</v>
      </c>
      <c r="AK38" s="34">
        <v>500.0</v>
      </c>
      <c r="AL38" s="34">
        <v>250.0</v>
      </c>
      <c r="AM38" s="34">
        <v>995.0</v>
      </c>
      <c r="AN38" s="34">
        <v>0.0</v>
      </c>
      <c r="AO38" s="35">
        <f>sum(AI38,-AN38)*0.4</f>
        <v>5750</v>
      </c>
      <c r="AP38" s="36">
        <v>0.0</v>
      </c>
      <c r="AQ38" s="37" t="s">
        <v>84</v>
      </c>
      <c r="AR38" s="38">
        <f t="shared" si="8"/>
        <v>9620</v>
      </c>
      <c r="AS38" s="39">
        <f t="shared" si="9"/>
        <v>4907.5</v>
      </c>
      <c r="AT38" s="40">
        <f t="shared" si="10"/>
        <v>3962.5</v>
      </c>
      <c r="AU38" s="14"/>
      <c r="AV38" s="41"/>
      <c r="AW38" s="14"/>
      <c r="AX38" s="23" t="s">
        <v>67</v>
      </c>
      <c r="AY38" s="42"/>
      <c r="AZ38" s="52"/>
      <c r="BA38" s="23"/>
      <c r="BB38" s="42"/>
      <c r="BC38" s="42"/>
      <c r="BD38" s="42"/>
    </row>
    <row r="39">
      <c r="A39" s="66" t="s">
        <v>2178</v>
      </c>
      <c r="B39" s="272">
        <v>46120.0</v>
      </c>
      <c r="C39" s="66" t="s">
        <v>2179</v>
      </c>
      <c r="D39" s="273" t="s">
        <v>2371</v>
      </c>
      <c r="E39" s="23" t="s">
        <v>1418</v>
      </c>
      <c r="F39" s="23" t="s">
        <v>47</v>
      </c>
      <c r="G39" s="24" t="s">
        <v>2372</v>
      </c>
      <c r="H39" s="23" t="s">
        <v>389</v>
      </c>
      <c r="I39" s="23">
        <v>92083.0</v>
      </c>
      <c r="J39" s="23" t="s">
        <v>87</v>
      </c>
      <c r="K39" s="23" t="s">
        <v>1087</v>
      </c>
      <c r="L39" s="23" t="s">
        <v>73</v>
      </c>
      <c r="M39" s="50"/>
      <c r="N39" s="23" t="s">
        <v>103</v>
      </c>
      <c r="O39" s="25" t="s">
        <v>2373</v>
      </c>
      <c r="P39" s="43"/>
      <c r="Q39" s="26" t="s">
        <v>2374</v>
      </c>
      <c r="R39" s="27" t="s">
        <v>2375</v>
      </c>
      <c r="S39" s="23" t="s">
        <v>59</v>
      </c>
      <c r="T39" s="23" t="s">
        <v>60</v>
      </c>
      <c r="U39" s="23" t="s">
        <v>61</v>
      </c>
      <c r="V39" s="23" t="s">
        <v>178</v>
      </c>
      <c r="W39" s="23" t="s">
        <v>2376</v>
      </c>
      <c r="X39" s="23" t="s">
        <v>2377</v>
      </c>
      <c r="Y39" s="23" t="s">
        <v>109</v>
      </c>
      <c r="Z39" s="28">
        <v>46117.0</v>
      </c>
      <c r="AA39" s="28">
        <v>46139.0</v>
      </c>
      <c r="AB39" s="28">
        <v>46139.0</v>
      </c>
      <c r="AC39" s="28"/>
      <c r="AD39" s="29"/>
      <c r="AE39" s="24" t="s">
        <v>65</v>
      </c>
      <c r="AF39" s="23"/>
      <c r="AG39" s="30">
        <v>799999.0</v>
      </c>
      <c r="AH39" s="31">
        <v>0.03</v>
      </c>
      <c r="AI39" s="32">
        <f t="shared" si="1"/>
        <v>23999.97</v>
      </c>
      <c r="AJ39" s="33">
        <v>595.0</v>
      </c>
      <c r="AK39" s="34">
        <v>500.0</v>
      </c>
      <c r="AL39" s="34" t="s">
        <v>82</v>
      </c>
      <c r="AM39" s="34">
        <v>1095.0</v>
      </c>
      <c r="AN39" s="34">
        <v>0.0</v>
      </c>
      <c r="AO39" s="34">
        <v>0.0</v>
      </c>
      <c r="AP39" s="36">
        <v>0.0</v>
      </c>
      <c r="AQ39" s="37" t="s">
        <v>47</v>
      </c>
      <c r="AR39" s="38">
        <f t="shared" si="8"/>
        <v>25094.97</v>
      </c>
      <c r="AS39" s="39">
        <f t="shared" si="9"/>
        <v>12594.985</v>
      </c>
      <c r="AT39" s="40">
        <f t="shared" si="10"/>
        <v>11999.985</v>
      </c>
      <c r="AU39" s="14"/>
      <c r="AV39" s="41"/>
      <c r="AW39" s="14"/>
      <c r="AX39" s="23"/>
      <c r="AY39" s="42"/>
      <c r="AZ39" s="52"/>
      <c r="BA39" s="23"/>
      <c r="BB39" s="42"/>
      <c r="BC39" s="42"/>
      <c r="BD39" s="42"/>
    </row>
    <row r="40">
      <c r="A40" s="274"/>
      <c r="B40" s="272">
        <v>46121.0</v>
      </c>
      <c r="C40" s="66" t="s">
        <v>2179</v>
      </c>
      <c r="D40" s="273" t="s">
        <v>2270</v>
      </c>
      <c r="E40" s="23" t="s">
        <v>46</v>
      </c>
      <c r="F40" s="23" t="s">
        <v>84</v>
      </c>
      <c r="G40" s="24" t="s">
        <v>2378</v>
      </c>
      <c r="H40" s="23" t="s">
        <v>1908</v>
      </c>
      <c r="I40" s="23">
        <v>90620.0</v>
      </c>
      <c r="J40" s="23" t="s">
        <v>1909</v>
      </c>
      <c r="K40" s="23" t="s">
        <v>646</v>
      </c>
      <c r="L40" s="23" t="s">
        <v>73</v>
      </c>
      <c r="M40" s="50"/>
      <c r="N40" s="23" t="s">
        <v>54</v>
      </c>
      <c r="O40" s="25" t="s">
        <v>2379</v>
      </c>
      <c r="P40" s="26" t="s">
        <v>1911</v>
      </c>
      <c r="Q40" s="26" t="s">
        <v>1912</v>
      </c>
      <c r="R40" s="27" t="s">
        <v>92</v>
      </c>
      <c r="S40" s="23" t="s">
        <v>2380</v>
      </c>
      <c r="T40" s="23" t="s">
        <v>60</v>
      </c>
      <c r="U40" s="23" t="s">
        <v>132</v>
      </c>
      <c r="V40" s="23" t="s">
        <v>94</v>
      </c>
      <c r="W40" s="23" t="s">
        <v>2381</v>
      </c>
      <c r="X40" s="23" t="s">
        <v>1915</v>
      </c>
      <c r="Y40" s="23" t="s">
        <v>109</v>
      </c>
      <c r="Z40" s="28">
        <v>46120.0</v>
      </c>
      <c r="AA40" s="28">
        <v>46150.0</v>
      </c>
      <c r="AB40" s="28">
        <v>46150.0</v>
      </c>
      <c r="AC40" s="28"/>
      <c r="AD40" s="29"/>
      <c r="AE40" s="24" t="s">
        <v>65</v>
      </c>
      <c r="AF40" s="23" t="s">
        <v>167</v>
      </c>
      <c r="AG40" s="30">
        <v>1000000.0</v>
      </c>
      <c r="AH40" s="31">
        <v>0.03</v>
      </c>
      <c r="AI40" s="32">
        <f t="shared" si="1"/>
        <v>30000</v>
      </c>
      <c r="AJ40" s="33">
        <v>595.0</v>
      </c>
      <c r="AK40" s="34">
        <v>500.0</v>
      </c>
      <c r="AL40" s="34" t="s">
        <v>82</v>
      </c>
      <c r="AM40" s="34">
        <v>1350.0</v>
      </c>
      <c r="AN40" s="34">
        <v>0.0</v>
      </c>
      <c r="AO40" s="34">
        <v>0.0</v>
      </c>
      <c r="AP40" s="36">
        <v>0.0</v>
      </c>
      <c r="AQ40" s="37" t="s">
        <v>212</v>
      </c>
      <c r="AR40" s="38">
        <f t="shared" si="8"/>
        <v>31350</v>
      </c>
      <c r="AS40" s="39">
        <f t="shared" si="9"/>
        <v>6595</v>
      </c>
      <c r="AT40" s="40">
        <f t="shared" si="10"/>
        <v>24255</v>
      </c>
      <c r="AU40" s="14"/>
      <c r="AV40" s="41"/>
      <c r="AW40" s="14"/>
      <c r="AX40" s="23"/>
      <c r="AY40" s="42"/>
      <c r="AZ40" s="52"/>
      <c r="BA40" s="23"/>
      <c r="BB40" s="42"/>
      <c r="BC40" s="42"/>
      <c r="BD40" s="42"/>
    </row>
    <row r="41">
      <c r="A41" s="66" t="s">
        <v>2178</v>
      </c>
      <c r="B41" s="272">
        <v>46125.0</v>
      </c>
      <c r="C41" s="66" t="s">
        <v>2179</v>
      </c>
      <c r="D41" s="273" t="s">
        <v>2382</v>
      </c>
      <c r="E41" s="23" t="s">
        <v>46</v>
      </c>
      <c r="F41" s="23" t="s">
        <v>47</v>
      </c>
      <c r="G41" s="24" t="s">
        <v>2383</v>
      </c>
      <c r="H41" s="23" t="s">
        <v>316</v>
      </c>
      <c r="I41" s="23">
        <v>92563.0</v>
      </c>
      <c r="J41" s="23" t="s">
        <v>50</v>
      </c>
      <c r="K41" s="23" t="s">
        <v>226</v>
      </c>
      <c r="L41" s="23" t="s">
        <v>172</v>
      </c>
      <c r="M41" s="50"/>
      <c r="N41" s="23" t="s">
        <v>54</v>
      </c>
      <c r="O41" s="25" t="s">
        <v>1832</v>
      </c>
      <c r="P41" s="26" t="s">
        <v>1833</v>
      </c>
      <c r="Q41" s="26" t="s">
        <v>1834</v>
      </c>
      <c r="R41" s="27" t="s">
        <v>79</v>
      </c>
      <c r="S41" s="23" t="s">
        <v>59</v>
      </c>
      <c r="T41" s="23" t="s">
        <v>60</v>
      </c>
      <c r="U41" s="23" t="s">
        <v>61</v>
      </c>
      <c r="V41" s="86" t="s">
        <v>79</v>
      </c>
      <c r="W41" s="23" t="s">
        <v>2384</v>
      </c>
      <c r="X41" s="23" t="s">
        <v>2385</v>
      </c>
      <c r="Y41" s="23" t="s">
        <v>109</v>
      </c>
      <c r="Z41" s="28">
        <v>46122.0</v>
      </c>
      <c r="AA41" s="28">
        <v>46143.0</v>
      </c>
      <c r="AB41" s="28">
        <v>46143.0</v>
      </c>
      <c r="AC41" s="28"/>
      <c r="AD41" s="29"/>
      <c r="AE41" s="24" t="s">
        <v>65</v>
      </c>
      <c r="AF41" s="23" t="s">
        <v>66</v>
      </c>
      <c r="AG41" s="30">
        <v>744900.0</v>
      </c>
      <c r="AH41" s="31">
        <v>0.025</v>
      </c>
      <c r="AI41" s="32">
        <f t="shared" si="1"/>
        <v>18622.5</v>
      </c>
      <c r="AJ41" s="33">
        <v>595.0</v>
      </c>
      <c r="AK41" s="34">
        <v>500.0</v>
      </c>
      <c r="AL41" s="34" t="s">
        <v>82</v>
      </c>
      <c r="AM41" s="34">
        <v>1095.0</v>
      </c>
      <c r="AN41" s="34">
        <v>0.0</v>
      </c>
      <c r="AO41" s="34">
        <v>0.0</v>
      </c>
      <c r="AP41" s="36">
        <v>0.0</v>
      </c>
      <c r="AQ41" s="37" t="s">
        <v>47</v>
      </c>
      <c r="AR41" s="38">
        <f t="shared" si="8"/>
        <v>19717.5</v>
      </c>
      <c r="AS41" s="39">
        <f t="shared" si="9"/>
        <v>9906.25</v>
      </c>
      <c r="AT41" s="40">
        <f t="shared" si="10"/>
        <v>9311.25</v>
      </c>
      <c r="AU41" s="14"/>
      <c r="AV41" s="41"/>
      <c r="AW41" s="14"/>
      <c r="AX41" s="23"/>
      <c r="AY41" s="42"/>
      <c r="AZ41" s="52"/>
      <c r="BA41" s="23"/>
      <c r="BB41" s="42"/>
      <c r="BC41" s="42"/>
      <c r="BD41" s="42"/>
    </row>
    <row r="42">
      <c r="A42" s="274"/>
      <c r="B42" s="272">
        <v>46129.0</v>
      </c>
      <c r="C42" s="66" t="s">
        <v>2179</v>
      </c>
      <c r="D42" s="273" t="s">
        <v>2386</v>
      </c>
      <c r="E42" s="23" t="s">
        <v>46</v>
      </c>
      <c r="F42" s="23" t="s">
        <v>84</v>
      </c>
      <c r="G42" s="24" t="s">
        <v>1864</v>
      </c>
      <c r="H42" s="23" t="s">
        <v>49</v>
      </c>
      <c r="I42" s="23">
        <v>92587.0</v>
      </c>
      <c r="J42" s="23" t="s">
        <v>50</v>
      </c>
      <c r="K42" s="23" t="s">
        <v>1073</v>
      </c>
      <c r="L42" s="23" t="s">
        <v>73</v>
      </c>
      <c r="M42" s="50"/>
      <c r="N42" s="23" t="s">
        <v>54</v>
      </c>
      <c r="O42" s="25" t="s">
        <v>1865</v>
      </c>
      <c r="P42" s="26" t="s">
        <v>1866</v>
      </c>
      <c r="Q42" s="26" t="s">
        <v>1867</v>
      </c>
      <c r="R42" s="27" t="s">
        <v>92</v>
      </c>
      <c r="S42" s="23" t="s">
        <v>2387</v>
      </c>
      <c r="T42" s="23" t="s">
        <v>664</v>
      </c>
      <c r="U42" s="23" t="s">
        <v>132</v>
      </c>
      <c r="V42" s="23" t="s">
        <v>94</v>
      </c>
      <c r="W42" s="23" t="s">
        <v>2388</v>
      </c>
      <c r="X42" s="23" t="s">
        <v>2389</v>
      </c>
      <c r="Y42" s="23" t="s">
        <v>109</v>
      </c>
      <c r="Z42" s="28">
        <v>46119.0</v>
      </c>
      <c r="AA42" s="28">
        <v>46149.0</v>
      </c>
      <c r="AB42" s="28">
        <v>46149.0</v>
      </c>
      <c r="AC42" s="28"/>
      <c r="AD42" s="29"/>
      <c r="AE42" s="24" t="s">
        <v>65</v>
      </c>
      <c r="AF42" s="23" t="s">
        <v>167</v>
      </c>
      <c r="AG42" s="30">
        <v>525000.0</v>
      </c>
      <c r="AH42" s="31">
        <v>0.03</v>
      </c>
      <c r="AI42" s="32">
        <f t="shared" si="1"/>
        <v>15750</v>
      </c>
      <c r="AJ42" s="33" t="s">
        <v>82</v>
      </c>
      <c r="AK42" s="34">
        <v>0.0</v>
      </c>
      <c r="AL42" s="34" t="s">
        <v>82</v>
      </c>
      <c r="AM42" s="34">
        <v>0.0</v>
      </c>
      <c r="AN42" s="34">
        <v>0.0</v>
      </c>
      <c r="AO42" s="34">
        <v>0.0</v>
      </c>
      <c r="AP42" s="36">
        <v>0.0</v>
      </c>
      <c r="AQ42" s="37" t="s">
        <v>212</v>
      </c>
      <c r="AR42" s="38">
        <f t="shared" si="8"/>
        <v>16345</v>
      </c>
      <c r="AS42" s="39">
        <f t="shared" si="9"/>
        <v>3745</v>
      </c>
      <c r="AT42" s="40">
        <f t="shared" si="10"/>
        <v>12600</v>
      </c>
      <c r="AU42" s="14"/>
      <c r="AV42" s="41"/>
      <c r="AW42" s="14"/>
      <c r="AX42" s="23" t="s">
        <v>67</v>
      </c>
      <c r="AY42" s="42"/>
      <c r="AZ42" s="52"/>
      <c r="BA42" s="23"/>
      <c r="BB42" s="42"/>
      <c r="BC42" s="42"/>
      <c r="BD42" s="42"/>
    </row>
    <row r="43">
      <c r="A43" s="274"/>
      <c r="B43" s="272">
        <v>46140.0</v>
      </c>
      <c r="C43" s="66" t="s">
        <v>2179</v>
      </c>
      <c r="D43" s="273" t="s">
        <v>2390</v>
      </c>
      <c r="E43" s="23" t="s">
        <v>46</v>
      </c>
      <c r="F43" s="23" t="s">
        <v>47</v>
      </c>
      <c r="G43" s="24" t="s">
        <v>2391</v>
      </c>
      <c r="H43" s="23" t="s">
        <v>49</v>
      </c>
      <c r="I43" s="23">
        <v>92586.0</v>
      </c>
      <c r="J43" s="23" t="s">
        <v>50</v>
      </c>
      <c r="K43" s="37" t="s">
        <v>88</v>
      </c>
      <c r="L43" s="23" t="s">
        <v>52</v>
      </c>
      <c r="M43" s="50"/>
      <c r="N43" s="23" t="s">
        <v>54</v>
      </c>
      <c r="O43" s="25" t="s">
        <v>2392</v>
      </c>
      <c r="P43" s="26" t="s">
        <v>2393</v>
      </c>
      <c r="Q43" s="26" t="s">
        <v>2394</v>
      </c>
      <c r="R43" s="27" t="s">
        <v>1690</v>
      </c>
      <c r="S43" s="23" t="s">
        <v>59</v>
      </c>
      <c r="T43" s="23" t="s">
        <v>60</v>
      </c>
      <c r="U43" s="23" t="s">
        <v>61</v>
      </c>
      <c r="V43" s="23" t="s">
        <v>859</v>
      </c>
      <c r="W43" s="23" t="s">
        <v>2395</v>
      </c>
      <c r="X43" s="23" t="s">
        <v>2396</v>
      </c>
      <c r="Y43" s="23" t="s">
        <v>64</v>
      </c>
      <c r="Z43" s="28">
        <v>46106.0</v>
      </c>
      <c r="AA43" s="28">
        <v>46146.0</v>
      </c>
      <c r="AB43" s="28">
        <v>46161.0</v>
      </c>
      <c r="AC43" s="28"/>
      <c r="AD43" s="29"/>
      <c r="AE43" s="24" t="s">
        <v>65</v>
      </c>
      <c r="AF43" s="23" t="s">
        <v>2397</v>
      </c>
      <c r="AG43" s="30">
        <v>385000.0</v>
      </c>
      <c r="AH43" s="31">
        <v>0.03</v>
      </c>
      <c r="AI43" s="32">
        <f t="shared" si="1"/>
        <v>11550</v>
      </c>
      <c r="AJ43" s="33">
        <v>595.0</v>
      </c>
      <c r="AK43" s="34">
        <v>500.0</v>
      </c>
      <c r="AL43" s="34">
        <v>0.0</v>
      </c>
      <c r="AM43" s="34">
        <v>1395.0</v>
      </c>
      <c r="AN43" s="34">
        <v>0.0</v>
      </c>
      <c r="AO43" s="34">
        <v>0.0</v>
      </c>
      <c r="AP43" s="36">
        <v>0.0</v>
      </c>
      <c r="AQ43" s="37" t="s">
        <v>47</v>
      </c>
      <c r="AR43" s="38">
        <f t="shared" si="8"/>
        <v>12945</v>
      </c>
      <c r="AS43" s="39">
        <f t="shared" si="9"/>
        <v>6370</v>
      </c>
      <c r="AT43" s="40">
        <f t="shared" si="10"/>
        <v>6075</v>
      </c>
      <c r="AU43" s="14"/>
      <c r="AV43" s="41"/>
      <c r="AW43" s="14"/>
      <c r="AX43" s="23" t="s">
        <v>67</v>
      </c>
      <c r="AY43" s="42"/>
      <c r="AZ43" s="52"/>
      <c r="BA43" s="23"/>
      <c r="BB43" s="42"/>
      <c r="BC43" s="42"/>
      <c r="BD43" s="42"/>
    </row>
    <row r="44">
      <c r="A44" s="66" t="s">
        <v>2186</v>
      </c>
      <c r="B44" s="272">
        <v>46141.0</v>
      </c>
      <c r="C44" s="66" t="s">
        <v>2179</v>
      </c>
      <c r="D44" s="273" t="s">
        <v>2398</v>
      </c>
      <c r="E44" s="23" t="s">
        <v>1418</v>
      </c>
      <c r="F44" s="23" t="s">
        <v>84</v>
      </c>
      <c r="G44" s="24" t="s">
        <v>2399</v>
      </c>
      <c r="H44" s="23" t="s">
        <v>71</v>
      </c>
      <c r="I44" s="37">
        <v>92543.0</v>
      </c>
      <c r="J44" s="23" t="s">
        <v>50</v>
      </c>
      <c r="K44" s="23" t="s">
        <v>288</v>
      </c>
      <c r="L44" s="23" t="s">
        <v>73</v>
      </c>
      <c r="M44" s="23" t="s">
        <v>215</v>
      </c>
      <c r="N44" s="23" t="s">
        <v>103</v>
      </c>
      <c r="O44" s="49" t="s">
        <v>2400</v>
      </c>
      <c r="P44" s="49" t="s">
        <v>2401</v>
      </c>
      <c r="Q44" s="49" t="s">
        <v>2402</v>
      </c>
      <c r="R44" s="27" t="s">
        <v>92</v>
      </c>
      <c r="S44" s="23" t="s">
        <v>2403</v>
      </c>
      <c r="T44" s="23" t="s">
        <v>60</v>
      </c>
      <c r="U44" s="23" t="s">
        <v>132</v>
      </c>
      <c r="V44" s="23" t="s">
        <v>94</v>
      </c>
      <c r="W44" s="23" t="s">
        <v>2404</v>
      </c>
      <c r="X44" s="281" t="s">
        <v>2405</v>
      </c>
      <c r="Y44" s="23" t="s">
        <v>64</v>
      </c>
      <c r="Z44" s="28">
        <v>46108.0</v>
      </c>
      <c r="AA44" s="28">
        <v>46139.0</v>
      </c>
      <c r="AB44" s="28">
        <v>46139.0</v>
      </c>
      <c r="AC44" s="28"/>
      <c r="AD44" s="29"/>
      <c r="AE44" s="24" t="s">
        <v>65</v>
      </c>
      <c r="AF44" s="23" t="s">
        <v>156</v>
      </c>
      <c r="AG44" s="30">
        <v>330000.0</v>
      </c>
      <c r="AH44" s="31">
        <v>0.02</v>
      </c>
      <c r="AI44" s="32">
        <f t="shared" si="1"/>
        <v>6600</v>
      </c>
      <c r="AJ44" s="33">
        <v>595.0</v>
      </c>
      <c r="AK44" s="34">
        <v>500.0</v>
      </c>
      <c r="AL44" s="34">
        <v>250.0</v>
      </c>
      <c r="AM44" s="34">
        <v>1395.0</v>
      </c>
      <c r="AN44" s="34">
        <v>0.0</v>
      </c>
      <c r="AO44" s="34">
        <v>0.0</v>
      </c>
      <c r="AP44" s="36">
        <v>0.0</v>
      </c>
      <c r="AQ44" s="37" t="s">
        <v>84</v>
      </c>
      <c r="AR44" s="38">
        <f t="shared" si="8"/>
        <v>7995</v>
      </c>
      <c r="AS44" s="39">
        <f t="shared" si="9"/>
        <v>3895</v>
      </c>
      <c r="AT44" s="40">
        <f t="shared" si="10"/>
        <v>3350</v>
      </c>
      <c r="AU44" s="14"/>
      <c r="AV44" s="41"/>
      <c r="AW44" s="14"/>
      <c r="AX44" s="23" t="s">
        <v>67</v>
      </c>
      <c r="AY44" s="42"/>
      <c r="AZ44" s="37" t="s">
        <v>2406</v>
      </c>
      <c r="BA44" s="37" t="s">
        <v>69</v>
      </c>
      <c r="BB44" s="42"/>
      <c r="BC44" s="42"/>
      <c r="BD44" s="42"/>
    </row>
    <row r="45">
      <c r="A45" s="66" t="s">
        <v>2186</v>
      </c>
      <c r="B45" s="272">
        <v>46141.0</v>
      </c>
      <c r="C45" s="66" t="s">
        <v>84</v>
      </c>
      <c r="D45" s="273" t="s">
        <v>2407</v>
      </c>
      <c r="E45" s="23" t="s">
        <v>1418</v>
      </c>
      <c r="F45" s="23" t="s">
        <v>84</v>
      </c>
      <c r="G45" s="24" t="s">
        <v>2408</v>
      </c>
      <c r="H45" s="23" t="s">
        <v>2409</v>
      </c>
      <c r="I45" s="23">
        <v>92004.0</v>
      </c>
      <c r="J45" s="23" t="s">
        <v>87</v>
      </c>
      <c r="K45" s="23" t="s">
        <v>288</v>
      </c>
      <c r="L45" s="23" t="s">
        <v>73</v>
      </c>
      <c r="M45" s="23" t="s">
        <v>346</v>
      </c>
      <c r="N45" s="23" t="s">
        <v>103</v>
      </c>
      <c r="O45" s="25" t="s">
        <v>2410</v>
      </c>
      <c r="P45" s="26" t="s">
        <v>2411</v>
      </c>
      <c r="Q45" s="26" t="s">
        <v>2412</v>
      </c>
      <c r="R45" s="27" t="s">
        <v>2413</v>
      </c>
      <c r="S45" s="23"/>
      <c r="T45" s="23"/>
      <c r="U45" s="23"/>
      <c r="V45" s="23"/>
      <c r="W45" s="23" t="s">
        <v>2414</v>
      </c>
      <c r="X45" s="23" t="s">
        <v>2415</v>
      </c>
      <c r="Y45" s="23" t="s">
        <v>109</v>
      </c>
      <c r="Z45" s="28">
        <v>46115.0</v>
      </c>
      <c r="AA45" s="28">
        <v>46134.0</v>
      </c>
      <c r="AB45" s="28">
        <v>46134.0</v>
      </c>
      <c r="AC45" s="28"/>
      <c r="AD45" s="29"/>
      <c r="AE45" s="24" t="s">
        <v>65</v>
      </c>
      <c r="AF45" s="23" t="s">
        <v>145</v>
      </c>
      <c r="AG45" s="30">
        <v>450000.0</v>
      </c>
      <c r="AH45" s="31">
        <v>0.025</v>
      </c>
      <c r="AI45" s="32">
        <f t="shared" si="1"/>
        <v>11250</v>
      </c>
      <c r="AJ45" s="33" t="s">
        <v>82</v>
      </c>
      <c r="AK45" s="34">
        <v>0.0</v>
      </c>
      <c r="AL45" s="34" t="s">
        <v>82</v>
      </c>
      <c r="AM45" s="34">
        <v>0.0</v>
      </c>
      <c r="AN45" s="34">
        <v>0.0</v>
      </c>
      <c r="AO45" s="35">
        <f t="shared" ref="AO45:AO46" si="14">sum(AI45,-AN45)*0.4</f>
        <v>4500</v>
      </c>
      <c r="AP45" s="36">
        <v>0.0</v>
      </c>
      <c r="AQ45" s="37" t="s">
        <v>84</v>
      </c>
      <c r="AR45" s="38">
        <f t="shared" si="8"/>
        <v>7345</v>
      </c>
      <c r="AS45" s="39">
        <f t="shared" si="9"/>
        <v>3970</v>
      </c>
      <c r="AT45" s="40">
        <f t="shared" si="10"/>
        <v>3375</v>
      </c>
      <c r="AU45" s="14"/>
      <c r="AV45" s="41"/>
      <c r="AW45" s="14"/>
      <c r="AX45" s="23"/>
      <c r="AY45" s="42"/>
      <c r="AZ45" s="37" t="s">
        <v>2416</v>
      </c>
      <c r="BA45" s="37" t="s">
        <v>114</v>
      </c>
      <c r="BB45" s="42"/>
      <c r="BC45" s="42"/>
      <c r="BD45" s="42"/>
    </row>
    <row r="46">
      <c r="A46" s="66" t="s">
        <v>2178</v>
      </c>
      <c r="B46" s="272">
        <v>46142.0</v>
      </c>
      <c r="C46" s="66" t="s">
        <v>2179</v>
      </c>
      <c r="D46" s="273" t="s">
        <v>2417</v>
      </c>
      <c r="E46" s="23" t="s">
        <v>46</v>
      </c>
      <c r="F46" s="23" t="s">
        <v>84</v>
      </c>
      <c r="G46" s="24" t="s">
        <v>2418</v>
      </c>
      <c r="H46" s="23" t="s">
        <v>702</v>
      </c>
      <c r="I46" s="23">
        <v>92880.0</v>
      </c>
      <c r="J46" s="23" t="s">
        <v>50</v>
      </c>
      <c r="K46" s="23" t="s">
        <v>102</v>
      </c>
      <c r="L46" s="23" t="s">
        <v>172</v>
      </c>
      <c r="M46" s="23" t="s">
        <v>346</v>
      </c>
      <c r="N46" s="23" t="s">
        <v>103</v>
      </c>
      <c r="O46" s="66" t="s">
        <v>2419</v>
      </c>
      <c r="P46" s="26" t="s">
        <v>2420</v>
      </c>
      <c r="Q46" s="27" t="s">
        <v>2421</v>
      </c>
      <c r="R46" s="27" t="s">
        <v>92</v>
      </c>
      <c r="S46" s="23" t="s">
        <v>350</v>
      </c>
      <c r="T46" s="23" t="s">
        <v>93</v>
      </c>
      <c r="U46" s="23" t="s">
        <v>132</v>
      </c>
      <c r="V46" s="23" t="s">
        <v>94</v>
      </c>
      <c r="W46" s="240" t="s">
        <v>2422</v>
      </c>
      <c r="X46" s="23" t="s">
        <v>2423</v>
      </c>
      <c r="Y46" s="23" t="s">
        <v>64</v>
      </c>
      <c r="Z46" s="28">
        <v>46093.0</v>
      </c>
      <c r="AA46" s="28">
        <v>46132.0</v>
      </c>
      <c r="AB46" s="28">
        <v>46147.0</v>
      </c>
      <c r="AC46" s="28"/>
      <c r="AD46" s="29"/>
      <c r="AE46" s="24" t="s">
        <v>65</v>
      </c>
      <c r="AF46" s="23" t="s">
        <v>145</v>
      </c>
      <c r="AG46" s="30">
        <v>410000.0</v>
      </c>
      <c r="AH46" s="31">
        <v>0.03</v>
      </c>
      <c r="AI46" s="32">
        <f t="shared" si="1"/>
        <v>12300</v>
      </c>
      <c r="AJ46" s="33">
        <v>595.0</v>
      </c>
      <c r="AK46" s="34" t="s">
        <v>111</v>
      </c>
      <c r="AL46" s="34" t="s">
        <v>111</v>
      </c>
      <c r="AM46" s="34">
        <v>0.0</v>
      </c>
      <c r="AN46" s="34">
        <v>0.0</v>
      </c>
      <c r="AO46" s="35">
        <f t="shared" si="14"/>
        <v>4920</v>
      </c>
      <c r="AP46" s="36">
        <v>0.0</v>
      </c>
      <c r="AQ46" s="37" t="s">
        <v>84</v>
      </c>
      <c r="AR46" s="38">
        <f t="shared" si="8"/>
        <v>7380</v>
      </c>
      <c r="AS46" s="39">
        <f t="shared" si="9"/>
        <v>4285</v>
      </c>
      <c r="AT46" s="40">
        <f t="shared" si="10"/>
        <v>3095</v>
      </c>
      <c r="AU46" s="14"/>
      <c r="AV46" s="41"/>
      <c r="AW46" s="14"/>
      <c r="AX46" s="23"/>
      <c r="AY46" s="42"/>
      <c r="AZ46" s="23" t="s">
        <v>2424</v>
      </c>
      <c r="BA46" s="23" t="s">
        <v>69</v>
      </c>
      <c r="BB46" s="42"/>
      <c r="BC46" s="42"/>
      <c r="BD46" s="42"/>
    </row>
    <row r="47">
      <c r="A47" s="66" t="s">
        <v>2264</v>
      </c>
      <c r="B47" s="272">
        <v>46148.0</v>
      </c>
      <c r="C47" s="66" t="s">
        <v>2179</v>
      </c>
      <c r="D47" s="273" t="s">
        <v>2425</v>
      </c>
      <c r="E47" s="23" t="s">
        <v>46</v>
      </c>
      <c r="F47" s="23" t="s">
        <v>84</v>
      </c>
      <c r="G47" s="24" t="s">
        <v>370</v>
      </c>
      <c r="H47" s="23" t="s">
        <v>316</v>
      </c>
      <c r="I47" s="23">
        <v>92562.0</v>
      </c>
      <c r="J47" s="23" t="s">
        <v>50</v>
      </c>
      <c r="K47" s="23" t="s">
        <v>255</v>
      </c>
      <c r="L47" s="23" t="s">
        <v>256</v>
      </c>
      <c r="M47" s="23" t="s">
        <v>371</v>
      </c>
      <c r="N47" s="23" t="s">
        <v>103</v>
      </c>
      <c r="O47" s="25" t="s">
        <v>372</v>
      </c>
      <c r="P47" s="26" t="s">
        <v>373</v>
      </c>
      <c r="Q47" s="26" t="s">
        <v>374</v>
      </c>
      <c r="R47" s="27" t="s">
        <v>92</v>
      </c>
      <c r="S47" s="23" t="s">
        <v>2426</v>
      </c>
      <c r="T47" s="23" t="s">
        <v>93</v>
      </c>
      <c r="U47" s="23" t="s">
        <v>132</v>
      </c>
      <c r="V47" s="23" t="s">
        <v>94</v>
      </c>
      <c r="W47" s="23" t="s">
        <v>2427</v>
      </c>
      <c r="X47" s="23" t="s">
        <v>2428</v>
      </c>
      <c r="Y47" s="23" t="s">
        <v>109</v>
      </c>
      <c r="Z47" s="28">
        <v>46139.0</v>
      </c>
      <c r="AA47" s="28">
        <v>46164.0</v>
      </c>
      <c r="AB47" s="28">
        <v>46164.0</v>
      </c>
      <c r="AC47" s="28"/>
      <c r="AD47" s="29"/>
      <c r="AE47" s="24" t="s">
        <v>65</v>
      </c>
      <c r="AF47" s="23" t="s">
        <v>375</v>
      </c>
      <c r="AG47" s="30">
        <v>1105000.0</v>
      </c>
      <c r="AH47" s="31">
        <v>0.03</v>
      </c>
      <c r="AI47" s="32">
        <f t="shared" si="1"/>
        <v>33150</v>
      </c>
      <c r="AJ47" s="33">
        <v>595.0</v>
      </c>
      <c r="AK47" s="34">
        <v>0.0</v>
      </c>
      <c r="AL47" s="34" t="s">
        <v>1206</v>
      </c>
      <c r="AM47" s="34">
        <v>695.0</v>
      </c>
      <c r="AN47" s="34">
        <v>0.0</v>
      </c>
      <c r="AO47" s="34">
        <v>0.0</v>
      </c>
      <c r="AP47" s="36">
        <v>0.0</v>
      </c>
      <c r="AQ47" s="37" t="s">
        <v>168</v>
      </c>
      <c r="AR47" s="38">
        <f t="shared" si="8"/>
        <v>33845</v>
      </c>
      <c r="AS47" s="39">
        <f t="shared" si="9"/>
        <v>3910</v>
      </c>
      <c r="AT47" s="40">
        <f t="shared" si="10"/>
        <v>29935</v>
      </c>
      <c r="AU47" s="14"/>
      <c r="AV47" s="41"/>
      <c r="AW47" s="14"/>
      <c r="AX47" s="23"/>
      <c r="AY47" s="42"/>
      <c r="AZ47" s="23" t="s">
        <v>2429</v>
      </c>
      <c r="BA47" s="23" t="s">
        <v>69</v>
      </c>
      <c r="BB47" s="42"/>
      <c r="BC47" s="42"/>
      <c r="BD47" s="42"/>
    </row>
    <row r="48">
      <c r="A48" s="274"/>
      <c r="B48" s="272">
        <v>46153.0</v>
      </c>
      <c r="C48" s="66" t="s">
        <v>2179</v>
      </c>
      <c r="D48" s="282" t="s">
        <v>2430</v>
      </c>
      <c r="E48" s="23" t="s">
        <v>98</v>
      </c>
      <c r="F48" s="23" t="s">
        <v>84</v>
      </c>
      <c r="G48" s="24" t="s">
        <v>126</v>
      </c>
      <c r="H48" s="23" t="s">
        <v>49</v>
      </c>
      <c r="I48" s="23">
        <v>92584.0</v>
      </c>
      <c r="J48" s="23" t="s">
        <v>50</v>
      </c>
      <c r="K48" s="23" t="s">
        <v>51</v>
      </c>
      <c r="L48" s="23" t="s">
        <v>52</v>
      </c>
      <c r="M48" s="50"/>
      <c r="N48" s="23" t="s">
        <v>54</v>
      </c>
      <c r="O48" s="25" t="s">
        <v>127</v>
      </c>
      <c r="P48" s="26" t="s">
        <v>128</v>
      </c>
      <c r="Q48" s="26" t="s">
        <v>129</v>
      </c>
      <c r="R48" s="27" t="s">
        <v>130</v>
      </c>
      <c r="S48" s="23" t="s">
        <v>2431</v>
      </c>
      <c r="T48" s="23" t="s">
        <v>60</v>
      </c>
      <c r="U48" s="23" t="s">
        <v>132</v>
      </c>
      <c r="V48" s="23" t="s">
        <v>94</v>
      </c>
      <c r="W48" s="23" t="s">
        <v>2432</v>
      </c>
      <c r="X48" s="23" t="s">
        <v>2433</v>
      </c>
      <c r="Y48" s="23" t="s">
        <v>109</v>
      </c>
      <c r="Z48" s="28">
        <v>46150.0</v>
      </c>
      <c r="AA48" s="28">
        <v>46181.0</v>
      </c>
      <c r="AB48" s="28">
        <v>46181.0</v>
      </c>
      <c r="AC48" s="28"/>
      <c r="AD48" s="29"/>
      <c r="AE48" s="24" t="s">
        <v>65</v>
      </c>
      <c r="AF48" s="23" t="s">
        <v>66</v>
      </c>
      <c r="AG48" s="30">
        <v>650000.0</v>
      </c>
      <c r="AH48" s="31">
        <v>0.05</v>
      </c>
      <c r="AI48" s="32">
        <f t="shared" si="1"/>
        <v>32500</v>
      </c>
      <c r="AJ48" s="33">
        <v>595.0</v>
      </c>
      <c r="AK48" s="34">
        <v>500.0</v>
      </c>
      <c r="AL48" s="34" t="s">
        <v>82</v>
      </c>
      <c r="AM48" s="34">
        <v>1395.0</v>
      </c>
      <c r="AN48" s="34">
        <v>0.0</v>
      </c>
      <c r="AO48" s="34">
        <f>AI48*0.4</f>
        <v>13000</v>
      </c>
      <c r="AP48" s="36">
        <v>0.0</v>
      </c>
      <c r="AQ48" s="37" t="s">
        <v>84</v>
      </c>
      <c r="AR48" s="38">
        <f t="shared" si="8"/>
        <v>20895</v>
      </c>
      <c r="AS48" s="39">
        <f t="shared" si="9"/>
        <v>10345</v>
      </c>
      <c r="AT48" s="40">
        <f t="shared" si="10"/>
        <v>10050</v>
      </c>
      <c r="AU48" s="14"/>
      <c r="AV48" s="41"/>
      <c r="AW48" s="14"/>
      <c r="AX48" s="23"/>
      <c r="AY48" s="42"/>
      <c r="AZ48" s="52"/>
      <c r="BA48" s="23"/>
      <c r="BB48" s="42"/>
      <c r="BC48" s="42"/>
      <c r="BD48" s="42"/>
    </row>
    <row r="49">
      <c r="A49" s="66" t="s">
        <v>2178</v>
      </c>
      <c r="B49" s="272">
        <v>46163.0</v>
      </c>
      <c r="C49" s="66" t="s">
        <v>2179</v>
      </c>
      <c r="D49" s="273" t="s">
        <v>2434</v>
      </c>
      <c r="E49" s="23" t="s">
        <v>98</v>
      </c>
      <c r="F49" s="23" t="s">
        <v>47</v>
      </c>
      <c r="G49" s="24" t="s">
        <v>2435</v>
      </c>
      <c r="H49" s="23" t="s">
        <v>170</v>
      </c>
      <c r="I49" s="23">
        <v>92596.0</v>
      </c>
      <c r="J49" s="23" t="s">
        <v>50</v>
      </c>
      <c r="K49" s="23" t="s">
        <v>51</v>
      </c>
      <c r="L49" s="23" t="s">
        <v>52</v>
      </c>
      <c r="M49" s="50"/>
      <c r="N49" s="23" t="s">
        <v>54</v>
      </c>
      <c r="O49" s="25" t="s">
        <v>2436</v>
      </c>
      <c r="P49" s="26" t="s">
        <v>2437</v>
      </c>
      <c r="Q49" s="26" t="s">
        <v>2438</v>
      </c>
      <c r="R49" s="27" t="s">
        <v>1430</v>
      </c>
      <c r="S49" s="23" t="s">
        <v>2439</v>
      </c>
      <c r="T49" s="23" t="s">
        <v>737</v>
      </c>
      <c r="U49" s="23" t="s">
        <v>61</v>
      </c>
      <c r="V49" s="23" t="s">
        <v>2440</v>
      </c>
      <c r="W49" s="23" t="s">
        <v>2441</v>
      </c>
      <c r="X49" s="23" t="s">
        <v>2442</v>
      </c>
      <c r="Y49" s="23" t="s">
        <v>109</v>
      </c>
      <c r="Z49" s="28">
        <v>46157.0</v>
      </c>
      <c r="AA49" s="28">
        <v>46188.0</v>
      </c>
      <c r="AB49" s="28">
        <v>46188.0</v>
      </c>
      <c r="AC49" s="28"/>
      <c r="AD49" s="29"/>
      <c r="AE49" s="24" t="s">
        <v>65</v>
      </c>
      <c r="AF49" s="23"/>
      <c r="AG49" s="30">
        <v>575000.0</v>
      </c>
      <c r="AH49" s="31">
        <v>0.025</v>
      </c>
      <c r="AI49" s="32">
        <f t="shared" si="1"/>
        <v>14375</v>
      </c>
      <c r="AJ49" s="33">
        <v>595.0</v>
      </c>
      <c r="AK49" s="34">
        <v>500.0</v>
      </c>
      <c r="AL49" s="34" t="s">
        <v>82</v>
      </c>
      <c r="AM49" s="34">
        <v>1095.0</v>
      </c>
      <c r="AN49" s="34">
        <v>0.0</v>
      </c>
      <c r="AO49" s="34">
        <v>0.0</v>
      </c>
      <c r="AP49" s="36">
        <v>0.0</v>
      </c>
      <c r="AQ49" s="37" t="s">
        <v>47</v>
      </c>
      <c r="AR49" s="38">
        <f t="shared" si="8"/>
        <v>15470</v>
      </c>
      <c r="AS49" s="39">
        <f t="shared" si="9"/>
        <v>7782.5</v>
      </c>
      <c r="AT49" s="40">
        <f t="shared" si="10"/>
        <v>7187.5</v>
      </c>
      <c r="AU49" s="14"/>
      <c r="AV49" s="41"/>
      <c r="AW49" s="14"/>
      <c r="AX49" s="23"/>
      <c r="AY49" s="42"/>
      <c r="AZ49" s="52"/>
      <c r="BA49" s="23"/>
      <c r="BB49" s="42"/>
      <c r="BC49" s="42"/>
      <c r="BD49" s="42"/>
    </row>
    <row r="50">
      <c r="A50" s="274"/>
      <c r="B50" s="272">
        <v>46164.0</v>
      </c>
      <c r="C50" s="66" t="s">
        <v>2179</v>
      </c>
      <c r="D50" s="273" t="s">
        <v>2260</v>
      </c>
      <c r="E50" s="23" t="s">
        <v>98</v>
      </c>
      <c r="F50" s="23" t="s">
        <v>47</v>
      </c>
      <c r="G50" s="24" t="s">
        <v>2443</v>
      </c>
      <c r="H50" s="23" t="s">
        <v>158</v>
      </c>
      <c r="I50" s="23">
        <v>92532.0</v>
      </c>
      <c r="J50" s="23" t="s">
        <v>50</v>
      </c>
      <c r="K50" s="23" t="s">
        <v>117</v>
      </c>
      <c r="L50" s="23" t="s">
        <v>52</v>
      </c>
      <c r="M50" s="50"/>
      <c r="N50" s="23" t="s">
        <v>103</v>
      </c>
      <c r="O50" s="25" t="s">
        <v>2444</v>
      </c>
      <c r="P50" s="114" t="s">
        <v>2445</v>
      </c>
      <c r="Q50" s="26" t="s">
        <v>2446</v>
      </c>
      <c r="R50" s="27" t="s">
        <v>2447</v>
      </c>
      <c r="S50" s="23" t="s">
        <v>2448</v>
      </c>
      <c r="T50" s="23" t="s">
        <v>60</v>
      </c>
      <c r="U50" s="23" t="s">
        <v>61</v>
      </c>
      <c r="V50" s="23"/>
      <c r="W50" s="23" t="s">
        <v>2449</v>
      </c>
      <c r="X50" s="23" t="s">
        <v>2450</v>
      </c>
      <c r="Y50" s="23" t="s">
        <v>109</v>
      </c>
      <c r="Z50" s="28">
        <v>46149.0</v>
      </c>
      <c r="AA50" s="28">
        <v>46174.0</v>
      </c>
      <c r="AB50" s="28">
        <v>46174.0</v>
      </c>
      <c r="AC50" s="28"/>
      <c r="AD50" s="29"/>
      <c r="AE50" s="24" t="s">
        <v>65</v>
      </c>
      <c r="AF50" s="23" t="s">
        <v>167</v>
      </c>
      <c r="AG50" s="30">
        <v>515000.0</v>
      </c>
      <c r="AH50" s="31">
        <v>0.025</v>
      </c>
      <c r="AI50" s="32">
        <f t="shared" si="1"/>
        <v>12875</v>
      </c>
      <c r="AJ50" s="33">
        <v>595.0</v>
      </c>
      <c r="AK50" s="34">
        <v>500.0</v>
      </c>
      <c r="AL50" s="34" t="s">
        <v>82</v>
      </c>
      <c r="AM50" s="34">
        <v>1095.0</v>
      </c>
      <c r="AN50" s="34">
        <v>0.0</v>
      </c>
      <c r="AO50" s="34">
        <v>0.0</v>
      </c>
      <c r="AP50" s="36">
        <v>0.0</v>
      </c>
      <c r="AQ50" s="37" t="s">
        <v>212</v>
      </c>
      <c r="AR50" s="38">
        <f t="shared" si="8"/>
        <v>13970</v>
      </c>
      <c r="AS50" s="39">
        <f t="shared" si="9"/>
        <v>3170</v>
      </c>
      <c r="AT50" s="40">
        <f t="shared" si="10"/>
        <v>10300</v>
      </c>
      <c r="AU50" s="14"/>
      <c r="AV50" s="41"/>
      <c r="AW50" s="14"/>
      <c r="AX50" s="23"/>
      <c r="AY50" s="42"/>
      <c r="AZ50" s="52"/>
      <c r="BA50" s="23"/>
      <c r="BB50" s="42"/>
      <c r="BC50" s="42"/>
      <c r="BD50" s="42"/>
    </row>
    <row r="51">
      <c r="A51" s="66" t="s">
        <v>2178</v>
      </c>
      <c r="B51" s="272">
        <v>46164.0</v>
      </c>
      <c r="C51" s="66" t="s">
        <v>2179</v>
      </c>
      <c r="D51" s="273" t="s">
        <v>2451</v>
      </c>
      <c r="E51" s="23" t="s">
        <v>98</v>
      </c>
      <c r="F51" s="23" t="s">
        <v>47</v>
      </c>
      <c r="G51" s="24" t="s">
        <v>2452</v>
      </c>
      <c r="H51" s="23" t="s">
        <v>86</v>
      </c>
      <c r="I51" s="23">
        <v>92058.0</v>
      </c>
      <c r="J51" s="23" t="s">
        <v>87</v>
      </c>
      <c r="K51" s="23" t="s">
        <v>390</v>
      </c>
      <c r="L51" s="23" t="s">
        <v>172</v>
      </c>
      <c r="M51" s="23" t="s">
        <v>53</v>
      </c>
      <c r="N51" s="23" t="s">
        <v>103</v>
      </c>
      <c r="O51" s="25" t="s">
        <v>2453</v>
      </c>
      <c r="P51" s="43"/>
      <c r="Q51" s="26" t="s">
        <v>2454</v>
      </c>
      <c r="R51" s="27" t="s">
        <v>2455</v>
      </c>
      <c r="S51" s="23"/>
      <c r="T51" s="23" t="s">
        <v>60</v>
      </c>
      <c r="U51" s="23" t="s">
        <v>61</v>
      </c>
      <c r="V51" s="23"/>
      <c r="W51" s="23" t="s">
        <v>2456</v>
      </c>
      <c r="X51" s="23" t="s">
        <v>2457</v>
      </c>
      <c r="Y51" s="23" t="s">
        <v>109</v>
      </c>
      <c r="Z51" s="28">
        <v>46156.0</v>
      </c>
      <c r="AA51" s="28">
        <v>46185.0</v>
      </c>
      <c r="AB51" s="28">
        <v>46185.0</v>
      </c>
      <c r="AC51" s="28"/>
      <c r="AD51" s="29"/>
      <c r="AE51" s="24" t="s">
        <v>124</v>
      </c>
      <c r="AF51" s="23" t="s">
        <v>66</v>
      </c>
      <c r="AG51" s="30">
        <v>375000.0</v>
      </c>
      <c r="AH51" s="31">
        <v>0.02</v>
      </c>
      <c r="AI51" s="32">
        <f t="shared" si="1"/>
        <v>7500</v>
      </c>
      <c r="AJ51" s="33">
        <v>595.0</v>
      </c>
      <c r="AK51" s="34">
        <v>500.0</v>
      </c>
      <c r="AL51" s="34" t="s">
        <v>82</v>
      </c>
      <c r="AM51" s="34">
        <v>1095.0</v>
      </c>
      <c r="AN51" s="34">
        <v>0.0</v>
      </c>
      <c r="AO51" s="34">
        <f>AI51*0.4</f>
        <v>3000</v>
      </c>
      <c r="AP51" s="36">
        <v>0.0</v>
      </c>
      <c r="AQ51" s="37" t="s">
        <v>84</v>
      </c>
      <c r="AR51" s="38">
        <f t="shared" si="8"/>
        <v>5595</v>
      </c>
      <c r="AS51" s="39">
        <f t="shared" si="9"/>
        <v>2845</v>
      </c>
      <c r="AT51" s="40">
        <f t="shared" si="10"/>
        <v>2250</v>
      </c>
      <c r="AU51" s="14"/>
      <c r="AV51" s="41"/>
      <c r="AW51" s="14"/>
      <c r="AX51" s="23"/>
      <c r="AY51" s="42"/>
      <c r="AZ51" s="37" t="s">
        <v>181</v>
      </c>
      <c r="BA51" s="37" t="s">
        <v>69</v>
      </c>
      <c r="BB51" s="42"/>
      <c r="BC51" s="42"/>
      <c r="BD51" s="42"/>
    </row>
    <row r="52">
      <c r="A52" s="66" t="s">
        <v>2178</v>
      </c>
      <c r="B52" s="272">
        <v>46174.0</v>
      </c>
      <c r="C52" s="66" t="s">
        <v>2458</v>
      </c>
      <c r="D52" s="273" t="s">
        <v>2459</v>
      </c>
      <c r="E52" s="23" t="s">
        <v>46</v>
      </c>
      <c r="F52" s="23" t="s">
        <v>47</v>
      </c>
      <c r="G52" s="24" t="s">
        <v>2460</v>
      </c>
      <c r="H52" s="23" t="s">
        <v>316</v>
      </c>
      <c r="I52" s="23">
        <v>92563.0</v>
      </c>
      <c r="J52" s="23" t="s">
        <v>50</v>
      </c>
      <c r="K52" s="23" t="s">
        <v>362</v>
      </c>
      <c r="L52" s="23" t="s">
        <v>52</v>
      </c>
      <c r="M52" s="50"/>
      <c r="N52" s="23" t="s">
        <v>103</v>
      </c>
      <c r="O52" s="25" t="s">
        <v>2461</v>
      </c>
      <c r="P52" s="26" t="s">
        <v>364</v>
      </c>
      <c r="Q52" s="27" t="s">
        <v>2462</v>
      </c>
      <c r="R52" s="27" t="s">
        <v>239</v>
      </c>
      <c r="S52" s="23" t="s">
        <v>2463</v>
      </c>
      <c r="T52" s="23" t="s">
        <v>707</v>
      </c>
      <c r="U52" s="23" t="s">
        <v>61</v>
      </c>
      <c r="V52" s="23" t="s">
        <v>672</v>
      </c>
      <c r="W52" s="23" t="s">
        <v>2464</v>
      </c>
      <c r="X52" s="23" t="s">
        <v>2465</v>
      </c>
      <c r="Y52" s="23" t="s">
        <v>64</v>
      </c>
      <c r="Z52" s="28">
        <v>46104.0</v>
      </c>
      <c r="AA52" s="172"/>
      <c r="AB52" s="61"/>
      <c r="AC52" s="28"/>
      <c r="AD52" s="29"/>
      <c r="AE52" s="24" t="s">
        <v>65</v>
      </c>
      <c r="AF52" s="23" t="s">
        <v>66</v>
      </c>
      <c r="AG52" s="30">
        <v>715000.0</v>
      </c>
      <c r="AH52" s="31">
        <v>0.025</v>
      </c>
      <c r="AI52" s="32">
        <f t="shared" si="1"/>
        <v>17875</v>
      </c>
      <c r="AJ52" s="33">
        <v>595.0</v>
      </c>
      <c r="AK52" s="34">
        <v>0.0</v>
      </c>
      <c r="AL52" s="34">
        <v>0.0</v>
      </c>
      <c r="AM52" s="34">
        <v>0.0</v>
      </c>
      <c r="AN52" s="34">
        <v>0.0</v>
      </c>
      <c r="AO52" s="35">
        <f t="shared" ref="AO52:AO53" si="15">sum(AI52,-AN52)*0.4</f>
        <v>7150</v>
      </c>
      <c r="AP52" s="36">
        <v>0.0</v>
      </c>
      <c r="AQ52" s="37" t="s">
        <v>47</v>
      </c>
      <c r="AR52" s="38">
        <f t="shared" si="8"/>
        <v>10725</v>
      </c>
      <c r="AS52" s="39">
        <f t="shared" si="9"/>
        <v>5957.5</v>
      </c>
      <c r="AT52" s="40">
        <f t="shared" si="10"/>
        <v>4767.5</v>
      </c>
      <c r="AU52" s="14"/>
      <c r="AV52" s="41"/>
      <c r="AW52" s="14"/>
      <c r="AX52" s="23"/>
      <c r="AY52" s="42"/>
      <c r="AZ52" s="52"/>
      <c r="BA52" s="23"/>
      <c r="BB52" s="42"/>
      <c r="BC52" s="42"/>
      <c r="BD52" s="42"/>
    </row>
    <row r="53">
      <c r="A53" s="66" t="s">
        <v>2178</v>
      </c>
      <c r="B53" s="272">
        <v>46177.0</v>
      </c>
      <c r="C53" s="66" t="s">
        <v>2458</v>
      </c>
      <c r="D53" s="273" t="s">
        <v>2466</v>
      </c>
      <c r="E53" s="23" t="s">
        <v>98</v>
      </c>
      <c r="F53" s="23" t="s">
        <v>47</v>
      </c>
      <c r="G53" s="24" t="s">
        <v>2467</v>
      </c>
      <c r="H53" s="23" t="s">
        <v>702</v>
      </c>
      <c r="I53" s="23">
        <v>92880.0</v>
      </c>
      <c r="J53" s="23" t="s">
        <v>50</v>
      </c>
      <c r="K53" s="23" t="s">
        <v>102</v>
      </c>
      <c r="L53" s="23" t="s">
        <v>172</v>
      </c>
      <c r="M53" s="23" t="s">
        <v>346</v>
      </c>
      <c r="N53" s="23" t="s">
        <v>103</v>
      </c>
      <c r="O53" s="66" t="s">
        <v>2419</v>
      </c>
      <c r="P53" s="26" t="s">
        <v>2420</v>
      </c>
      <c r="Q53" s="27" t="s">
        <v>2421</v>
      </c>
      <c r="R53" s="27" t="s">
        <v>2468</v>
      </c>
      <c r="S53" s="23" t="s">
        <v>493</v>
      </c>
      <c r="T53" s="23" t="s">
        <v>343</v>
      </c>
      <c r="U53" s="23" t="s">
        <v>1553</v>
      </c>
      <c r="V53" s="23" t="s">
        <v>164</v>
      </c>
      <c r="W53" s="47" t="s">
        <v>680</v>
      </c>
      <c r="X53" s="47" t="s">
        <v>680</v>
      </c>
      <c r="Y53" s="23" t="s">
        <v>64</v>
      </c>
      <c r="Z53" s="28">
        <v>46104.0</v>
      </c>
      <c r="AA53" s="28">
        <v>46142.0</v>
      </c>
      <c r="AB53" s="28">
        <v>46185.0</v>
      </c>
      <c r="AC53" s="28"/>
      <c r="AD53" s="29"/>
      <c r="AE53" s="24" t="s">
        <v>343</v>
      </c>
      <c r="AF53" s="23" t="s">
        <v>145</v>
      </c>
      <c r="AG53" s="30">
        <v>647990.0</v>
      </c>
      <c r="AH53" s="51">
        <v>0.0</v>
      </c>
      <c r="AI53" s="62">
        <v>20000.0</v>
      </c>
      <c r="AJ53" s="33">
        <v>595.0</v>
      </c>
      <c r="AK53" s="34" t="s">
        <v>111</v>
      </c>
      <c r="AL53" s="34">
        <v>0.0</v>
      </c>
      <c r="AM53" s="34">
        <v>0.0</v>
      </c>
      <c r="AN53" s="34">
        <v>0.0</v>
      </c>
      <c r="AO53" s="35">
        <f t="shared" si="15"/>
        <v>8000</v>
      </c>
      <c r="AP53" s="36">
        <v>0.0</v>
      </c>
      <c r="AQ53" s="37" t="s">
        <v>47</v>
      </c>
      <c r="AR53" s="38">
        <f t="shared" si="8"/>
        <v>12000</v>
      </c>
      <c r="AS53" s="39">
        <f t="shared" si="9"/>
        <v>6595</v>
      </c>
      <c r="AT53" s="40">
        <f t="shared" si="10"/>
        <v>5405</v>
      </c>
      <c r="AU53" s="14"/>
      <c r="AV53" s="41"/>
      <c r="AW53" s="14"/>
      <c r="AX53" s="23"/>
      <c r="AY53" s="42"/>
      <c r="AZ53" s="37" t="s">
        <v>2469</v>
      </c>
      <c r="BA53" s="37" t="s">
        <v>114</v>
      </c>
      <c r="BB53" s="42"/>
      <c r="BC53" s="42"/>
      <c r="BD53" s="42"/>
    </row>
    <row r="54">
      <c r="A54" s="274"/>
      <c r="B54" s="272">
        <v>46182.0</v>
      </c>
      <c r="C54" s="66" t="s">
        <v>2179</v>
      </c>
      <c r="D54" s="273" t="s">
        <v>2260</v>
      </c>
      <c r="E54" s="23" t="s">
        <v>98</v>
      </c>
      <c r="F54" s="23" t="s">
        <v>47</v>
      </c>
      <c r="G54" s="24" t="s">
        <v>541</v>
      </c>
      <c r="H54" s="23" t="s">
        <v>316</v>
      </c>
      <c r="I54" s="23">
        <v>92562.0</v>
      </c>
      <c r="J54" s="23" t="s">
        <v>50</v>
      </c>
      <c r="K54" s="23" t="s">
        <v>542</v>
      </c>
      <c r="L54" s="23" t="s">
        <v>52</v>
      </c>
      <c r="M54" s="50"/>
      <c r="N54" s="23" t="s">
        <v>54</v>
      </c>
      <c r="O54" s="25" t="s">
        <v>543</v>
      </c>
      <c r="P54" s="26" t="s">
        <v>544</v>
      </c>
      <c r="Q54" s="26" t="s">
        <v>545</v>
      </c>
      <c r="R54" s="27" t="s">
        <v>546</v>
      </c>
      <c r="S54" s="23" t="s">
        <v>547</v>
      </c>
      <c r="T54" s="23" t="s">
        <v>60</v>
      </c>
      <c r="U54" s="23" t="s">
        <v>61</v>
      </c>
      <c r="V54" s="23" t="s">
        <v>94</v>
      </c>
      <c r="W54" s="23" t="s">
        <v>549</v>
      </c>
      <c r="X54" s="23" t="s">
        <v>550</v>
      </c>
      <c r="Y54" s="23" t="s">
        <v>109</v>
      </c>
      <c r="Z54" s="28">
        <v>46179.0</v>
      </c>
      <c r="AA54" s="28">
        <v>46202.0</v>
      </c>
      <c r="AB54" s="28">
        <v>46202.0</v>
      </c>
      <c r="AC54" s="28"/>
      <c r="AD54" s="29"/>
      <c r="AE54" s="24" t="s">
        <v>65</v>
      </c>
      <c r="AF54" s="23" t="s">
        <v>551</v>
      </c>
      <c r="AG54" s="30">
        <v>520000.0</v>
      </c>
      <c r="AH54" s="31">
        <v>0.03</v>
      </c>
      <c r="AI54" s="32">
        <f t="shared" ref="AI54:AI62" si="16">SUM(AG54*AH54)</f>
        <v>15600</v>
      </c>
      <c r="AJ54" s="33">
        <v>595.0</v>
      </c>
      <c r="AK54" s="34">
        <v>500.0</v>
      </c>
      <c r="AL54" s="34" t="s">
        <v>82</v>
      </c>
      <c r="AM54" s="34">
        <v>1395.0</v>
      </c>
      <c r="AN54" s="34">
        <v>0.0</v>
      </c>
      <c r="AO54" s="34">
        <v>0.0</v>
      </c>
      <c r="AP54" s="36">
        <v>0.0</v>
      </c>
      <c r="AQ54" s="37" t="s">
        <v>552</v>
      </c>
      <c r="AR54" s="38">
        <f t="shared" si="8"/>
        <v>16995</v>
      </c>
      <c r="AS54" s="39">
        <f t="shared" si="9"/>
        <v>2935</v>
      </c>
      <c r="AT54" s="40">
        <f t="shared" si="10"/>
        <v>13560</v>
      </c>
      <c r="AU54" s="14"/>
      <c r="AV54" s="41"/>
      <c r="AW54" s="14"/>
      <c r="AX54" s="23"/>
      <c r="AY54" s="42"/>
      <c r="AZ54" s="52"/>
      <c r="BA54" s="23"/>
      <c r="BB54" s="42"/>
      <c r="BC54" s="42"/>
      <c r="BD54" s="42"/>
    </row>
    <row r="55">
      <c r="A55" s="274"/>
      <c r="B55" s="272">
        <v>46182.0</v>
      </c>
      <c r="C55" s="66" t="s">
        <v>2179</v>
      </c>
      <c r="D55" s="273" t="s">
        <v>2260</v>
      </c>
      <c r="E55" s="23" t="s">
        <v>98</v>
      </c>
      <c r="F55" s="23" t="s">
        <v>47</v>
      </c>
      <c r="G55" s="24" t="s">
        <v>2470</v>
      </c>
      <c r="H55" s="23" t="s">
        <v>170</v>
      </c>
      <c r="I55" s="23">
        <v>92596.0</v>
      </c>
      <c r="J55" s="23" t="s">
        <v>50</v>
      </c>
      <c r="K55" s="23" t="s">
        <v>341</v>
      </c>
      <c r="L55" s="23" t="s">
        <v>172</v>
      </c>
      <c r="M55" s="23" t="s">
        <v>53</v>
      </c>
      <c r="N55" s="23" t="s">
        <v>54</v>
      </c>
      <c r="O55" s="25" t="s">
        <v>2471</v>
      </c>
      <c r="P55" s="26" t="s">
        <v>2472</v>
      </c>
      <c r="Q55" s="26" t="s">
        <v>2473</v>
      </c>
      <c r="R55" s="27" t="s">
        <v>2474</v>
      </c>
      <c r="S55" s="23" t="s">
        <v>2475</v>
      </c>
      <c r="T55" s="23" t="s">
        <v>664</v>
      </c>
      <c r="U55" s="23" t="s">
        <v>621</v>
      </c>
      <c r="V55" s="23"/>
      <c r="W55" s="23" t="s">
        <v>1589</v>
      </c>
      <c r="X55" s="23" t="s">
        <v>2476</v>
      </c>
      <c r="Y55" s="23" t="s">
        <v>109</v>
      </c>
      <c r="Z55" s="28">
        <v>46163.0</v>
      </c>
      <c r="AA55" s="28">
        <v>46184.0</v>
      </c>
      <c r="AB55" s="28">
        <v>46184.0</v>
      </c>
      <c r="AC55" s="28"/>
      <c r="AD55" s="29"/>
      <c r="AE55" s="24" t="s">
        <v>65</v>
      </c>
      <c r="AF55" s="23" t="s">
        <v>66</v>
      </c>
      <c r="AG55" s="30">
        <v>650000.0</v>
      </c>
      <c r="AH55" s="31">
        <v>0.025</v>
      </c>
      <c r="AI55" s="32">
        <f t="shared" si="16"/>
        <v>16250</v>
      </c>
      <c r="AJ55" s="33">
        <v>595.0</v>
      </c>
      <c r="AK55" s="34">
        <v>500.0</v>
      </c>
      <c r="AL55" s="34" t="s">
        <v>82</v>
      </c>
      <c r="AM55" s="34">
        <v>1095.0</v>
      </c>
      <c r="AN55" s="34">
        <v>0.0</v>
      </c>
      <c r="AO55" s="34">
        <f>AI55*0.4</f>
        <v>6500</v>
      </c>
      <c r="AP55" s="36">
        <v>0.0</v>
      </c>
      <c r="AQ55" s="37" t="s">
        <v>47</v>
      </c>
      <c r="AR55" s="38">
        <f t="shared" si="8"/>
        <v>10845</v>
      </c>
      <c r="AS55" s="39">
        <f t="shared" si="9"/>
        <v>5470</v>
      </c>
      <c r="AT55" s="40">
        <f t="shared" si="10"/>
        <v>4875</v>
      </c>
      <c r="AU55" s="14"/>
      <c r="AV55" s="41"/>
      <c r="AW55" s="14"/>
      <c r="AX55" s="23"/>
      <c r="AY55" s="42"/>
      <c r="AZ55" s="37" t="s">
        <v>181</v>
      </c>
      <c r="BA55" s="37" t="s">
        <v>69</v>
      </c>
      <c r="BB55" s="42"/>
      <c r="BC55" s="42"/>
      <c r="BD55" s="42"/>
    </row>
    <row r="56">
      <c r="A56" s="274"/>
      <c r="B56" s="272">
        <v>46185.0</v>
      </c>
      <c r="C56" s="66" t="s">
        <v>2179</v>
      </c>
      <c r="D56" s="273" t="s">
        <v>2477</v>
      </c>
      <c r="E56" s="23" t="s">
        <v>98</v>
      </c>
      <c r="F56" s="23" t="s">
        <v>84</v>
      </c>
      <c r="G56" s="24" t="s">
        <v>2478</v>
      </c>
      <c r="H56" s="23" t="s">
        <v>71</v>
      </c>
      <c r="I56" s="23">
        <v>92543.0</v>
      </c>
      <c r="J56" s="23" t="s">
        <v>50</v>
      </c>
      <c r="K56" s="23" t="s">
        <v>424</v>
      </c>
      <c r="L56" s="23" t="s">
        <v>172</v>
      </c>
      <c r="M56" s="23" t="s">
        <v>53</v>
      </c>
      <c r="N56" s="23" t="s">
        <v>54</v>
      </c>
      <c r="O56" s="25" t="s">
        <v>2479</v>
      </c>
      <c r="P56" s="26" t="s">
        <v>2480</v>
      </c>
      <c r="Q56" s="26" t="s">
        <v>2481</v>
      </c>
      <c r="R56" s="27" t="s">
        <v>92</v>
      </c>
      <c r="S56" s="23" t="s">
        <v>2482</v>
      </c>
      <c r="T56" s="23" t="s">
        <v>60</v>
      </c>
      <c r="U56" s="23" t="s">
        <v>132</v>
      </c>
      <c r="V56" s="23" t="s">
        <v>94</v>
      </c>
      <c r="W56" s="23" t="s">
        <v>2483</v>
      </c>
      <c r="X56" s="23" t="s">
        <v>2484</v>
      </c>
      <c r="Y56" s="23" t="s">
        <v>109</v>
      </c>
      <c r="Z56" s="28">
        <v>46155.0</v>
      </c>
      <c r="AA56" s="28">
        <v>46202.0</v>
      </c>
      <c r="AB56" s="28">
        <v>46202.0</v>
      </c>
      <c r="AC56" s="28"/>
      <c r="AD56" s="29"/>
      <c r="AE56" s="24" t="s">
        <v>65</v>
      </c>
      <c r="AF56" s="23" t="s">
        <v>375</v>
      </c>
      <c r="AG56" s="30">
        <v>400000.0</v>
      </c>
      <c r="AH56" s="31">
        <v>0.03</v>
      </c>
      <c r="AI56" s="32">
        <f t="shared" si="16"/>
        <v>12000</v>
      </c>
      <c r="AJ56" s="33">
        <v>595.0</v>
      </c>
      <c r="AK56" s="34">
        <v>500.0</v>
      </c>
      <c r="AL56" s="34" t="s">
        <v>82</v>
      </c>
      <c r="AM56" s="34">
        <v>1350.0</v>
      </c>
      <c r="AN56" s="34">
        <v>0.0</v>
      </c>
      <c r="AO56" s="34">
        <v>0.0</v>
      </c>
      <c r="AP56" s="36">
        <v>0.0</v>
      </c>
      <c r="AQ56" s="37" t="s">
        <v>84</v>
      </c>
      <c r="AR56" s="38">
        <f t="shared" si="8"/>
        <v>13350</v>
      </c>
      <c r="AS56" s="39">
        <f t="shared" si="9"/>
        <v>6595</v>
      </c>
      <c r="AT56" s="40">
        <f t="shared" si="10"/>
        <v>6255</v>
      </c>
      <c r="AU56" s="14"/>
      <c r="AV56" s="41"/>
      <c r="AW56" s="14"/>
      <c r="AX56" s="23" t="s">
        <v>67</v>
      </c>
      <c r="AY56" s="42"/>
      <c r="AZ56" s="23" t="s">
        <v>233</v>
      </c>
      <c r="BA56" s="23" t="s">
        <v>69</v>
      </c>
      <c r="BB56" s="42"/>
      <c r="BC56" s="42"/>
      <c r="BD56" s="42"/>
    </row>
    <row r="57">
      <c r="A57" s="66" t="s">
        <v>2178</v>
      </c>
      <c r="B57" s="272">
        <v>46188.0</v>
      </c>
      <c r="C57" s="66" t="s">
        <v>2179</v>
      </c>
      <c r="D57" s="273" t="s">
        <v>2485</v>
      </c>
      <c r="E57" s="23" t="s">
        <v>98</v>
      </c>
      <c r="F57" s="23" t="s">
        <v>47</v>
      </c>
      <c r="G57" s="24" t="s">
        <v>2486</v>
      </c>
      <c r="H57" s="23" t="s">
        <v>794</v>
      </c>
      <c r="I57" s="23">
        <v>92503.0</v>
      </c>
      <c r="J57" s="23" t="s">
        <v>50</v>
      </c>
      <c r="K57" s="23" t="s">
        <v>117</v>
      </c>
      <c r="L57" s="23" t="s">
        <v>52</v>
      </c>
      <c r="M57" s="50"/>
      <c r="N57" s="23" t="s">
        <v>103</v>
      </c>
      <c r="O57" s="25" t="s">
        <v>205</v>
      </c>
      <c r="P57" s="26" t="s">
        <v>206</v>
      </c>
      <c r="Q57" s="26" t="s">
        <v>207</v>
      </c>
      <c r="R57" s="27" t="s">
        <v>2487</v>
      </c>
      <c r="S57" s="23" t="s">
        <v>121</v>
      </c>
      <c r="T57" s="23" t="s">
        <v>60</v>
      </c>
      <c r="U57" s="23" t="s">
        <v>61</v>
      </c>
      <c r="V57" s="23" t="s">
        <v>672</v>
      </c>
      <c r="W57" s="23" t="s">
        <v>2488</v>
      </c>
      <c r="X57" s="23" t="s">
        <v>2489</v>
      </c>
      <c r="Y57" s="23" t="s">
        <v>109</v>
      </c>
      <c r="Z57" s="28">
        <v>46176.0</v>
      </c>
      <c r="AA57" s="61"/>
      <c r="AB57" s="61"/>
      <c r="AC57" s="28"/>
      <c r="AD57" s="29"/>
      <c r="AE57" s="24" t="s">
        <v>65</v>
      </c>
      <c r="AF57" s="23" t="s">
        <v>167</v>
      </c>
      <c r="AG57" s="30">
        <v>820000.0</v>
      </c>
      <c r="AH57" s="31">
        <v>0.025</v>
      </c>
      <c r="AI57" s="32">
        <f t="shared" si="16"/>
        <v>20500</v>
      </c>
      <c r="AJ57" s="33">
        <v>595.0</v>
      </c>
      <c r="AK57" s="34">
        <v>500.0</v>
      </c>
      <c r="AL57" s="34" t="s">
        <v>82</v>
      </c>
      <c r="AM57" s="34">
        <v>1095.0</v>
      </c>
      <c r="AN57" s="34">
        <v>0.0</v>
      </c>
      <c r="AO57" s="34">
        <v>0.0</v>
      </c>
      <c r="AP57" s="36">
        <v>0.0</v>
      </c>
      <c r="AQ57" s="37" t="s">
        <v>212</v>
      </c>
      <c r="AR57" s="38">
        <f t="shared" si="8"/>
        <v>21595</v>
      </c>
      <c r="AS57" s="39">
        <f t="shared" si="9"/>
        <v>4695</v>
      </c>
      <c r="AT57" s="40">
        <f t="shared" si="10"/>
        <v>16400</v>
      </c>
      <c r="AU57" s="14"/>
      <c r="AV57" s="41"/>
      <c r="AW57" s="14"/>
      <c r="AX57" s="23"/>
      <c r="AY57" s="42"/>
      <c r="AZ57" s="52"/>
      <c r="BA57" s="23"/>
      <c r="BB57" s="42"/>
      <c r="BC57" s="42"/>
      <c r="BD57" s="42"/>
    </row>
    <row r="58">
      <c r="A58" s="66" t="s">
        <v>2178</v>
      </c>
      <c r="B58" s="272">
        <v>46188.0</v>
      </c>
      <c r="C58" s="66" t="s">
        <v>2179</v>
      </c>
      <c r="D58" s="273" t="s">
        <v>2490</v>
      </c>
      <c r="E58" s="23" t="s">
        <v>98</v>
      </c>
      <c r="F58" s="23" t="s">
        <v>47</v>
      </c>
      <c r="G58" s="24" t="s">
        <v>2491</v>
      </c>
      <c r="H58" s="23" t="s">
        <v>316</v>
      </c>
      <c r="I58" s="23">
        <v>92562.0</v>
      </c>
      <c r="J58" s="23" t="s">
        <v>50</v>
      </c>
      <c r="K58" s="23" t="s">
        <v>407</v>
      </c>
      <c r="L58" s="23"/>
      <c r="M58" s="50"/>
      <c r="N58" s="23" t="s">
        <v>103</v>
      </c>
      <c r="O58" s="25" t="s">
        <v>2492</v>
      </c>
      <c r="P58" s="26" t="s">
        <v>2493</v>
      </c>
      <c r="Q58" s="26" t="s">
        <v>2494</v>
      </c>
      <c r="R58" s="27" t="s">
        <v>2495</v>
      </c>
      <c r="S58" s="23" t="s">
        <v>59</v>
      </c>
      <c r="T58" s="23" t="s">
        <v>60</v>
      </c>
      <c r="U58" s="23" t="s">
        <v>132</v>
      </c>
      <c r="V58" s="23" t="s">
        <v>859</v>
      </c>
      <c r="W58" s="23" t="s">
        <v>2496</v>
      </c>
      <c r="X58" s="23" t="s">
        <v>2497</v>
      </c>
      <c r="Y58" s="23" t="s">
        <v>109</v>
      </c>
      <c r="Z58" s="28">
        <v>46181.0</v>
      </c>
      <c r="AA58" s="28">
        <v>46202.0</v>
      </c>
      <c r="AB58" s="28">
        <v>46202.0</v>
      </c>
      <c r="AC58" s="28"/>
      <c r="AD58" s="29"/>
      <c r="AE58" s="24" t="s">
        <v>65</v>
      </c>
      <c r="AF58" s="23"/>
      <c r="AG58" s="30">
        <v>540000.0</v>
      </c>
      <c r="AH58" s="31">
        <v>0.02</v>
      </c>
      <c r="AI58" s="32">
        <f t="shared" si="16"/>
        <v>10800</v>
      </c>
      <c r="AJ58" s="33">
        <v>595.0</v>
      </c>
      <c r="AK58" s="34">
        <v>500.0</v>
      </c>
      <c r="AL58" s="34">
        <v>0.0</v>
      </c>
      <c r="AM58" s="34">
        <v>995.0</v>
      </c>
      <c r="AN58" s="34">
        <v>0.0</v>
      </c>
      <c r="AO58" s="34">
        <v>0.0</v>
      </c>
      <c r="AP58" s="36">
        <v>0.0</v>
      </c>
      <c r="AQ58" s="37" t="s">
        <v>47</v>
      </c>
      <c r="AR58" s="38">
        <f t="shared" si="8"/>
        <v>11795</v>
      </c>
      <c r="AS58" s="39">
        <f t="shared" si="9"/>
        <v>5995</v>
      </c>
      <c r="AT58" s="40">
        <f t="shared" si="10"/>
        <v>5300</v>
      </c>
      <c r="AU58" s="14"/>
      <c r="AV58" s="41"/>
      <c r="AW58" s="14"/>
      <c r="AX58" s="23"/>
      <c r="AY58" s="42"/>
      <c r="AZ58" s="52"/>
      <c r="BA58" s="23"/>
      <c r="BB58" s="42"/>
      <c r="BC58" s="42"/>
      <c r="BD58" s="42"/>
    </row>
    <row r="59">
      <c r="A59" s="274"/>
      <c r="B59" s="272"/>
      <c r="C59" s="66" t="s">
        <v>84</v>
      </c>
      <c r="D59" s="280" t="s">
        <v>2498</v>
      </c>
      <c r="E59" s="23" t="s">
        <v>1418</v>
      </c>
      <c r="F59" s="23" t="s">
        <v>84</v>
      </c>
      <c r="G59" s="24" t="s">
        <v>2499</v>
      </c>
      <c r="H59" s="23" t="s">
        <v>1971</v>
      </c>
      <c r="I59" s="23">
        <v>92307.0</v>
      </c>
      <c r="J59" s="23" t="s">
        <v>101</v>
      </c>
      <c r="K59" s="23" t="s">
        <v>139</v>
      </c>
      <c r="L59" s="23" t="s">
        <v>73</v>
      </c>
      <c r="M59" s="23" t="s">
        <v>346</v>
      </c>
      <c r="N59" s="23" t="s">
        <v>103</v>
      </c>
      <c r="O59" s="25" t="s">
        <v>2500</v>
      </c>
      <c r="P59" s="26" t="s">
        <v>2501</v>
      </c>
      <c r="Q59" s="26" t="s">
        <v>2502</v>
      </c>
      <c r="R59" s="27" t="s">
        <v>2503</v>
      </c>
      <c r="S59" s="47" t="s">
        <v>143</v>
      </c>
      <c r="T59" s="23" t="s">
        <v>93</v>
      </c>
      <c r="U59" s="23" t="s">
        <v>2504</v>
      </c>
      <c r="V59" s="23" t="s">
        <v>1456</v>
      </c>
      <c r="W59" s="23" t="s">
        <v>2505</v>
      </c>
      <c r="X59" s="23" t="s">
        <v>2506</v>
      </c>
      <c r="Y59" s="23" t="s">
        <v>64</v>
      </c>
      <c r="Z59" s="28">
        <v>46112.0</v>
      </c>
      <c r="AA59" s="28">
        <v>46139.0</v>
      </c>
      <c r="AB59" s="28">
        <v>46139.0</v>
      </c>
      <c r="AC59" s="28"/>
      <c r="AD59" s="29"/>
      <c r="AE59" s="24" t="s">
        <v>106</v>
      </c>
      <c r="AF59" s="23" t="s">
        <v>145</v>
      </c>
      <c r="AG59" s="30">
        <v>380600.0</v>
      </c>
      <c r="AH59" s="31">
        <v>0.01</v>
      </c>
      <c r="AI59" s="32">
        <f t="shared" si="16"/>
        <v>3806</v>
      </c>
      <c r="AJ59" s="33" t="s">
        <v>82</v>
      </c>
      <c r="AK59" s="34">
        <v>0.0</v>
      </c>
      <c r="AL59" s="34" t="s">
        <v>82</v>
      </c>
      <c r="AM59" s="34">
        <v>0.0</v>
      </c>
      <c r="AN59" s="34">
        <v>0.0</v>
      </c>
      <c r="AO59" s="35">
        <f>sum(AI59,-AN59)*0.4</f>
        <v>1522.4</v>
      </c>
      <c r="AP59" s="36">
        <v>0.0</v>
      </c>
      <c r="AQ59" s="37" t="s">
        <v>84</v>
      </c>
      <c r="AR59" s="38">
        <f t="shared" si="8"/>
        <v>2878.6</v>
      </c>
      <c r="AS59" s="39">
        <f t="shared" si="9"/>
        <v>1736.8</v>
      </c>
      <c r="AT59" s="40">
        <f t="shared" si="10"/>
        <v>1141.8</v>
      </c>
      <c r="AU59" s="14"/>
      <c r="AV59" s="41"/>
      <c r="AW59" s="14"/>
      <c r="AX59" s="23"/>
      <c r="AY59" s="42"/>
      <c r="AZ59" s="37" t="s">
        <v>2507</v>
      </c>
      <c r="BA59" s="37" t="s">
        <v>114</v>
      </c>
      <c r="BB59" s="42"/>
      <c r="BC59" s="42"/>
      <c r="BD59" s="42"/>
    </row>
    <row r="60">
      <c r="A60" s="274"/>
      <c r="B60" s="272"/>
      <c r="C60" s="66" t="s">
        <v>2179</v>
      </c>
      <c r="D60" s="273" t="s">
        <v>2390</v>
      </c>
      <c r="E60" s="23" t="s">
        <v>46</v>
      </c>
      <c r="F60" s="23" t="s">
        <v>84</v>
      </c>
      <c r="G60" s="24" t="s">
        <v>2508</v>
      </c>
      <c r="H60" s="23" t="s">
        <v>1641</v>
      </c>
      <c r="I60" s="23">
        <v>92108.0</v>
      </c>
      <c r="J60" s="23" t="s">
        <v>87</v>
      </c>
      <c r="K60" s="23" t="s">
        <v>981</v>
      </c>
      <c r="L60" s="23" t="s">
        <v>52</v>
      </c>
      <c r="M60" s="23" t="s">
        <v>53</v>
      </c>
      <c r="N60" s="23" t="s">
        <v>54</v>
      </c>
      <c r="O60" s="25" t="s">
        <v>2509</v>
      </c>
      <c r="P60" s="26" t="s">
        <v>2510</v>
      </c>
      <c r="Q60" s="26" t="s">
        <v>2511</v>
      </c>
      <c r="R60" s="27" t="s">
        <v>92</v>
      </c>
      <c r="S60" s="23" t="s">
        <v>2274</v>
      </c>
      <c r="T60" s="23" t="s">
        <v>60</v>
      </c>
      <c r="U60" s="23" t="s">
        <v>132</v>
      </c>
      <c r="V60" s="23" t="s">
        <v>94</v>
      </c>
      <c r="W60" s="23" t="s">
        <v>2512</v>
      </c>
      <c r="X60" s="23" t="s">
        <v>2513</v>
      </c>
      <c r="Y60" s="23" t="s">
        <v>109</v>
      </c>
      <c r="Z60" s="28">
        <v>46128.0</v>
      </c>
      <c r="AA60" s="28">
        <v>46149.0</v>
      </c>
      <c r="AB60" s="28">
        <v>46149.0</v>
      </c>
      <c r="AC60" s="28"/>
      <c r="AD60" s="29"/>
      <c r="AE60" s="24" t="s">
        <v>414</v>
      </c>
      <c r="AF60" s="23" t="s">
        <v>167</v>
      </c>
      <c r="AG60" s="30">
        <v>299000.0</v>
      </c>
      <c r="AH60" s="31">
        <v>0.03</v>
      </c>
      <c r="AI60" s="32">
        <f t="shared" si="16"/>
        <v>8970</v>
      </c>
      <c r="AJ60" s="33">
        <v>595.0</v>
      </c>
      <c r="AK60" s="34">
        <v>500.0</v>
      </c>
      <c r="AL60" s="34" t="s">
        <v>82</v>
      </c>
      <c r="AM60" s="34">
        <v>1395.0</v>
      </c>
      <c r="AN60" s="34">
        <v>0.0</v>
      </c>
      <c r="AO60" s="34">
        <v>0.0</v>
      </c>
      <c r="AP60" s="36">
        <v>0.0</v>
      </c>
      <c r="AQ60" s="37" t="s">
        <v>202</v>
      </c>
      <c r="AR60" s="38">
        <f t="shared" si="8"/>
        <v>10365</v>
      </c>
      <c r="AS60" s="39">
        <f t="shared" si="9"/>
        <v>3286</v>
      </c>
      <c r="AT60" s="40">
        <f t="shared" si="10"/>
        <v>6579</v>
      </c>
      <c r="AU60" s="14"/>
      <c r="AV60" s="41"/>
      <c r="AW60" s="14"/>
      <c r="AX60" s="23" t="s">
        <v>67</v>
      </c>
      <c r="AY60" s="42"/>
      <c r="AZ60" s="23" t="s">
        <v>2514</v>
      </c>
      <c r="BA60" s="23" t="s">
        <v>69</v>
      </c>
      <c r="BB60" s="42"/>
      <c r="BC60" s="42"/>
      <c r="BD60" s="42"/>
    </row>
    <row r="61">
      <c r="A61" s="66" t="s">
        <v>2186</v>
      </c>
      <c r="B61" s="272">
        <v>46177.0</v>
      </c>
      <c r="C61" s="66" t="s">
        <v>2179</v>
      </c>
      <c r="D61" s="273" t="s">
        <v>2515</v>
      </c>
      <c r="E61" s="23" t="s">
        <v>98</v>
      </c>
      <c r="F61" s="23" t="s">
        <v>47</v>
      </c>
      <c r="G61" s="24" t="s">
        <v>2516</v>
      </c>
      <c r="H61" s="23" t="s">
        <v>2517</v>
      </c>
      <c r="I61" s="23">
        <v>91710.0</v>
      </c>
      <c r="J61" s="23" t="s">
        <v>101</v>
      </c>
      <c r="K61" s="23" t="s">
        <v>641</v>
      </c>
      <c r="L61" s="23" t="s">
        <v>172</v>
      </c>
      <c r="M61" s="23" t="s">
        <v>53</v>
      </c>
      <c r="N61" s="23" t="s">
        <v>103</v>
      </c>
      <c r="O61" s="25" t="s">
        <v>2518</v>
      </c>
      <c r="P61" s="26" t="s">
        <v>2519</v>
      </c>
      <c r="Q61" s="26" t="s">
        <v>2520</v>
      </c>
      <c r="R61" s="27" t="s">
        <v>2521</v>
      </c>
      <c r="S61" s="23" t="s">
        <v>482</v>
      </c>
      <c r="T61" s="23" t="s">
        <v>60</v>
      </c>
      <c r="U61" s="23" t="s">
        <v>61</v>
      </c>
      <c r="V61" s="23" t="s">
        <v>1984</v>
      </c>
      <c r="W61" s="23" t="s">
        <v>2522</v>
      </c>
      <c r="X61" s="23" t="s">
        <v>2523</v>
      </c>
      <c r="Y61" s="23" t="s">
        <v>109</v>
      </c>
      <c r="Z61" s="28">
        <v>46157.0</v>
      </c>
      <c r="AA61" s="28">
        <v>46188.0</v>
      </c>
      <c r="AB61" s="28">
        <v>46188.0</v>
      </c>
      <c r="AC61" s="28"/>
      <c r="AD61" s="29"/>
      <c r="AE61" s="24" t="s">
        <v>65</v>
      </c>
      <c r="AF61" s="23" t="s">
        <v>167</v>
      </c>
      <c r="AG61" s="30">
        <v>775000.0</v>
      </c>
      <c r="AH61" s="31">
        <v>0.02</v>
      </c>
      <c r="AI61" s="32">
        <f t="shared" si="16"/>
        <v>15500</v>
      </c>
      <c r="AJ61" s="33">
        <v>595.0</v>
      </c>
      <c r="AK61" s="34" t="s">
        <v>111</v>
      </c>
      <c r="AL61" s="34">
        <v>0.0</v>
      </c>
      <c r="AM61" s="34">
        <v>595.0</v>
      </c>
      <c r="AN61" s="34">
        <v>0.0</v>
      </c>
      <c r="AO61" s="34">
        <v>0.0</v>
      </c>
      <c r="AP61" s="36">
        <v>0.0</v>
      </c>
      <c r="AQ61" s="37" t="s">
        <v>168</v>
      </c>
      <c r="AR61" s="38">
        <f t="shared" si="8"/>
        <v>16095</v>
      </c>
      <c r="AS61" s="39">
        <f t="shared" si="9"/>
        <v>2145</v>
      </c>
      <c r="AT61" s="40">
        <f t="shared" si="10"/>
        <v>13950</v>
      </c>
      <c r="AU61" s="14"/>
      <c r="AV61" s="41"/>
      <c r="AW61" s="14"/>
      <c r="AX61" s="23"/>
      <c r="AY61" s="42"/>
      <c r="AZ61" s="37" t="s">
        <v>2524</v>
      </c>
      <c r="BA61" s="37" t="s">
        <v>114</v>
      </c>
      <c r="BB61" s="42"/>
      <c r="BC61" s="42"/>
      <c r="BD61" s="42"/>
    </row>
    <row r="62">
      <c r="A62" s="274"/>
      <c r="B62" s="272">
        <v>46189.0</v>
      </c>
      <c r="C62" s="66" t="s">
        <v>2179</v>
      </c>
      <c r="D62" s="273" t="s">
        <v>2525</v>
      </c>
      <c r="E62" s="23" t="s">
        <v>360</v>
      </c>
      <c r="F62" s="23" t="s">
        <v>84</v>
      </c>
      <c r="G62" s="24" t="s">
        <v>2526</v>
      </c>
      <c r="H62" s="23" t="s">
        <v>316</v>
      </c>
      <c r="I62" s="23">
        <v>92562.0</v>
      </c>
      <c r="J62" s="23" t="s">
        <v>50</v>
      </c>
      <c r="K62" s="23" t="s">
        <v>88</v>
      </c>
      <c r="L62" s="23" t="s">
        <v>73</v>
      </c>
      <c r="M62" s="50"/>
      <c r="N62" s="23" t="s">
        <v>54</v>
      </c>
      <c r="O62" s="25" t="s">
        <v>325</v>
      </c>
      <c r="P62" s="26" t="s">
        <v>326</v>
      </c>
      <c r="Q62" s="26" t="s">
        <v>327</v>
      </c>
      <c r="R62" s="27" t="s">
        <v>92</v>
      </c>
      <c r="S62" s="23" t="s">
        <v>2527</v>
      </c>
      <c r="T62" s="23" t="s">
        <v>93</v>
      </c>
      <c r="U62" s="23" t="s">
        <v>132</v>
      </c>
      <c r="V62" s="23" t="s">
        <v>247</v>
      </c>
      <c r="W62" s="23" t="s">
        <v>2528</v>
      </c>
      <c r="X62" s="23" t="s">
        <v>2529</v>
      </c>
      <c r="Y62" s="23" t="s">
        <v>109</v>
      </c>
      <c r="Z62" s="28">
        <v>46184.0</v>
      </c>
      <c r="AA62" s="28">
        <v>46205.0</v>
      </c>
      <c r="AB62" s="28">
        <v>46205.0</v>
      </c>
      <c r="AC62" s="28"/>
      <c r="AD62" s="29"/>
      <c r="AE62" s="24" t="s">
        <v>65</v>
      </c>
      <c r="AF62" s="23" t="s">
        <v>66</v>
      </c>
      <c r="AG62" s="30">
        <v>750000.0</v>
      </c>
      <c r="AH62" s="31">
        <v>0.035</v>
      </c>
      <c r="AI62" s="32">
        <f t="shared" si="16"/>
        <v>26250</v>
      </c>
      <c r="AJ62" s="33">
        <v>595.0</v>
      </c>
      <c r="AK62" s="34">
        <v>500.0</v>
      </c>
      <c r="AL62" s="34" t="s">
        <v>82</v>
      </c>
      <c r="AM62" s="34">
        <v>1345.0</v>
      </c>
      <c r="AN62" s="34">
        <v>0.0</v>
      </c>
      <c r="AO62" s="34">
        <f>AI62*0.4</f>
        <v>10500</v>
      </c>
      <c r="AP62" s="36">
        <v>0.0</v>
      </c>
      <c r="AQ62" s="37" t="s">
        <v>84</v>
      </c>
      <c r="AR62" s="38">
        <f t="shared" si="8"/>
        <v>17095</v>
      </c>
      <c r="AS62" s="39">
        <f t="shared" si="9"/>
        <v>8470</v>
      </c>
      <c r="AT62" s="40">
        <f t="shared" si="10"/>
        <v>8125</v>
      </c>
      <c r="AU62" s="14"/>
      <c r="AV62" s="41"/>
      <c r="AW62" s="14"/>
      <c r="AX62" s="23"/>
      <c r="AY62" s="42"/>
      <c r="AZ62" s="52"/>
      <c r="BA62" s="23"/>
      <c r="BB62" s="42"/>
      <c r="BC62" s="42"/>
      <c r="BD62" s="42"/>
    </row>
    <row r="63">
      <c r="A63" s="274"/>
      <c r="B63" s="272"/>
      <c r="C63" s="274"/>
      <c r="D63" s="273"/>
      <c r="E63" s="118"/>
      <c r="F63" s="37"/>
      <c r="G63" s="54"/>
      <c r="H63" s="37"/>
      <c r="I63" s="37"/>
      <c r="J63" s="37"/>
      <c r="K63" s="37"/>
      <c r="L63" s="37"/>
      <c r="M63" s="55"/>
      <c r="N63" s="37"/>
      <c r="O63" s="56"/>
      <c r="P63" s="107"/>
      <c r="Q63" s="107"/>
      <c r="R63" s="142"/>
      <c r="S63" s="37"/>
      <c r="T63" s="37"/>
      <c r="U63" s="37"/>
      <c r="V63" s="37"/>
      <c r="W63" s="37"/>
      <c r="X63" s="37"/>
      <c r="Y63" s="60"/>
      <c r="Z63" s="60"/>
      <c r="AA63" s="241"/>
      <c r="AB63" s="241"/>
      <c r="AC63" s="60"/>
      <c r="AD63" s="29"/>
      <c r="AE63" s="54"/>
      <c r="AF63" s="37"/>
      <c r="AG63" s="38"/>
      <c r="AH63" s="51"/>
      <c r="AI63" s="32"/>
      <c r="AJ63" s="33"/>
      <c r="AK63" s="34"/>
      <c r="AL63" s="34"/>
      <c r="AM63" s="34"/>
      <c r="AN63" s="34"/>
      <c r="AO63" s="34"/>
      <c r="AP63" s="36"/>
      <c r="AQ63" s="37"/>
      <c r="AR63" s="40"/>
      <c r="AS63" s="38"/>
      <c r="AT63" s="40"/>
      <c r="AU63" s="111"/>
      <c r="AV63" s="37"/>
      <c r="AW63" s="42"/>
      <c r="AX63" s="52"/>
      <c r="AY63" s="23"/>
      <c r="AZ63" s="42"/>
      <c r="BA63" s="42"/>
      <c r="BB63" s="42"/>
      <c r="BC63" s="42"/>
      <c r="BD63" s="42"/>
    </row>
    <row r="64">
      <c r="A64" s="274"/>
      <c r="B64" s="272"/>
      <c r="C64" s="274"/>
      <c r="D64" s="273"/>
      <c r="E64" s="118"/>
      <c r="F64" s="37"/>
      <c r="G64" s="54"/>
      <c r="H64" s="37"/>
      <c r="I64" s="37"/>
      <c r="J64" s="37"/>
      <c r="K64" s="37"/>
      <c r="L64" s="37"/>
      <c r="M64" s="55"/>
      <c r="N64" s="37"/>
      <c r="O64" s="56"/>
      <c r="P64" s="107"/>
      <c r="Q64" s="107"/>
      <c r="R64" s="142"/>
      <c r="S64" s="37"/>
      <c r="T64" s="37"/>
      <c r="U64" s="37"/>
      <c r="V64" s="37"/>
      <c r="W64" s="37"/>
      <c r="X64" s="37"/>
      <c r="Y64" s="60"/>
      <c r="Z64" s="60"/>
      <c r="AA64" s="241"/>
      <c r="AB64" s="241"/>
      <c r="AC64" s="60"/>
      <c r="AD64" s="29"/>
      <c r="AE64" s="54"/>
      <c r="AF64" s="37"/>
      <c r="AG64" s="38"/>
      <c r="AH64" s="51"/>
      <c r="AI64" s="32"/>
      <c r="AJ64" s="33"/>
      <c r="AK64" s="34"/>
      <c r="AL64" s="34"/>
      <c r="AM64" s="34"/>
      <c r="AN64" s="34"/>
      <c r="AO64" s="34"/>
      <c r="AP64" s="36"/>
      <c r="AQ64" s="37"/>
      <c r="AR64" s="40"/>
      <c r="AS64" s="38"/>
      <c r="AT64" s="40"/>
      <c r="AU64" s="111"/>
      <c r="AV64" s="37"/>
      <c r="AW64" s="42"/>
      <c r="AX64" s="52"/>
      <c r="AY64" s="23"/>
      <c r="AZ64" s="42"/>
      <c r="BA64" s="42"/>
      <c r="BB64" s="42"/>
      <c r="BC64" s="42"/>
      <c r="BD64" s="42"/>
    </row>
    <row r="65">
      <c r="A65" s="274"/>
      <c r="B65" s="272"/>
      <c r="C65" s="274"/>
      <c r="D65" s="273"/>
      <c r="E65" s="118"/>
      <c r="F65" s="37"/>
      <c r="G65" s="54"/>
      <c r="H65" s="37"/>
      <c r="I65" s="37"/>
      <c r="J65" s="37"/>
      <c r="K65" s="37"/>
      <c r="L65" s="37"/>
      <c r="M65" s="55"/>
      <c r="N65" s="37"/>
      <c r="O65" s="56"/>
      <c r="P65" s="107"/>
      <c r="Q65" s="107"/>
      <c r="R65" s="142"/>
      <c r="S65" s="37"/>
      <c r="T65" s="37"/>
      <c r="U65" s="37"/>
      <c r="V65" s="37"/>
      <c r="W65" s="37"/>
      <c r="X65" s="37"/>
      <c r="Y65" s="60"/>
      <c r="Z65" s="60"/>
      <c r="AA65" s="241"/>
      <c r="AB65" s="241"/>
      <c r="AC65" s="60"/>
      <c r="AD65" s="29"/>
      <c r="AE65" s="54"/>
      <c r="AF65" s="37"/>
      <c r="AG65" s="38"/>
      <c r="AH65" s="51"/>
      <c r="AI65" s="32"/>
      <c r="AJ65" s="33"/>
      <c r="AK65" s="34"/>
      <c r="AL65" s="34"/>
      <c r="AM65" s="34"/>
      <c r="AN65" s="34"/>
      <c r="AO65" s="34"/>
      <c r="AP65" s="36"/>
      <c r="AQ65" s="37"/>
      <c r="AR65" s="40"/>
      <c r="AS65" s="38"/>
      <c r="AT65" s="40"/>
      <c r="AU65" s="111"/>
      <c r="AV65" s="37"/>
      <c r="AW65" s="42"/>
      <c r="AX65" s="52"/>
      <c r="AY65" s="23"/>
      <c r="AZ65" s="42"/>
      <c r="BA65" s="42"/>
      <c r="BB65" s="42"/>
      <c r="BC65" s="42"/>
      <c r="BD65" s="42"/>
    </row>
    <row r="66">
      <c r="A66" s="274"/>
      <c r="B66" s="272"/>
      <c r="C66" s="274"/>
      <c r="D66" s="273"/>
      <c r="E66" s="118"/>
      <c r="F66" s="37"/>
      <c r="G66" s="54"/>
      <c r="H66" s="37"/>
      <c r="I66" s="37"/>
      <c r="J66" s="37"/>
      <c r="K66" s="37"/>
      <c r="L66" s="37"/>
      <c r="M66" s="55"/>
      <c r="N66" s="37"/>
      <c r="O66" s="56"/>
      <c r="P66" s="107"/>
      <c r="Q66" s="107"/>
      <c r="R66" s="142"/>
      <c r="S66" s="37"/>
      <c r="T66" s="37"/>
      <c r="U66" s="37"/>
      <c r="V66" s="37"/>
      <c r="W66" s="37"/>
      <c r="X66" s="37"/>
      <c r="Y66" s="60"/>
      <c r="Z66" s="60"/>
      <c r="AA66" s="241"/>
      <c r="AB66" s="241"/>
      <c r="AC66" s="60"/>
      <c r="AD66" s="29"/>
      <c r="AE66" s="54"/>
      <c r="AF66" s="37"/>
      <c r="AG66" s="38"/>
      <c r="AH66" s="51"/>
      <c r="AI66" s="32"/>
      <c r="AJ66" s="33"/>
      <c r="AK66" s="34"/>
      <c r="AL66" s="34"/>
      <c r="AM66" s="34"/>
      <c r="AN66" s="34"/>
      <c r="AO66" s="34"/>
      <c r="AP66" s="36"/>
      <c r="AQ66" s="37"/>
      <c r="AR66" s="40"/>
      <c r="AS66" s="38"/>
      <c r="AT66" s="40"/>
      <c r="AU66" s="111"/>
      <c r="AV66" s="37"/>
      <c r="AW66" s="42"/>
      <c r="AX66" s="52"/>
      <c r="AY66" s="23"/>
      <c r="AZ66" s="42"/>
      <c r="BA66" s="42"/>
      <c r="BB66" s="42"/>
      <c r="BC66" s="42"/>
      <c r="BD66" s="42"/>
    </row>
    <row r="67">
      <c r="A67" s="274"/>
      <c r="B67" s="272"/>
      <c r="C67" s="274"/>
      <c r="D67" s="273"/>
      <c r="E67" s="118"/>
      <c r="F67" s="37"/>
      <c r="G67" s="54"/>
      <c r="H67" s="37"/>
      <c r="I67" s="37"/>
      <c r="J67" s="37"/>
      <c r="K67" s="37"/>
      <c r="L67" s="37"/>
      <c r="M67" s="55"/>
      <c r="N67" s="37"/>
      <c r="O67" s="56"/>
      <c r="P67" s="107"/>
      <c r="Q67" s="107"/>
      <c r="R67" s="142"/>
      <c r="S67" s="37"/>
      <c r="T67" s="37"/>
      <c r="U67" s="37"/>
      <c r="V67" s="37"/>
      <c r="W67" s="37"/>
      <c r="X67" s="37"/>
      <c r="Y67" s="60"/>
      <c r="Z67" s="60"/>
      <c r="AA67" s="241"/>
      <c r="AB67" s="241"/>
      <c r="AC67" s="60"/>
      <c r="AD67" s="29"/>
      <c r="AE67" s="54"/>
      <c r="AF67" s="37"/>
      <c r="AG67" s="38"/>
      <c r="AH67" s="51"/>
      <c r="AI67" s="32"/>
      <c r="AJ67" s="33"/>
      <c r="AK67" s="34"/>
      <c r="AL67" s="34"/>
      <c r="AM67" s="34"/>
      <c r="AN67" s="34"/>
      <c r="AO67" s="34"/>
      <c r="AP67" s="36"/>
      <c r="AQ67" s="37"/>
      <c r="AR67" s="40"/>
      <c r="AS67" s="38"/>
      <c r="AT67" s="40"/>
      <c r="AU67" s="111"/>
      <c r="AV67" s="37"/>
      <c r="AW67" s="42"/>
      <c r="AX67" s="52"/>
      <c r="AY67" s="23"/>
      <c r="AZ67" s="42"/>
      <c r="BA67" s="42"/>
      <c r="BB67" s="42"/>
      <c r="BC67" s="42"/>
      <c r="BD67" s="42"/>
    </row>
    <row r="68">
      <c r="A68" s="274"/>
      <c r="B68" s="272"/>
      <c r="C68" s="274"/>
      <c r="D68" s="273"/>
      <c r="E68" s="118"/>
      <c r="F68" s="37"/>
      <c r="G68" s="54"/>
      <c r="H68" s="37"/>
      <c r="I68" s="37"/>
      <c r="J68" s="37"/>
      <c r="K68" s="37"/>
      <c r="L68" s="37"/>
      <c r="M68" s="55"/>
      <c r="N68" s="37"/>
      <c r="O68" s="56"/>
      <c r="P68" s="107"/>
      <c r="Q68" s="107"/>
      <c r="R68" s="142"/>
      <c r="S68" s="37"/>
      <c r="T68" s="37"/>
      <c r="U68" s="37"/>
      <c r="V68" s="37"/>
      <c r="W68" s="37"/>
      <c r="X68" s="37"/>
      <c r="Y68" s="60"/>
      <c r="Z68" s="60"/>
      <c r="AA68" s="241"/>
      <c r="AB68" s="241"/>
      <c r="AC68" s="60"/>
      <c r="AD68" s="29"/>
      <c r="AE68" s="54"/>
      <c r="AF68" s="37"/>
      <c r="AG68" s="38"/>
      <c r="AH68" s="51"/>
      <c r="AI68" s="32"/>
      <c r="AJ68" s="33"/>
      <c r="AK68" s="34"/>
      <c r="AL68" s="34"/>
      <c r="AM68" s="34"/>
      <c r="AN68" s="34"/>
      <c r="AO68" s="34"/>
      <c r="AP68" s="36"/>
      <c r="AQ68" s="37"/>
      <c r="AR68" s="40"/>
      <c r="AS68" s="38"/>
      <c r="AT68" s="40"/>
      <c r="AU68" s="111"/>
      <c r="AV68" s="37"/>
      <c r="AW68" s="42"/>
      <c r="AX68" s="52"/>
      <c r="AY68" s="23"/>
      <c r="AZ68" s="42"/>
      <c r="BA68" s="42"/>
      <c r="BB68" s="42"/>
      <c r="BC68" s="42"/>
      <c r="BD68" s="42"/>
    </row>
    <row r="69">
      <c r="A69" s="274"/>
      <c r="B69" s="272"/>
      <c r="C69" s="274"/>
      <c r="D69" s="273"/>
      <c r="E69" s="118"/>
      <c r="F69" s="37"/>
      <c r="G69" s="54"/>
      <c r="H69" s="37"/>
      <c r="I69" s="37"/>
      <c r="J69" s="37"/>
      <c r="K69" s="37"/>
      <c r="L69" s="37"/>
      <c r="M69" s="55"/>
      <c r="N69" s="37"/>
      <c r="O69" s="56"/>
      <c r="P69" s="107"/>
      <c r="Q69" s="107"/>
      <c r="R69" s="142"/>
      <c r="S69" s="37"/>
      <c r="T69" s="37"/>
      <c r="U69" s="37"/>
      <c r="V69" s="37"/>
      <c r="W69" s="37"/>
      <c r="X69" s="37"/>
      <c r="Y69" s="60"/>
      <c r="Z69" s="60"/>
      <c r="AA69" s="241"/>
      <c r="AB69" s="241"/>
      <c r="AC69" s="60"/>
      <c r="AD69" s="29"/>
      <c r="AE69" s="54"/>
      <c r="AF69" s="37"/>
      <c r="AG69" s="38"/>
      <c r="AH69" s="51"/>
      <c r="AI69" s="32"/>
      <c r="AJ69" s="33"/>
      <c r="AK69" s="34"/>
      <c r="AL69" s="34"/>
      <c r="AM69" s="34"/>
      <c r="AN69" s="34"/>
      <c r="AO69" s="34"/>
      <c r="AP69" s="36"/>
      <c r="AQ69" s="37"/>
      <c r="AR69" s="40"/>
      <c r="AS69" s="38"/>
      <c r="AT69" s="40"/>
      <c r="AU69" s="111"/>
      <c r="AV69" s="37"/>
      <c r="AW69" s="42"/>
      <c r="AX69" s="52"/>
      <c r="AY69" s="23"/>
      <c r="AZ69" s="42"/>
      <c r="BA69" s="42"/>
      <c r="BB69" s="42"/>
      <c r="BC69" s="42"/>
      <c r="BD69" s="42"/>
    </row>
    <row r="70">
      <c r="A70" s="274"/>
      <c r="B70" s="272"/>
      <c r="C70" s="274"/>
      <c r="D70" s="273"/>
      <c r="E70" s="118"/>
      <c r="F70" s="37"/>
      <c r="G70" s="54"/>
      <c r="H70" s="37"/>
      <c r="I70" s="37"/>
      <c r="J70" s="37"/>
      <c r="K70" s="37"/>
      <c r="L70" s="37"/>
      <c r="M70" s="55"/>
      <c r="N70" s="37"/>
      <c r="O70" s="56"/>
      <c r="P70" s="107"/>
      <c r="Q70" s="107"/>
      <c r="R70" s="142"/>
      <c r="S70" s="37"/>
      <c r="T70" s="37"/>
      <c r="U70" s="37"/>
      <c r="V70" s="37"/>
      <c r="W70" s="37"/>
      <c r="X70" s="37"/>
      <c r="Y70" s="60"/>
      <c r="Z70" s="60"/>
      <c r="AA70" s="241"/>
      <c r="AB70" s="241"/>
      <c r="AC70" s="60"/>
      <c r="AD70" s="29"/>
      <c r="AE70" s="54"/>
      <c r="AF70" s="37"/>
      <c r="AG70" s="38"/>
      <c r="AH70" s="51"/>
      <c r="AI70" s="32"/>
      <c r="AJ70" s="33"/>
      <c r="AK70" s="34"/>
      <c r="AL70" s="34"/>
      <c r="AM70" s="34"/>
      <c r="AN70" s="34"/>
      <c r="AO70" s="34"/>
      <c r="AP70" s="36"/>
      <c r="AQ70" s="37"/>
      <c r="AR70" s="40"/>
      <c r="AS70" s="38"/>
      <c r="AT70" s="40"/>
      <c r="AU70" s="111"/>
      <c r="AV70" s="37"/>
      <c r="AW70" s="42"/>
      <c r="AX70" s="52"/>
      <c r="AY70" s="23"/>
      <c r="AZ70" s="42"/>
      <c r="BA70" s="42"/>
      <c r="BB70" s="42"/>
      <c r="BC70" s="42"/>
      <c r="BD70" s="42"/>
    </row>
    <row r="71">
      <c r="A71" s="274"/>
      <c r="B71" s="272"/>
      <c r="C71" s="274"/>
      <c r="D71" s="273"/>
      <c r="E71" s="118"/>
      <c r="F71" s="37"/>
      <c r="G71" s="54"/>
      <c r="H71" s="37"/>
      <c r="I71" s="37"/>
      <c r="J71" s="37"/>
      <c r="K71" s="37"/>
      <c r="L71" s="37"/>
      <c r="M71" s="55"/>
      <c r="N71" s="37"/>
      <c r="O71" s="56"/>
      <c r="P71" s="107"/>
      <c r="Q71" s="107"/>
      <c r="R71" s="142"/>
      <c r="S71" s="37"/>
      <c r="T71" s="37"/>
      <c r="U71" s="37"/>
      <c r="V71" s="37"/>
      <c r="W71" s="37"/>
      <c r="X71" s="37"/>
      <c r="Y71" s="60"/>
      <c r="Z71" s="60"/>
      <c r="AA71" s="241"/>
      <c r="AB71" s="241"/>
      <c r="AC71" s="60"/>
      <c r="AD71" s="29"/>
      <c r="AE71" s="54"/>
      <c r="AF71" s="37"/>
      <c r="AG71" s="38"/>
      <c r="AH71" s="51"/>
      <c r="AI71" s="32"/>
      <c r="AJ71" s="33"/>
      <c r="AK71" s="34"/>
      <c r="AL71" s="34"/>
      <c r="AM71" s="34"/>
      <c r="AN71" s="34"/>
      <c r="AO71" s="34"/>
      <c r="AP71" s="36"/>
      <c r="AQ71" s="37"/>
      <c r="AR71" s="40"/>
      <c r="AS71" s="38"/>
      <c r="AT71" s="40"/>
      <c r="AU71" s="111"/>
      <c r="AV71" s="37"/>
      <c r="AW71" s="42"/>
      <c r="AX71" s="52"/>
      <c r="AY71" s="23"/>
      <c r="AZ71" s="42"/>
      <c r="BA71" s="42"/>
      <c r="BB71" s="42"/>
      <c r="BC71" s="42"/>
      <c r="BD71" s="42"/>
    </row>
    <row r="72">
      <c r="A72" s="274"/>
      <c r="B72" s="272"/>
      <c r="C72" s="274"/>
      <c r="D72" s="273"/>
      <c r="E72" s="118"/>
      <c r="F72" s="37"/>
      <c r="G72" s="54"/>
      <c r="H72" s="37"/>
      <c r="I72" s="37"/>
      <c r="J72" s="37"/>
      <c r="K72" s="37"/>
      <c r="L72" s="37"/>
      <c r="M72" s="55"/>
      <c r="N72" s="37"/>
      <c r="O72" s="56"/>
      <c r="P72" s="107"/>
      <c r="Q72" s="107"/>
      <c r="R72" s="142"/>
      <c r="S72" s="37"/>
      <c r="T72" s="37"/>
      <c r="U72" s="37"/>
      <c r="V72" s="37"/>
      <c r="W72" s="37"/>
      <c r="X72" s="37"/>
      <c r="Y72" s="60"/>
      <c r="Z72" s="60"/>
      <c r="AA72" s="241"/>
      <c r="AB72" s="241"/>
      <c r="AC72" s="60"/>
      <c r="AD72" s="29"/>
      <c r="AE72" s="54"/>
      <c r="AF72" s="37"/>
      <c r="AG72" s="38"/>
      <c r="AH72" s="51"/>
      <c r="AI72" s="32"/>
      <c r="AJ72" s="33"/>
      <c r="AK72" s="34"/>
      <c r="AL72" s="34"/>
      <c r="AM72" s="34"/>
      <c r="AN72" s="34"/>
      <c r="AO72" s="34"/>
      <c r="AP72" s="36"/>
      <c r="AQ72" s="37"/>
      <c r="AR72" s="40"/>
      <c r="AS72" s="38"/>
      <c r="AT72" s="40"/>
      <c r="AU72" s="111"/>
      <c r="AV72" s="37"/>
      <c r="AW72" s="42"/>
      <c r="AX72" s="52"/>
      <c r="AY72" s="23"/>
      <c r="AZ72" s="42"/>
      <c r="BA72" s="42"/>
      <c r="BB72" s="42"/>
      <c r="BC72" s="42"/>
      <c r="BD72" s="42"/>
    </row>
    <row r="73">
      <c r="A73" s="274"/>
      <c r="B73" s="272"/>
      <c r="C73" s="274"/>
      <c r="D73" s="273"/>
      <c r="E73" s="118"/>
      <c r="F73" s="37"/>
      <c r="G73" s="54"/>
      <c r="H73" s="37"/>
      <c r="I73" s="37"/>
      <c r="J73" s="37"/>
      <c r="K73" s="37"/>
      <c r="L73" s="37"/>
      <c r="M73" s="55"/>
      <c r="N73" s="37"/>
      <c r="O73" s="56"/>
      <c r="P73" s="107"/>
      <c r="Q73" s="107"/>
      <c r="R73" s="142"/>
      <c r="S73" s="37"/>
      <c r="T73" s="37"/>
      <c r="U73" s="37"/>
      <c r="V73" s="37"/>
      <c r="W73" s="37"/>
      <c r="X73" s="37"/>
      <c r="Y73" s="60"/>
      <c r="Z73" s="60"/>
      <c r="AA73" s="241"/>
      <c r="AB73" s="241"/>
      <c r="AC73" s="60"/>
      <c r="AD73" s="29"/>
      <c r="AE73" s="54"/>
      <c r="AF73" s="37"/>
      <c r="AG73" s="38"/>
      <c r="AH73" s="51"/>
      <c r="AI73" s="32"/>
      <c r="AJ73" s="33"/>
      <c r="AK73" s="34"/>
      <c r="AL73" s="34"/>
      <c r="AM73" s="34"/>
      <c r="AN73" s="34"/>
      <c r="AO73" s="34"/>
      <c r="AP73" s="36"/>
      <c r="AQ73" s="37"/>
      <c r="AR73" s="40"/>
      <c r="AS73" s="38"/>
      <c r="AT73" s="40"/>
      <c r="AU73" s="111"/>
      <c r="AV73" s="37"/>
      <c r="AW73" s="42"/>
      <c r="AX73" s="52"/>
      <c r="AY73" s="23"/>
      <c r="AZ73" s="42"/>
      <c r="BA73" s="42"/>
      <c r="BB73" s="42"/>
      <c r="BC73" s="42"/>
      <c r="BD73" s="42"/>
    </row>
    <row r="74">
      <c r="A74" s="274"/>
      <c r="B74" s="272"/>
      <c r="C74" s="274"/>
      <c r="D74" s="273"/>
      <c r="E74" s="118"/>
      <c r="F74" s="37"/>
      <c r="G74" s="54"/>
      <c r="H74" s="37"/>
      <c r="I74" s="37"/>
      <c r="J74" s="37"/>
      <c r="K74" s="37"/>
      <c r="L74" s="37"/>
      <c r="M74" s="55"/>
      <c r="N74" s="37"/>
      <c r="O74" s="56"/>
      <c r="P74" s="107"/>
      <c r="Q74" s="107"/>
      <c r="R74" s="142"/>
      <c r="S74" s="37"/>
      <c r="T74" s="37"/>
      <c r="U74" s="37"/>
      <c r="V74" s="37"/>
      <c r="W74" s="37"/>
      <c r="X74" s="37"/>
      <c r="Y74" s="60"/>
      <c r="Z74" s="60"/>
      <c r="AA74" s="241"/>
      <c r="AB74" s="241"/>
      <c r="AC74" s="60"/>
      <c r="AD74" s="29"/>
      <c r="AE74" s="54"/>
      <c r="AF74" s="37"/>
      <c r="AG74" s="38"/>
      <c r="AH74" s="51"/>
      <c r="AI74" s="32"/>
      <c r="AJ74" s="33"/>
      <c r="AK74" s="34"/>
      <c r="AL74" s="34"/>
      <c r="AM74" s="34"/>
      <c r="AN74" s="34"/>
      <c r="AO74" s="34"/>
      <c r="AP74" s="36"/>
      <c r="AQ74" s="37"/>
      <c r="AR74" s="40"/>
      <c r="AS74" s="38"/>
      <c r="AT74" s="40"/>
      <c r="AU74" s="111"/>
      <c r="AV74" s="37"/>
      <c r="AW74" s="42"/>
      <c r="AX74" s="52"/>
      <c r="AY74" s="23"/>
      <c r="AZ74" s="42"/>
      <c r="BA74" s="42"/>
      <c r="BB74" s="42"/>
      <c r="BC74" s="42"/>
      <c r="BD74" s="42"/>
    </row>
    <row r="75">
      <c r="A75" s="274"/>
      <c r="B75" s="272"/>
      <c r="C75" s="274"/>
      <c r="D75" s="273"/>
      <c r="E75" s="118"/>
      <c r="F75" s="37"/>
      <c r="G75" s="54"/>
      <c r="H75" s="37"/>
      <c r="I75" s="37"/>
      <c r="J75" s="37"/>
      <c r="K75" s="37"/>
      <c r="L75" s="37"/>
      <c r="M75" s="55"/>
      <c r="N75" s="37"/>
      <c r="O75" s="56"/>
      <c r="P75" s="107"/>
      <c r="Q75" s="107"/>
      <c r="R75" s="142"/>
      <c r="S75" s="37"/>
      <c r="T75" s="37"/>
      <c r="U75" s="37"/>
      <c r="V75" s="37"/>
      <c r="W75" s="37"/>
      <c r="X75" s="37"/>
      <c r="Y75" s="60"/>
      <c r="Z75" s="60"/>
      <c r="AA75" s="241"/>
      <c r="AB75" s="241"/>
      <c r="AC75" s="60"/>
      <c r="AD75" s="29"/>
      <c r="AE75" s="54"/>
      <c r="AF75" s="37"/>
      <c r="AG75" s="38"/>
      <c r="AH75" s="51"/>
      <c r="AI75" s="32"/>
      <c r="AJ75" s="33"/>
      <c r="AK75" s="34"/>
      <c r="AL75" s="34"/>
      <c r="AM75" s="34"/>
      <c r="AN75" s="34"/>
      <c r="AO75" s="34"/>
      <c r="AP75" s="36"/>
      <c r="AQ75" s="37"/>
      <c r="AR75" s="40"/>
      <c r="AS75" s="38"/>
      <c r="AT75" s="40"/>
      <c r="AU75" s="111"/>
      <c r="AV75" s="37"/>
      <c r="AW75" s="42"/>
      <c r="AX75" s="52"/>
      <c r="AY75" s="23"/>
      <c r="AZ75" s="42"/>
      <c r="BA75" s="42"/>
      <c r="BB75" s="42"/>
      <c r="BC75" s="42"/>
      <c r="BD75" s="42"/>
    </row>
    <row r="76">
      <c r="A76" s="274"/>
      <c r="B76" s="272"/>
      <c r="C76" s="274"/>
      <c r="D76" s="273"/>
      <c r="E76" s="118"/>
      <c r="F76" s="37"/>
      <c r="G76" s="54"/>
      <c r="H76" s="37"/>
      <c r="I76" s="37"/>
      <c r="J76" s="37"/>
      <c r="K76" s="37"/>
      <c r="L76" s="37"/>
      <c r="M76" s="55"/>
      <c r="N76" s="37"/>
      <c r="O76" s="56"/>
      <c r="P76" s="107"/>
      <c r="Q76" s="107"/>
      <c r="R76" s="142"/>
      <c r="S76" s="37"/>
      <c r="T76" s="37"/>
      <c r="U76" s="37"/>
      <c r="V76" s="37"/>
      <c r="W76" s="37"/>
      <c r="X76" s="37"/>
      <c r="Y76" s="60"/>
      <c r="Z76" s="60"/>
      <c r="AA76" s="241"/>
      <c r="AB76" s="241"/>
      <c r="AC76" s="60"/>
      <c r="AD76" s="29"/>
      <c r="AE76" s="54"/>
      <c r="AF76" s="37"/>
      <c r="AG76" s="38"/>
      <c r="AH76" s="51"/>
      <c r="AI76" s="32"/>
      <c r="AJ76" s="33"/>
      <c r="AK76" s="34"/>
      <c r="AL76" s="34"/>
      <c r="AM76" s="34"/>
      <c r="AN76" s="34"/>
      <c r="AO76" s="34"/>
      <c r="AP76" s="36"/>
      <c r="AQ76" s="37"/>
      <c r="AR76" s="40"/>
      <c r="AS76" s="38"/>
      <c r="AT76" s="40"/>
      <c r="AU76" s="111"/>
      <c r="AV76" s="37"/>
      <c r="AW76" s="42"/>
      <c r="AX76" s="52"/>
      <c r="AY76" s="23"/>
      <c r="AZ76" s="42"/>
      <c r="BA76" s="42"/>
      <c r="BB76" s="42"/>
      <c r="BC76" s="42"/>
      <c r="BD76" s="42"/>
    </row>
    <row r="77">
      <c r="A77" s="274"/>
      <c r="B77" s="272"/>
      <c r="C77" s="274"/>
      <c r="D77" s="273"/>
      <c r="E77" s="118"/>
      <c r="F77" s="37"/>
      <c r="G77" s="54"/>
      <c r="H77" s="37"/>
      <c r="I77" s="37"/>
      <c r="J77" s="37"/>
      <c r="K77" s="37"/>
      <c r="L77" s="37"/>
      <c r="M77" s="55"/>
      <c r="N77" s="37"/>
      <c r="O77" s="56"/>
      <c r="P77" s="107"/>
      <c r="Q77" s="107"/>
      <c r="R77" s="142"/>
      <c r="S77" s="37"/>
      <c r="T77" s="37"/>
      <c r="U77" s="37"/>
      <c r="V77" s="37"/>
      <c r="W77" s="37"/>
      <c r="X77" s="37"/>
      <c r="Y77" s="60"/>
      <c r="Z77" s="60"/>
      <c r="AA77" s="241"/>
      <c r="AB77" s="241"/>
      <c r="AC77" s="60"/>
      <c r="AD77" s="29"/>
      <c r="AE77" s="54"/>
      <c r="AF77" s="37"/>
      <c r="AG77" s="38"/>
      <c r="AH77" s="51"/>
      <c r="AI77" s="32"/>
      <c r="AJ77" s="33"/>
      <c r="AK77" s="34"/>
      <c r="AL77" s="34"/>
      <c r="AM77" s="34"/>
      <c r="AN77" s="34"/>
      <c r="AO77" s="34"/>
      <c r="AP77" s="36"/>
      <c r="AQ77" s="37"/>
      <c r="AR77" s="40"/>
      <c r="AS77" s="38"/>
      <c r="AT77" s="40"/>
      <c r="AU77" s="111"/>
      <c r="AV77" s="37"/>
      <c r="AW77" s="42"/>
      <c r="AX77" s="52"/>
      <c r="AY77" s="23"/>
      <c r="AZ77" s="42"/>
      <c r="BA77" s="42"/>
      <c r="BB77" s="42"/>
      <c r="BC77" s="42"/>
      <c r="BD77" s="42"/>
    </row>
    <row r="78">
      <c r="A78" s="274"/>
      <c r="B78" s="272"/>
      <c r="C78" s="274"/>
      <c r="D78" s="273"/>
      <c r="E78" s="118"/>
      <c r="F78" s="37"/>
      <c r="G78" s="54"/>
      <c r="H78" s="37"/>
      <c r="I78" s="37"/>
      <c r="J78" s="37"/>
      <c r="K78" s="37"/>
      <c r="L78" s="37"/>
      <c r="M78" s="55"/>
      <c r="N78" s="37"/>
      <c r="O78" s="56"/>
      <c r="P78" s="107"/>
      <c r="Q78" s="107"/>
      <c r="R78" s="142"/>
      <c r="S78" s="37"/>
      <c r="T78" s="37"/>
      <c r="U78" s="37"/>
      <c r="V78" s="37"/>
      <c r="W78" s="37"/>
      <c r="X78" s="37"/>
      <c r="Y78" s="60"/>
      <c r="Z78" s="60"/>
      <c r="AA78" s="241"/>
      <c r="AB78" s="241"/>
      <c r="AC78" s="60"/>
      <c r="AD78" s="29"/>
      <c r="AE78" s="54"/>
      <c r="AF78" s="37"/>
      <c r="AG78" s="38"/>
      <c r="AH78" s="51"/>
      <c r="AI78" s="32"/>
      <c r="AJ78" s="33"/>
      <c r="AK78" s="34"/>
      <c r="AL78" s="34"/>
      <c r="AM78" s="34"/>
      <c r="AN78" s="34"/>
      <c r="AO78" s="34"/>
      <c r="AP78" s="36"/>
      <c r="AQ78" s="37"/>
      <c r="AR78" s="40"/>
      <c r="AS78" s="38"/>
      <c r="AT78" s="40"/>
      <c r="AU78" s="111"/>
      <c r="AV78" s="37"/>
      <c r="AW78" s="42"/>
      <c r="AX78" s="52"/>
      <c r="AY78" s="23"/>
      <c r="AZ78" s="42"/>
      <c r="BA78" s="42"/>
      <c r="BB78" s="42"/>
      <c r="BC78" s="42"/>
      <c r="BD78" s="42"/>
    </row>
    <row r="79">
      <c r="A79" s="274"/>
      <c r="B79" s="272"/>
      <c r="C79" s="274"/>
      <c r="D79" s="273"/>
      <c r="E79" s="118"/>
      <c r="F79" s="37"/>
      <c r="G79" s="54"/>
      <c r="H79" s="37"/>
      <c r="I79" s="37"/>
      <c r="J79" s="37"/>
      <c r="K79" s="37"/>
      <c r="L79" s="37"/>
      <c r="M79" s="55"/>
      <c r="N79" s="37"/>
      <c r="O79" s="56"/>
      <c r="P79" s="107"/>
      <c r="Q79" s="107"/>
      <c r="R79" s="142"/>
      <c r="S79" s="37"/>
      <c r="T79" s="37"/>
      <c r="U79" s="37"/>
      <c r="V79" s="37"/>
      <c r="W79" s="37"/>
      <c r="X79" s="37"/>
      <c r="Y79" s="60"/>
      <c r="Z79" s="60"/>
      <c r="AA79" s="241"/>
      <c r="AB79" s="241"/>
      <c r="AC79" s="60"/>
      <c r="AD79" s="29"/>
      <c r="AE79" s="54"/>
      <c r="AF79" s="37"/>
      <c r="AG79" s="38"/>
      <c r="AH79" s="51"/>
      <c r="AI79" s="32"/>
      <c r="AJ79" s="33"/>
      <c r="AK79" s="34"/>
      <c r="AL79" s="34"/>
      <c r="AM79" s="34"/>
      <c r="AN79" s="34"/>
      <c r="AO79" s="34"/>
      <c r="AP79" s="36"/>
      <c r="AQ79" s="37"/>
      <c r="AR79" s="40"/>
      <c r="AS79" s="38"/>
      <c r="AT79" s="40"/>
      <c r="AU79" s="111"/>
      <c r="AV79" s="37"/>
      <c r="AW79" s="42"/>
      <c r="AX79" s="52"/>
      <c r="AY79" s="23"/>
      <c r="AZ79" s="42"/>
      <c r="BA79" s="42"/>
      <c r="BB79" s="42"/>
      <c r="BC79" s="42"/>
      <c r="BD79" s="42"/>
    </row>
    <row r="80">
      <c r="A80" s="274"/>
      <c r="B80" s="272"/>
      <c r="C80" s="274"/>
      <c r="D80" s="273"/>
      <c r="E80" s="118"/>
      <c r="F80" s="37"/>
      <c r="G80" s="54"/>
      <c r="H80" s="37"/>
      <c r="I80" s="37"/>
      <c r="J80" s="37"/>
      <c r="K80" s="37"/>
      <c r="L80" s="37"/>
      <c r="M80" s="55"/>
      <c r="N80" s="37"/>
      <c r="O80" s="56"/>
      <c r="P80" s="107"/>
      <c r="Q80" s="107"/>
      <c r="R80" s="142"/>
      <c r="S80" s="37"/>
      <c r="T80" s="37"/>
      <c r="U80" s="37"/>
      <c r="V80" s="37"/>
      <c r="W80" s="37"/>
      <c r="X80" s="37"/>
      <c r="Y80" s="60"/>
      <c r="Z80" s="60"/>
      <c r="AA80" s="241"/>
      <c r="AB80" s="241"/>
      <c r="AC80" s="60"/>
      <c r="AD80" s="29"/>
      <c r="AE80" s="54"/>
      <c r="AF80" s="37"/>
      <c r="AG80" s="38"/>
      <c r="AH80" s="51"/>
      <c r="AI80" s="32"/>
      <c r="AJ80" s="33"/>
      <c r="AK80" s="34"/>
      <c r="AL80" s="34"/>
      <c r="AM80" s="34"/>
      <c r="AN80" s="34"/>
      <c r="AO80" s="34"/>
      <c r="AP80" s="36"/>
      <c r="AQ80" s="37"/>
      <c r="AR80" s="40"/>
      <c r="AS80" s="38"/>
      <c r="AT80" s="40"/>
      <c r="AU80" s="111"/>
      <c r="AV80" s="37"/>
      <c r="AW80" s="42"/>
      <c r="AX80" s="52"/>
      <c r="AY80" s="23"/>
      <c r="AZ80" s="42"/>
      <c r="BA80" s="42"/>
      <c r="BB80" s="42"/>
      <c r="BC80" s="42"/>
      <c r="BD80" s="42"/>
    </row>
    <row r="81">
      <c r="A81" s="274"/>
      <c r="B81" s="272"/>
      <c r="C81" s="274"/>
      <c r="D81" s="273"/>
      <c r="E81" s="118"/>
      <c r="F81" s="37"/>
      <c r="G81" s="54"/>
      <c r="H81" s="37"/>
      <c r="I81" s="37"/>
      <c r="J81" s="37"/>
      <c r="K81" s="37"/>
      <c r="L81" s="37"/>
      <c r="M81" s="55"/>
      <c r="N81" s="37"/>
      <c r="O81" s="56"/>
      <c r="P81" s="107"/>
      <c r="Q81" s="107"/>
      <c r="R81" s="142"/>
      <c r="S81" s="37"/>
      <c r="T81" s="37"/>
      <c r="U81" s="37"/>
      <c r="V81" s="37"/>
      <c r="W81" s="37"/>
      <c r="X81" s="37"/>
      <c r="Y81" s="60"/>
      <c r="Z81" s="60"/>
      <c r="AA81" s="241"/>
      <c r="AB81" s="241"/>
      <c r="AC81" s="60"/>
      <c r="AD81" s="29"/>
      <c r="AE81" s="54"/>
      <c r="AF81" s="37"/>
      <c r="AG81" s="38"/>
      <c r="AH81" s="51"/>
      <c r="AI81" s="32"/>
      <c r="AJ81" s="33"/>
      <c r="AK81" s="34"/>
      <c r="AL81" s="34"/>
      <c r="AM81" s="34"/>
      <c r="AN81" s="34"/>
      <c r="AO81" s="34"/>
      <c r="AP81" s="36"/>
      <c r="AQ81" s="37"/>
      <c r="AR81" s="40"/>
      <c r="AS81" s="38"/>
      <c r="AT81" s="40"/>
      <c r="AU81" s="111"/>
      <c r="AV81" s="37"/>
      <c r="AW81" s="42"/>
      <c r="AX81" s="52"/>
      <c r="AY81" s="23"/>
      <c r="AZ81" s="42"/>
      <c r="BA81" s="42"/>
      <c r="BB81" s="42"/>
      <c r="BC81" s="42"/>
      <c r="BD81" s="42"/>
    </row>
    <row r="82">
      <c r="A82" s="274"/>
      <c r="B82" s="272"/>
      <c r="C82" s="274"/>
      <c r="D82" s="273"/>
      <c r="E82" s="118"/>
      <c r="F82" s="37"/>
      <c r="G82" s="54"/>
      <c r="H82" s="37"/>
      <c r="I82" s="37"/>
      <c r="J82" s="37"/>
      <c r="K82" s="37"/>
      <c r="L82" s="37"/>
      <c r="M82" s="55"/>
      <c r="N82" s="37"/>
      <c r="O82" s="56"/>
      <c r="P82" s="107"/>
      <c r="Q82" s="107"/>
      <c r="R82" s="142"/>
      <c r="S82" s="37"/>
      <c r="T82" s="37"/>
      <c r="U82" s="37"/>
      <c r="V82" s="37"/>
      <c r="W82" s="37"/>
      <c r="X82" s="37"/>
      <c r="Y82" s="60"/>
      <c r="Z82" s="60"/>
      <c r="AA82" s="241"/>
      <c r="AB82" s="241"/>
      <c r="AC82" s="60"/>
      <c r="AD82" s="29"/>
      <c r="AE82" s="54"/>
      <c r="AF82" s="37"/>
      <c r="AG82" s="38"/>
      <c r="AH82" s="51"/>
      <c r="AI82" s="32"/>
      <c r="AJ82" s="33"/>
      <c r="AK82" s="34"/>
      <c r="AL82" s="34"/>
      <c r="AM82" s="34"/>
      <c r="AN82" s="34"/>
      <c r="AO82" s="34"/>
      <c r="AP82" s="36"/>
      <c r="AQ82" s="37"/>
      <c r="AR82" s="40"/>
      <c r="AS82" s="38"/>
      <c r="AT82" s="40"/>
      <c r="AU82" s="111"/>
      <c r="AV82" s="37"/>
      <c r="AW82" s="42"/>
      <c r="AX82" s="52"/>
      <c r="AY82" s="23"/>
      <c r="AZ82" s="42"/>
      <c r="BA82" s="42"/>
      <c r="BB82" s="42"/>
      <c r="BC82" s="42"/>
      <c r="BD82" s="42"/>
    </row>
    <row r="83">
      <c r="A83" s="274"/>
      <c r="B83" s="272"/>
      <c r="C83" s="274"/>
      <c r="D83" s="273"/>
      <c r="E83" s="118"/>
      <c r="F83" s="37"/>
      <c r="G83" s="54"/>
      <c r="H83" s="37"/>
      <c r="I83" s="37"/>
      <c r="J83" s="37"/>
      <c r="K83" s="37"/>
      <c r="L83" s="37"/>
      <c r="M83" s="55"/>
      <c r="N83" s="37"/>
      <c r="O83" s="56"/>
      <c r="P83" s="107"/>
      <c r="Q83" s="107"/>
      <c r="R83" s="142"/>
      <c r="S83" s="37"/>
      <c r="T83" s="37"/>
      <c r="U83" s="37"/>
      <c r="V83" s="37"/>
      <c r="W83" s="37"/>
      <c r="X83" s="37"/>
      <c r="Y83" s="60"/>
      <c r="Z83" s="60"/>
      <c r="AA83" s="241"/>
      <c r="AB83" s="241"/>
      <c r="AC83" s="60"/>
      <c r="AD83" s="29"/>
      <c r="AE83" s="54"/>
      <c r="AF83" s="37"/>
      <c r="AG83" s="38"/>
      <c r="AH83" s="51"/>
      <c r="AI83" s="32"/>
      <c r="AJ83" s="33"/>
      <c r="AK83" s="34"/>
      <c r="AL83" s="34"/>
      <c r="AM83" s="34"/>
      <c r="AN83" s="34"/>
      <c r="AO83" s="34"/>
      <c r="AP83" s="36"/>
      <c r="AQ83" s="37"/>
      <c r="AR83" s="40"/>
      <c r="AS83" s="38"/>
      <c r="AT83" s="40"/>
      <c r="AU83" s="111"/>
      <c r="AV83" s="37"/>
      <c r="AW83" s="42"/>
      <c r="AX83" s="52"/>
      <c r="AY83" s="23"/>
      <c r="AZ83" s="42"/>
      <c r="BA83" s="42"/>
      <c r="BB83" s="42"/>
      <c r="BC83" s="42"/>
      <c r="BD83" s="42"/>
    </row>
    <row r="84">
      <c r="A84" s="274"/>
      <c r="B84" s="272"/>
      <c r="C84" s="274"/>
      <c r="D84" s="273"/>
      <c r="E84" s="118"/>
      <c r="F84" s="37"/>
      <c r="G84" s="54"/>
      <c r="H84" s="37"/>
      <c r="I84" s="37"/>
      <c r="J84" s="37"/>
      <c r="K84" s="37"/>
      <c r="L84" s="37"/>
      <c r="M84" s="55"/>
      <c r="N84" s="37"/>
      <c r="O84" s="56"/>
      <c r="P84" s="107"/>
      <c r="Q84" s="107"/>
      <c r="R84" s="142"/>
      <c r="S84" s="37"/>
      <c r="T84" s="37"/>
      <c r="U84" s="37"/>
      <c r="V84" s="37"/>
      <c r="W84" s="37"/>
      <c r="X84" s="37"/>
      <c r="Y84" s="60"/>
      <c r="Z84" s="60"/>
      <c r="AA84" s="241"/>
      <c r="AB84" s="241"/>
      <c r="AC84" s="60"/>
      <c r="AD84" s="29"/>
      <c r="AE84" s="54"/>
      <c r="AF84" s="37"/>
      <c r="AG84" s="38"/>
      <c r="AH84" s="51"/>
      <c r="AI84" s="32"/>
      <c r="AJ84" s="33"/>
      <c r="AK84" s="34"/>
      <c r="AL84" s="34"/>
      <c r="AM84" s="34"/>
      <c r="AN84" s="34"/>
      <c r="AO84" s="34"/>
      <c r="AP84" s="36"/>
      <c r="AQ84" s="37"/>
      <c r="AR84" s="40"/>
      <c r="AS84" s="38"/>
      <c r="AT84" s="40"/>
      <c r="AU84" s="111"/>
      <c r="AV84" s="37"/>
      <c r="AW84" s="42"/>
      <c r="AX84" s="52"/>
      <c r="AY84" s="23"/>
      <c r="AZ84" s="42"/>
      <c r="BA84" s="42"/>
      <c r="BB84" s="42"/>
      <c r="BC84" s="42"/>
      <c r="BD84" s="42"/>
    </row>
    <row r="85">
      <c r="A85" s="274"/>
      <c r="B85" s="272"/>
      <c r="C85" s="274"/>
      <c r="D85" s="273"/>
      <c r="E85" s="118"/>
      <c r="F85" s="37"/>
      <c r="G85" s="54"/>
      <c r="H85" s="37"/>
      <c r="I85" s="37"/>
      <c r="J85" s="37"/>
      <c r="K85" s="37"/>
      <c r="L85" s="37"/>
      <c r="M85" s="55"/>
      <c r="N85" s="37"/>
      <c r="O85" s="56"/>
      <c r="P85" s="107"/>
      <c r="Q85" s="107"/>
      <c r="R85" s="142"/>
      <c r="S85" s="37"/>
      <c r="T85" s="37"/>
      <c r="U85" s="37"/>
      <c r="V85" s="37"/>
      <c r="W85" s="37"/>
      <c r="X85" s="37"/>
      <c r="Y85" s="60"/>
      <c r="Z85" s="60"/>
      <c r="AA85" s="241"/>
      <c r="AB85" s="241"/>
      <c r="AC85" s="60"/>
      <c r="AD85" s="29"/>
      <c r="AE85" s="54"/>
      <c r="AF85" s="37"/>
      <c r="AG85" s="38"/>
      <c r="AH85" s="51"/>
      <c r="AI85" s="32"/>
      <c r="AJ85" s="33"/>
      <c r="AK85" s="34"/>
      <c r="AL85" s="34"/>
      <c r="AM85" s="34"/>
      <c r="AN85" s="34"/>
      <c r="AO85" s="34"/>
      <c r="AP85" s="36"/>
      <c r="AQ85" s="37"/>
      <c r="AR85" s="40"/>
      <c r="AS85" s="38"/>
      <c r="AT85" s="40"/>
      <c r="AU85" s="111"/>
      <c r="AV85" s="37"/>
      <c r="AW85" s="42"/>
      <c r="AX85" s="52"/>
      <c r="AY85" s="23"/>
      <c r="AZ85" s="42"/>
      <c r="BA85" s="42"/>
      <c r="BB85" s="42"/>
      <c r="BC85" s="42"/>
      <c r="BD85" s="42"/>
    </row>
    <row r="86">
      <c r="A86" s="274"/>
      <c r="B86" s="272"/>
      <c r="C86" s="274"/>
      <c r="D86" s="273"/>
      <c r="E86" s="118"/>
      <c r="F86" s="37"/>
      <c r="G86" s="54"/>
      <c r="H86" s="37"/>
      <c r="I86" s="37"/>
      <c r="J86" s="37"/>
      <c r="K86" s="37"/>
      <c r="L86" s="37"/>
      <c r="M86" s="55"/>
      <c r="N86" s="37"/>
      <c r="O86" s="56"/>
      <c r="P86" s="107"/>
      <c r="Q86" s="107"/>
      <c r="R86" s="142"/>
      <c r="S86" s="37"/>
      <c r="T86" s="37"/>
      <c r="U86" s="37"/>
      <c r="V86" s="37"/>
      <c r="W86" s="37"/>
      <c r="X86" s="37"/>
      <c r="Y86" s="60"/>
      <c r="Z86" s="60"/>
      <c r="AA86" s="241"/>
      <c r="AB86" s="241"/>
      <c r="AC86" s="60"/>
      <c r="AD86" s="29"/>
      <c r="AE86" s="54"/>
      <c r="AF86" s="37"/>
      <c r="AG86" s="38"/>
      <c r="AH86" s="51"/>
      <c r="AI86" s="32"/>
      <c r="AJ86" s="33"/>
      <c r="AK86" s="34"/>
      <c r="AL86" s="34"/>
      <c r="AM86" s="34"/>
      <c r="AN86" s="34"/>
      <c r="AO86" s="34"/>
      <c r="AP86" s="36"/>
      <c r="AQ86" s="37"/>
      <c r="AR86" s="40"/>
      <c r="AS86" s="38"/>
      <c r="AT86" s="40"/>
      <c r="AU86" s="111"/>
      <c r="AV86" s="37"/>
      <c r="AW86" s="42"/>
      <c r="AX86" s="52"/>
      <c r="AY86" s="23"/>
      <c r="AZ86" s="42"/>
      <c r="BA86" s="42"/>
      <c r="BB86" s="42"/>
      <c r="BC86" s="42"/>
      <c r="BD86" s="42"/>
    </row>
    <row r="87">
      <c r="A87" s="274"/>
      <c r="B87" s="272"/>
      <c r="C87" s="274"/>
      <c r="D87" s="273"/>
      <c r="E87" s="118"/>
      <c r="F87" s="37"/>
      <c r="G87" s="54"/>
      <c r="H87" s="37"/>
      <c r="I87" s="37"/>
      <c r="J87" s="37"/>
      <c r="K87" s="37"/>
      <c r="L87" s="37"/>
      <c r="M87" s="55"/>
      <c r="N87" s="37"/>
      <c r="O87" s="56"/>
      <c r="P87" s="107"/>
      <c r="Q87" s="107"/>
      <c r="R87" s="142"/>
      <c r="S87" s="37"/>
      <c r="T87" s="37"/>
      <c r="U87" s="37"/>
      <c r="V87" s="37"/>
      <c r="W87" s="37"/>
      <c r="X87" s="37"/>
      <c r="Y87" s="60"/>
      <c r="Z87" s="60"/>
      <c r="AA87" s="241"/>
      <c r="AB87" s="241"/>
      <c r="AC87" s="60"/>
      <c r="AD87" s="29"/>
      <c r="AE87" s="54"/>
      <c r="AF87" s="37"/>
      <c r="AG87" s="38"/>
      <c r="AH87" s="51"/>
      <c r="AI87" s="32"/>
      <c r="AJ87" s="33"/>
      <c r="AK87" s="34"/>
      <c r="AL87" s="34"/>
      <c r="AM87" s="34"/>
      <c r="AN87" s="34"/>
      <c r="AO87" s="34"/>
      <c r="AP87" s="36"/>
      <c r="AQ87" s="37"/>
      <c r="AR87" s="40"/>
      <c r="AS87" s="38"/>
      <c r="AT87" s="40"/>
      <c r="AU87" s="111"/>
      <c r="AV87" s="37"/>
      <c r="AW87" s="42"/>
      <c r="AX87" s="52"/>
      <c r="AY87" s="23"/>
      <c r="AZ87" s="42"/>
      <c r="BA87" s="42"/>
      <c r="BB87" s="42"/>
      <c r="BC87" s="42"/>
      <c r="BD87" s="42"/>
    </row>
    <row r="88">
      <c r="A88" s="274"/>
      <c r="B88" s="272"/>
      <c r="C88" s="274"/>
      <c r="D88" s="273"/>
      <c r="E88" s="118"/>
      <c r="F88" s="37"/>
      <c r="G88" s="54"/>
      <c r="H88" s="37"/>
      <c r="I88" s="37"/>
      <c r="J88" s="37"/>
      <c r="K88" s="37"/>
      <c r="L88" s="37"/>
      <c r="M88" s="55"/>
      <c r="N88" s="37"/>
      <c r="O88" s="56"/>
      <c r="P88" s="107"/>
      <c r="Q88" s="107"/>
      <c r="R88" s="142"/>
      <c r="S88" s="37"/>
      <c r="T88" s="37"/>
      <c r="U88" s="37"/>
      <c r="V88" s="37"/>
      <c r="W88" s="37"/>
      <c r="X88" s="37"/>
      <c r="Y88" s="60"/>
      <c r="Z88" s="60"/>
      <c r="AA88" s="241"/>
      <c r="AB88" s="241"/>
      <c r="AC88" s="60"/>
      <c r="AD88" s="29"/>
      <c r="AE88" s="54"/>
      <c r="AF88" s="37"/>
      <c r="AG88" s="38"/>
      <c r="AH88" s="51"/>
      <c r="AI88" s="32"/>
      <c r="AJ88" s="33"/>
      <c r="AK88" s="34"/>
      <c r="AL88" s="34"/>
      <c r="AM88" s="34"/>
      <c r="AN88" s="34"/>
      <c r="AO88" s="34"/>
      <c r="AP88" s="36"/>
      <c r="AQ88" s="37"/>
      <c r="AR88" s="40"/>
      <c r="AS88" s="38"/>
      <c r="AT88" s="40"/>
      <c r="AU88" s="111"/>
      <c r="AV88" s="37"/>
      <c r="AW88" s="42"/>
      <c r="AX88" s="52"/>
      <c r="AY88" s="23"/>
      <c r="AZ88" s="42"/>
      <c r="BA88" s="42"/>
      <c r="BB88" s="42"/>
      <c r="BC88" s="42"/>
      <c r="BD88" s="42"/>
    </row>
    <row r="89">
      <c r="A89" s="274"/>
      <c r="B89" s="272"/>
      <c r="C89" s="274"/>
      <c r="D89" s="273"/>
      <c r="E89" s="118"/>
      <c r="F89" s="37"/>
      <c r="G89" s="54"/>
      <c r="H89" s="37"/>
      <c r="I89" s="37"/>
      <c r="J89" s="37"/>
      <c r="K89" s="37"/>
      <c r="L89" s="37"/>
      <c r="M89" s="55"/>
      <c r="N89" s="37"/>
      <c r="O89" s="56"/>
      <c r="P89" s="107"/>
      <c r="Q89" s="107"/>
      <c r="R89" s="142"/>
      <c r="S89" s="37"/>
      <c r="T89" s="37"/>
      <c r="U89" s="37"/>
      <c r="V89" s="37"/>
      <c r="W89" s="37"/>
      <c r="X89" s="37"/>
      <c r="Y89" s="60"/>
      <c r="Z89" s="60"/>
      <c r="AA89" s="241"/>
      <c r="AB89" s="241"/>
      <c r="AC89" s="60"/>
      <c r="AD89" s="29"/>
      <c r="AE89" s="54"/>
      <c r="AF89" s="37"/>
      <c r="AG89" s="38"/>
      <c r="AH89" s="51"/>
      <c r="AI89" s="32"/>
      <c r="AJ89" s="33"/>
      <c r="AK89" s="34"/>
      <c r="AL89" s="34"/>
      <c r="AM89" s="34"/>
      <c r="AN89" s="34"/>
      <c r="AO89" s="34"/>
      <c r="AP89" s="36"/>
      <c r="AQ89" s="37"/>
      <c r="AR89" s="40"/>
      <c r="AS89" s="38"/>
      <c r="AT89" s="40"/>
      <c r="AU89" s="111"/>
      <c r="AV89" s="37"/>
      <c r="AW89" s="42"/>
      <c r="AX89" s="52"/>
      <c r="AY89" s="23"/>
      <c r="AZ89" s="42"/>
      <c r="BA89" s="42"/>
      <c r="BB89" s="42"/>
      <c r="BC89" s="42"/>
      <c r="BD89" s="42"/>
    </row>
    <row r="90">
      <c r="A90" s="274"/>
      <c r="B90" s="272"/>
      <c r="C90" s="274"/>
      <c r="D90" s="273"/>
      <c r="E90" s="118"/>
      <c r="F90" s="37"/>
      <c r="G90" s="54"/>
      <c r="H90" s="37"/>
      <c r="I90" s="37"/>
      <c r="J90" s="37"/>
      <c r="K90" s="37"/>
      <c r="L90" s="37"/>
      <c r="M90" s="55"/>
      <c r="N90" s="37"/>
      <c r="O90" s="56"/>
      <c r="P90" s="107"/>
      <c r="Q90" s="107"/>
      <c r="R90" s="142"/>
      <c r="S90" s="37"/>
      <c r="T90" s="37"/>
      <c r="U90" s="37"/>
      <c r="V90" s="37"/>
      <c r="W90" s="37"/>
      <c r="X90" s="37"/>
      <c r="Y90" s="60"/>
      <c r="Z90" s="60"/>
      <c r="AA90" s="241"/>
      <c r="AB90" s="241"/>
      <c r="AC90" s="60"/>
      <c r="AD90" s="29"/>
      <c r="AE90" s="54"/>
      <c r="AF90" s="37"/>
      <c r="AG90" s="38"/>
      <c r="AH90" s="51"/>
      <c r="AI90" s="32"/>
      <c r="AJ90" s="33"/>
      <c r="AK90" s="34"/>
      <c r="AL90" s="34"/>
      <c r="AM90" s="34"/>
      <c r="AN90" s="34"/>
      <c r="AO90" s="34"/>
      <c r="AP90" s="36"/>
      <c r="AQ90" s="37"/>
      <c r="AR90" s="40"/>
      <c r="AS90" s="38"/>
      <c r="AT90" s="40"/>
      <c r="AU90" s="111"/>
      <c r="AV90" s="37"/>
      <c r="AW90" s="42"/>
      <c r="AX90" s="52"/>
      <c r="AY90" s="23"/>
      <c r="AZ90" s="42"/>
      <c r="BA90" s="42"/>
      <c r="BB90" s="42"/>
      <c r="BC90" s="42"/>
      <c r="BD90" s="42"/>
    </row>
    <row r="91">
      <c r="A91" s="274"/>
      <c r="B91" s="272"/>
      <c r="C91" s="274"/>
      <c r="D91" s="273"/>
      <c r="E91" s="118"/>
      <c r="F91" s="37"/>
      <c r="G91" s="54"/>
      <c r="H91" s="37"/>
      <c r="I91" s="37"/>
      <c r="J91" s="37"/>
      <c r="K91" s="37"/>
      <c r="L91" s="37"/>
      <c r="M91" s="55"/>
      <c r="N91" s="37"/>
      <c r="O91" s="56"/>
      <c r="P91" s="107"/>
      <c r="Q91" s="107"/>
      <c r="R91" s="142"/>
      <c r="S91" s="37"/>
      <c r="T91" s="37"/>
      <c r="U91" s="37"/>
      <c r="V91" s="37"/>
      <c r="W91" s="37"/>
      <c r="X91" s="37"/>
      <c r="Y91" s="60"/>
      <c r="Z91" s="60"/>
      <c r="AA91" s="241"/>
      <c r="AB91" s="241"/>
      <c r="AC91" s="60"/>
      <c r="AD91" s="29"/>
      <c r="AE91" s="54"/>
      <c r="AF91" s="37"/>
      <c r="AG91" s="38"/>
      <c r="AH91" s="51"/>
      <c r="AI91" s="32"/>
      <c r="AJ91" s="33"/>
      <c r="AK91" s="34"/>
      <c r="AL91" s="34"/>
      <c r="AM91" s="34"/>
      <c r="AN91" s="34"/>
      <c r="AO91" s="34"/>
      <c r="AP91" s="36"/>
      <c r="AQ91" s="37"/>
      <c r="AR91" s="40"/>
      <c r="AS91" s="38"/>
      <c r="AT91" s="40"/>
      <c r="AU91" s="111"/>
      <c r="AV91" s="37"/>
      <c r="AW91" s="42"/>
      <c r="AX91" s="52"/>
      <c r="AY91" s="23"/>
      <c r="AZ91" s="42"/>
      <c r="BA91" s="42"/>
      <c r="BB91" s="42"/>
      <c r="BC91" s="42"/>
      <c r="BD91" s="42"/>
    </row>
    <row r="92">
      <c r="A92" s="274"/>
      <c r="B92" s="272"/>
      <c r="C92" s="274"/>
      <c r="D92" s="273"/>
      <c r="E92" s="118"/>
      <c r="F92" s="37"/>
      <c r="G92" s="54"/>
      <c r="H92" s="37"/>
      <c r="I92" s="37"/>
      <c r="J92" s="37"/>
      <c r="K92" s="37"/>
      <c r="L92" s="37"/>
      <c r="M92" s="55"/>
      <c r="N92" s="37"/>
      <c r="O92" s="56"/>
      <c r="P92" s="107"/>
      <c r="Q92" s="107"/>
      <c r="R92" s="142"/>
      <c r="S92" s="37"/>
      <c r="T92" s="37"/>
      <c r="U92" s="37"/>
      <c r="V92" s="37"/>
      <c r="W92" s="37"/>
      <c r="X92" s="37"/>
      <c r="Y92" s="60"/>
      <c r="Z92" s="60"/>
      <c r="AA92" s="241"/>
      <c r="AB92" s="241"/>
      <c r="AC92" s="60"/>
      <c r="AD92" s="29"/>
      <c r="AE92" s="54"/>
      <c r="AF92" s="37"/>
      <c r="AG92" s="38"/>
      <c r="AH92" s="51"/>
      <c r="AI92" s="32"/>
      <c r="AJ92" s="33"/>
      <c r="AK92" s="34"/>
      <c r="AL92" s="34"/>
      <c r="AM92" s="34"/>
      <c r="AN92" s="34"/>
      <c r="AO92" s="34"/>
      <c r="AP92" s="36"/>
      <c r="AQ92" s="37"/>
      <c r="AR92" s="40"/>
      <c r="AS92" s="38"/>
      <c r="AT92" s="40"/>
      <c r="AU92" s="111"/>
      <c r="AV92" s="37"/>
      <c r="AW92" s="42"/>
      <c r="AX92" s="52"/>
      <c r="AY92" s="23"/>
      <c r="AZ92" s="42"/>
      <c r="BA92" s="42"/>
      <c r="BB92" s="42"/>
      <c r="BC92" s="42"/>
      <c r="BD92" s="42"/>
    </row>
    <row r="93">
      <c r="A93" s="274"/>
      <c r="B93" s="272"/>
      <c r="C93" s="274"/>
      <c r="D93" s="273"/>
      <c r="E93" s="118"/>
      <c r="F93" s="37"/>
      <c r="G93" s="54"/>
      <c r="H93" s="37"/>
      <c r="I93" s="37"/>
      <c r="J93" s="37"/>
      <c r="K93" s="37"/>
      <c r="L93" s="37"/>
      <c r="M93" s="55"/>
      <c r="N93" s="37"/>
      <c r="O93" s="56"/>
      <c r="P93" s="107"/>
      <c r="Q93" s="107"/>
      <c r="R93" s="142"/>
      <c r="S93" s="37"/>
      <c r="T93" s="37"/>
      <c r="U93" s="37"/>
      <c r="V93" s="37"/>
      <c r="W93" s="37"/>
      <c r="X93" s="37"/>
      <c r="Y93" s="60"/>
      <c r="Z93" s="60"/>
      <c r="AA93" s="241"/>
      <c r="AB93" s="241"/>
      <c r="AC93" s="60"/>
      <c r="AD93" s="29"/>
      <c r="AE93" s="54"/>
      <c r="AF93" s="37"/>
      <c r="AG93" s="38"/>
      <c r="AH93" s="51"/>
      <c r="AI93" s="32"/>
      <c r="AJ93" s="33"/>
      <c r="AK93" s="34"/>
      <c r="AL93" s="34"/>
      <c r="AM93" s="34"/>
      <c r="AN93" s="34"/>
      <c r="AO93" s="34"/>
      <c r="AP93" s="36"/>
      <c r="AQ93" s="37"/>
      <c r="AR93" s="40"/>
      <c r="AS93" s="38"/>
      <c r="AT93" s="40"/>
      <c r="AU93" s="111"/>
      <c r="AV93" s="37"/>
      <c r="AW93" s="42"/>
      <c r="AX93" s="52"/>
      <c r="AY93" s="23"/>
      <c r="AZ93" s="42"/>
      <c r="BA93" s="42"/>
      <c r="BB93" s="42"/>
      <c r="BC93" s="42"/>
      <c r="BD93" s="42"/>
    </row>
    <row r="94">
      <c r="A94" s="274"/>
      <c r="B94" s="272"/>
      <c r="C94" s="274"/>
      <c r="D94" s="273"/>
      <c r="E94" s="118"/>
      <c r="F94" s="37"/>
      <c r="G94" s="54"/>
      <c r="H94" s="37"/>
      <c r="I94" s="37"/>
      <c r="J94" s="37"/>
      <c r="K94" s="37"/>
      <c r="L94" s="37"/>
      <c r="M94" s="55"/>
      <c r="N94" s="37"/>
      <c r="O94" s="56"/>
      <c r="P94" s="107"/>
      <c r="Q94" s="107"/>
      <c r="R94" s="142"/>
      <c r="S94" s="37"/>
      <c r="T94" s="37"/>
      <c r="U94" s="37"/>
      <c r="V94" s="37"/>
      <c r="W94" s="37"/>
      <c r="X94" s="37"/>
      <c r="Y94" s="60"/>
      <c r="Z94" s="60"/>
      <c r="AA94" s="241"/>
      <c r="AB94" s="241"/>
      <c r="AC94" s="60"/>
      <c r="AD94" s="29"/>
      <c r="AE94" s="54"/>
      <c r="AF94" s="37"/>
      <c r="AG94" s="38"/>
      <c r="AH94" s="51"/>
      <c r="AI94" s="32"/>
      <c r="AJ94" s="33"/>
      <c r="AK94" s="34"/>
      <c r="AL94" s="34"/>
      <c r="AM94" s="34"/>
      <c r="AN94" s="34"/>
      <c r="AO94" s="34"/>
      <c r="AP94" s="36"/>
      <c r="AQ94" s="37"/>
      <c r="AR94" s="40"/>
      <c r="AS94" s="38"/>
      <c r="AT94" s="40"/>
      <c r="AU94" s="111"/>
      <c r="AV94" s="37"/>
      <c r="AW94" s="42"/>
      <c r="AX94" s="52"/>
      <c r="AY94" s="23"/>
      <c r="AZ94" s="42"/>
      <c r="BA94" s="42"/>
      <c r="BB94" s="42"/>
      <c r="BC94" s="42"/>
      <c r="BD94" s="42"/>
    </row>
    <row r="95">
      <c r="A95" s="274"/>
      <c r="B95" s="272"/>
      <c r="C95" s="274"/>
      <c r="D95" s="273"/>
      <c r="E95" s="118"/>
      <c r="F95" s="37"/>
      <c r="G95" s="54"/>
      <c r="H95" s="37"/>
      <c r="I95" s="37"/>
      <c r="J95" s="37"/>
      <c r="K95" s="37"/>
      <c r="L95" s="37"/>
      <c r="M95" s="55"/>
      <c r="N95" s="37"/>
      <c r="O95" s="56"/>
      <c r="P95" s="107"/>
      <c r="Q95" s="107"/>
      <c r="R95" s="142"/>
      <c r="S95" s="37"/>
      <c r="T95" s="37"/>
      <c r="U95" s="37"/>
      <c r="V95" s="37"/>
      <c r="W95" s="37"/>
      <c r="X95" s="37"/>
      <c r="Y95" s="60"/>
      <c r="Z95" s="60"/>
      <c r="AA95" s="241"/>
      <c r="AB95" s="241"/>
      <c r="AC95" s="60"/>
      <c r="AD95" s="29"/>
      <c r="AE95" s="54"/>
      <c r="AF95" s="37"/>
      <c r="AG95" s="38"/>
      <c r="AH95" s="51"/>
      <c r="AI95" s="32"/>
      <c r="AJ95" s="33"/>
      <c r="AK95" s="34"/>
      <c r="AL95" s="34"/>
      <c r="AM95" s="34"/>
      <c r="AN95" s="34"/>
      <c r="AO95" s="34"/>
      <c r="AP95" s="36"/>
      <c r="AQ95" s="37"/>
      <c r="AR95" s="40"/>
      <c r="AS95" s="38"/>
      <c r="AT95" s="40"/>
      <c r="AU95" s="111"/>
      <c r="AV95" s="37"/>
      <c r="AW95" s="42"/>
      <c r="AX95" s="52"/>
      <c r="AY95" s="23"/>
      <c r="AZ95" s="42"/>
      <c r="BA95" s="42"/>
      <c r="BB95" s="42"/>
      <c r="BC95" s="42"/>
      <c r="BD95" s="42"/>
    </row>
    <row r="96">
      <c r="A96" s="274"/>
      <c r="B96" s="272"/>
      <c r="C96" s="274"/>
      <c r="D96" s="273"/>
      <c r="E96" s="118"/>
      <c r="F96" s="37"/>
      <c r="G96" s="54"/>
      <c r="H96" s="37"/>
      <c r="I96" s="37"/>
      <c r="J96" s="37"/>
      <c r="K96" s="37"/>
      <c r="L96" s="37"/>
      <c r="M96" s="55"/>
      <c r="N96" s="37"/>
      <c r="O96" s="56"/>
      <c r="P96" s="107"/>
      <c r="Q96" s="107"/>
      <c r="R96" s="142"/>
      <c r="S96" s="37"/>
      <c r="T96" s="37"/>
      <c r="U96" s="37"/>
      <c r="V96" s="37"/>
      <c r="W96" s="37"/>
      <c r="X96" s="37"/>
      <c r="Y96" s="60"/>
      <c r="Z96" s="60"/>
      <c r="AA96" s="241"/>
      <c r="AB96" s="241"/>
      <c r="AC96" s="60"/>
      <c r="AD96" s="29"/>
      <c r="AE96" s="54"/>
      <c r="AF96" s="37"/>
      <c r="AG96" s="38"/>
      <c r="AH96" s="51"/>
      <c r="AI96" s="32"/>
      <c r="AJ96" s="33"/>
      <c r="AK96" s="34"/>
      <c r="AL96" s="34"/>
      <c r="AM96" s="34"/>
      <c r="AN96" s="34"/>
      <c r="AO96" s="34"/>
      <c r="AP96" s="36"/>
      <c r="AQ96" s="37"/>
      <c r="AR96" s="40"/>
      <c r="AS96" s="38"/>
      <c r="AT96" s="40"/>
      <c r="AU96" s="111"/>
      <c r="AV96" s="37"/>
      <c r="AW96" s="42"/>
      <c r="AX96" s="52"/>
      <c r="AY96" s="23"/>
      <c r="AZ96" s="42"/>
      <c r="BA96" s="42"/>
      <c r="BB96" s="42"/>
      <c r="BC96" s="42"/>
      <c r="BD96" s="42"/>
    </row>
    <row r="97">
      <c r="A97" s="274"/>
      <c r="B97" s="272"/>
      <c r="C97" s="274"/>
      <c r="D97" s="273"/>
      <c r="E97" s="118"/>
      <c r="F97" s="37"/>
      <c r="G97" s="54"/>
      <c r="H97" s="37"/>
      <c r="I97" s="37"/>
      <c r="J97" s="37"/>
      <c r="K97" s="37"/>
      <c r="L97" s="37"/>
      <c r="M97" s="55"/>
      <c r="N97" s="37"/>
      <c r="O97" s="56"/>
      <c r="P97" s="107"/>
      <c r="Q97" s="107"/>
      <c r="R97" s="142"/>
      <c r="S97" s="37"/>
      <c r="T97" s="37"/>
      <c r="U97" s="37"/>
      <c r="V97" s="37"/>
      <c r="W97" s="37"/>
      <c r="X97" s="37"/>
      <c r="Y97" s="60"/>
      <c r="Z97" s="60"/>
      <c r="AA97" s="241"/>
      <c r="AB97" s="241"/>
      <c r="AC97" s="60"/>
      <c r="AD97" s="29"/>
      <c r="AE97" s="54"/>
      <c r="AF97" s="37"/>
      <c r="AG97" s="38"/>
      <c r="AH97" s="51"/>
      <c r="AI97" s="32"/>
      <c r="AJ97" s="33"/>
      <c r="AK97" s="34"/>
      <c r="AL97" s="34"/>
      <c r="AM97" s="34"/>
      <c r="AN97" s="34"/>
      <c r="AO97" s="34"/>
      <c r="AP97" s="36"/>
      <c r="AQ97" s="37"/>
      <c r="AR97" s="40"/>
      <c r="AS97" s="38"/>
      <c r="AT97" s="40"/>
      <c r="AU97" s="111"/>
      <c r="AV97" s="37"/>
      <c r="AW97" s="42"/>
      <c r="AX97" s="52"/>
      <c r="AY97" s="23"/>
      <c r="AZ97" s="42"/>
      <c r="BA97" s="42"/>
      <c r="BB97" s="42"/>
      <c r="BC97" s="42"/>
      <c r="BD97" s="42"/>
    </row>
    <row r="98">
      <c r="A98" s="274"/>
      <c r="B98" s="272"/>
      <c r="C98" s="274"/>
      <c r="D98" s="273"/>
      <c r="E98" s="118"/>
      <c r="F98" s="37"/>
      <c r="G98" s="54"/>
      <c r="H98" s="37"/>
      <c r="I98" s="37"/>
      <c r="J98" s="37"/>
      <c r="K98" s="37"/>
      <c r="L98" s="37"/>
      <c r="M98" s="55"/>
      <c r="N98" s="37"/>
      <c r="O98" s="56"/>
      <c r="P98" s="107"/>
      <c r="Q98" s="107"/>
      <c r="R98" s="142"/>
      <c r="S98" s="37"/>
      <c r="T98" s="37"/>
      <c r="U98" s="37"/>
      <c r="V98" s="37"/>
      <c r="W98" s="37"/>
      <c r="X98" s="37"/>
      <c r="Y98" s="60"/>
      <c r="Z98" s="60"/>
      <c r="AA98" s="241"/>
      <c r="AB98" s="241"/>
      <c r="AC98" s="60"/>
      <c r="AD98" s="29"/>
      <c r="AE98" s="54"/>
      <c r="AF98" s="37"/>
      <c r="AG98" s="38"/>
      <c r="AH98" s="51"/>
      <c r="AI98" s="32"/>
      <c r="AJ98" s="33"/>
      <c r="AK98" s="34"/>
      <c r="AL98" s="34"/>
      <c r="AM98" s="34"/>
      <c r="AN98" s="34"/>
      <c r="AO98" s="34"/>
      <c r="AP98" s="36"/>
      <c r="AQ98" s="37"/>
      <c r="AR98" s="40"/>
      <c r="AS98" s="38"/>
      <c r="AT98" s="40"/>
      <c r="AU98" s="111"/>
      <c r="AV98" s="37"/>
      <c r="AW98" s="42"/>
      <c r="AX98" s="52"/>
      <c r="AY98" s="23"/>
      <c r="AZ98" s="42"/>
      <c r="BA98" s="42"/>
      <c r="BB98" s="42"/>
      <c r="BC98" s="42"/>
      <c r="BD98" s="42"/>
    </row>
    <row r="99">
      <c r="A99" s="274"/>
      <c r="B99" s="272"/>
      <c r="C99" s="274"/>
      <c r="D99" s="273"/>
      <c r="E99" s="118"/>
      <c r="F99" s="37"/>
      <c r="G99" s="54"/>
      <c r="H99" s="37"/>
      <c r="I99" s="37"/>
      <c r="J99" s="37"/>
      <c r="K99" s="37"/>
      <c r="L99" s="37"/>
      <c r="M99" s="55"/>
      <c r="N99" s="37"/>
      <c r="O99" s="56"/>
      <c r="P99" s="107"/>
      <c r="Q99" s="107"/>
      <c r="R99" s="142"/>
      <c r="S99" s="37"/>
      <c r="T99" s="37"/>
      <c r="U99" s="37"/>
      <c r="V99" s="37"/>
      <c r="W99" s="37"/>
      <c r="X99" s="37"/>
      <c r="Y99" s="60"/>
      <c r="Z99" s="60"/>
      <c r="AA99" s="241"/>
      <c r="AB99" s="241"/>
      <c r="AC99" s="60"/>
      <c r="AD99" s="29"/>
      <c r="AE99" s="54"/>
      <c r="AF99" s="37"/>
      <c r="AG99" s="38"/>
      <c r="AH99" s="51"/>
      <c r="AI99" s="32"/>
      <c r="AJ99" s="33"/>
      <c r="AK99" s="34"/>
      <c r="AL99" s="34"/>
      <c r="AM99" s="34"/>
      <c r="AN99" s="34"/>
      <c r="AO99" s="34"/>
      <c r="AP99" s="36"/>
      <c r="AQ99" s="37"/>
      <c r="AR99" s="40"/>
      <c r="AS99" s="38"/>
      <c r="AT99" s="40"/>
      <c r="AU99" s="111"/>
      <c r="AV99" s="37"/>
      <c r="AW99" s="42"/>
      <c r="AX99" s="52"/>
      <c r="AY99" s="23"/>
      <c r="AZ99" s="42"/>
      <c r="BA99" s="42"/>
      <c r="BB99" s="42"/>
      <c r="BC99" s="42"/>
      <c r="BD99" s="42"/>
    </row>
    <row r="100">
      <c r="A100" s="274"/>
      <c r="B100" s="272"/>
      <c r="C100" s="274"/>
      <c r="D100" s="273"/>
      <c r="E100" s="118"/>
      <c r="F100" s="37"/>
      <c r="G100" s="54"/>
      <c r="H100" s="37"/>
      <c r="I100" s="37"/>
      <c r="J100" s="37"/>
      <c r="K100" s="37"/>
      <c r="L100" s="37"/>
      <c r="M100" s="55"/>
      <c r="N100" s="37"/>
      <c r="O100" s="56"/>
      <c r="P100" s="107"/>
      <c r="Q100" s="107"/>
      <c r="R100" s="142"/>
      <c r="S100" s="37"/>
      <c r="T100" s="37"/>
      <c r="U100" s="37"/>
      <c r="V100" s="37"/>
      <c r="W100" s="37"/>
      <c r="X100" s="37"/>
      <c r="Y100" s="60"/>
      <c r="Z100" s="60"/>
      <c r="AA100" s="241"/>
      <c r="AB100" s="241"/>
      <c r="AC100" s="60"/>
      <c r="AD100" s="29"/>
      <c r="AE100" s="54"/>
      <c r="AF100" s="37"/>
      <c r="AG100" s="38"/>
      <c r="AH100" s="51"/>
      <c r="AI100" s="32"/>
      <c r="AJ100" s="33"/>
      <c r="AK100" s="34"/>
      <c r="AL100" s="34"/>
      <c r="AM100" s="34"/>
      <c r="AN100" s="34"/>
      <c r="AO100" s="34"/>
      <c r="AP100" s="36"/>
      <c r="AQ100" s="37"/>
      <c r="AR100" s="40"/>
      <c r="AS100" s="38"/>
      <c r="AT100" s="40"/>
      <c r="AU100" s="111"/>
      <c r="AV100" s="37"/>
      <c r="AW100" s="42"/>
      <c r="AX100" s="52"/>
      <c r="AY100" s="23"/>
      <c r="AZ100" s="42"/>
      <c r="BA100" s="42"/>
      <c r="BB100" s="42"/>
      <c r="BC100" s="42"/>
      <c r="BD100" s="42"/>
    </row>
    <row r="101">
      <c r="A101" s="274"/>
      <c r="B101" s="272"/>
      <c r="C101" s="274"/>
      <c r="D101" s="273"/>
      <c r="E101" s="118"/>
      <c r="F101" s="37"/>
      <c r="G101" s="54"/>
      <c r="H101" s="37"/>
      <c r="I101" s="37"/>
      <c r="J101" s="37"/>
      <c r="K101" s="37"/>
      <c r="L101" s="37"/>
      <c r="M101" s="55"/>
      <c r="N101" s="37"/>
      <c r="O101" s="56"/>
      <c r="P101" s="107"/>
      <c r="Q101" s="107"/>
      <c r="R101" s="142"/>
      <c r="S101" s="37"/>
      <c r="T101" s="37"/>
      <c r="U101" s="37"/>
      <c r="V101" s="37"/>
      <c r="W101" s="37"/>
      <c r="X101" s="37"/>
      <c r="Y101" s="60"/>
      <c r="Z101" s="60"/>
      <c r="AA101" s="241"/>
      <c r="AB101" s="241"/>
      <c r="AC101" s="60"/>
      <c r="AD101" s="29"/>
      <c r="AE101" s="54"/>
      <c r="AF101" s="37"/>
      <c r="AG101" s="38"/>
      <c r="AH101" s="51"/>
      <c r="AI101" s="32"/>
      <c r="AJ101" s="33"/>
      <c r="AK101" s="34"/>
      <c r="AL101" s="34"/>
      <c r="AM101" s="34"/>
      <c r="AN101" s="34"/>
      <c r="AO101" s="34"/>
      <c r="AP101" s="36"/>
      <c r="AQ101" s="37"/>
      <c r="AR101" s="40"/>
      <c r="AS101" s="38"/>
      <c r="AT101" s="40"/>
      <c r="AU101" s="111"/>
      <c r="AV101" s="37"/>
      <c r="AW101" s="42"/>
      <c r="AX101" s="52"/>
      <c r="AY101" s="23"/>
      <c r="AZ101" s="42"/>
      <c r="BA101" s="42"/>
      <c r="BB101" s="42"/>
      <c r="BC101" s="42"/>
      <c r="BD101" s="42"/>
    </row>
    <row r="102">
      <c r="A102" s="274"/>
      <c r="B102" s="272"/>
      <c r="C102" s="274"/>
      <c r="D102" s="273"/>
      <c r="E102" s="118"/>
      <c r="F102" s="37"/>
      <c r="G102" s="54"/>
      <c r="H102" s="37"/>
      <c r="I102" s="37"/>
      <c r="J102" s="37"/>
      <c r="K102" s="37"/>
      <c r="L102" s="37"/>
      <c r="M102" s="55"/>
      <c r="N102" s="37"/>
      <c r="O102" s="56"/>
      <c r="P102" s="107"/>
      <c r="Q102" s="107"/>
      <c r="R102" s="142"/>
      <c r="S102" s="37"/>
      <c r="T102" s="37"/>
      <c r="U102" s="37"/>
      <c r="V102" s="37"/>
      <c r="W102" s="37"/>
      <c r="X102" s="37"/>
      <c r="Y102" s="60"/>
      <c r="Z102" s="60"/>
      <c r="AA102" s="241"/>
      <c r="AB102" s="241"/>
      <c r="AC102" s="60"/>
      <c r="AD102" s="29"/>
      <c r="AE102" s="54"/>
      <c r="AF102" s="37"/>
      <c r="AG102" s="38"/>
      <c r="AH102" s="51"/>
      <c r="AI102" s="32"/>
      <c r="AJ102" s="33"/>
      <c r="AK102" s="34"/>
      <c r="AL102" s="34"/>
      <c r="AM102" s="34"/>
      <c r="AN102" s="34"/>
      <c r="AO102" s="34"/>
      <c r="AP102" s="36"/>
      <c r="AQ102" s="37"/>
      <c r="AR102" s="40"/>
      <c r="AS102" s="38"/>
      <c r="AT102" s="40"/>
      <c r="AU102" s="111"/>
      <c r="AV102" s="37"/>
      <c r="AW102" s="42"/>
      <c r="AX102" s="52"/>
      <c r="AY102" s="23"/>
      <c r="AZ102" s="42"/>
      <c r="BA102" s="42"/>
      <c r="BB102" s="42"/>
      <c r="BC102" s="42"/>
      <c r="BD102" s="42"/>
    </row>
    <row r="103">
      <c r="A103" s="274"/>
      <c r="B103" s="272"/>
      <c r="C103" s="274"/>
      <c r="D103" s="273"/>
      <c r="E103" s="118"/>
      <c r="F103" s="37"/>
      <c r="G103" s="54"/>
      <c r="H103" s="37"/>
      <c r="I103" s="37"/>
      <c r="J103" s="37"/>
      <c r="K103" s="37"/>
      <c r="L103" s="37"/>
      <c r="M103" s="55"/>
      <c r="N103" s="37"/>
      <c r="O103" s="56"/>
      <c r="P103" s="107"/>
      <c r="Q103" s="107"/>
      <c r="R103" s="142"/>
      <c r="S103" s="37"/>
      <c r="T103" s="37"/>
      <c r="U103" s="37"/>
      <c r="V103" s="37"/>
      <c r="W103" s="37"/>
      <c r="X103" s="37"/>
      <c r="Y103" s="60"/>
      <c r="Z103" s="60"/>
      <c r="AA103" s="241"/>
      <c r="AB103" s="241"/>
      <c r="AC103" s="60"/>
      <c r="AD103" s="29"/>
      <c r="AE103" s="54"/>
      <c r="AF103" s="37"/>
      <c r="AG103" s="38"/>
      <c r="AH103" s="51"/>
      <c r="AI103" s="32"/>
      <c r="AJ103" s="33"/>
      <c r="AK103" s="34"/>
      <c r="AL103" s="34"/>
      <c r="AM103" s="34"/>
      <c r="AN103" s="34"/>
      <c r="AO103" s="34"/>
      <c r="AP103" s="36"/>
      <c r="AQ103" s="37"/>
      <c r="AR103" s="40"/>
      <c r="AS103" s="38"/>
      <c r="AT103" s="40"/>
      <c r="AU103" s="111"/>
      <c r="AV103" s="37"/>
      <c r="AW103" s="42"/>
      <c r="AX103" s="52"/>
      <c r="AY103" s="23"/>
      <c r="AZ103" s="42"/>
      <c r="BA103" s="42"/>
      <c r="BB103" s="42"/>
      <c r="BC103" s="42"/>
      <c r="BD103" s="42"/>
    </row>
    <row r="104">
      <c r="A104" s="274"/>
      <c r="B104" s="272"/>
      <c r="C104" s="274"/>
      <c r="D104" s="273"/>
      <c r="E104" s="118"/>
      <c r="F104" s="37"/>
      <c r="G104" s="54"/>
      <c r="H104" s="37"/>
      <c r="I104" s="37"/>
      <c r="J104" s="37"/>
      <c r="K104" s="37"/>
      <c r="L104" s="37"/>
      <c r="M104" s="55"/>
      <c r="N104" s="37"/>
      <c r="O104" s="56"/>
      <c r="P104" s="107"/>
      <c r="Q104" s="107"/>
      <c r="R104" s="142"/>
      <c r="S104" s="37"/>
      <c r="T104" s="37"/>
      <c r="U104" s="37"/>
      <c r="V104" s="37"/>
      <c r="W104" s="37"/>
      <c r="X104" s="37"/>
      <c r="Y104" s="60"/>
      <c r="Z104" s="60"/>
      <c r="AA104" s="241"/>
      <c r="AB104" s="241"/>
      <c r="AC104" s="60"/>
      <c r="AD104" s="29"/>
      <c r="AE104" s="54"/>
      <c r="AF104" s="37"/>
      <c r="AG104" s="38"/>
      <c r="AH104" s="51"/>
      <c r="AI104" s="32"/>
      <c r="AJ104" s="33"/>
      <c r="AK104" s="34"/>
      <c r="AL104" s="34"/>
      <c r="AM104" s="34"/>
      <c r="AN104" s="34"/>
      <c r="AO104" s="34"/>
      <c r="AP104" s="36"/>
      <c r="AQ104" s="37"/>
      <c r="AR104" s="40"/>
      <c r="AS104" s="38"/>
      <c r="AT104" s="40"/>
      <c r="AU104" s="111"/>
      <c r="AV104" s="37"/>
      <c r="AW104" s="42"/>
      <c r="AX104" s="52"/>
      <c r="AY104" s="23"/>
      <c r="AZ104" s="42"/>
      <c r="BA104" s="42"/>
      <c r="BB104" s="42"/>
      <c r="BC104" s="42"/>
      <c r="BD104" s="42"/>
    </row>
    <row r="105">
      <c r="A105" s="274"/>
      <c r="B105" s="283"/>
      <c r="C105" s="274"/>
      <c r="D105" s="273"/>
      <c r="E105" s="118"/>
      <c r="F105" s="37"/>
      <c r="G105" s="54"/>
      <c r="H105" s="37"/>
      <c r="I105" s="37"/>
      <c r="J105" s="37"/>
      <c r="K105" s="37"/>
      <c r="L105" s="37"/>
      <c r="M105" s="55"/>
      <c r="N105" s="37"/>
      <c r="O105" s="56"/>
      <c r="P105" s="107"/>
      <c r="Q105" s="107"/>
      <c r="R105" s="142"/>
      <c r="S105" s="37"/>
      <c r="T105" s="37"/>
      <c r="U105" s="37"/>
      <c r="V105" s="37"/>
      <c r="W105" s="37"/>
      <c r="X105" s="37"/>
      <c r="Y105" s="60"/>
      <c r="Z105" s="60"/>
      <c r="AA105" s="241"/>
      <c r="AB105" s="241"/>
      <c r="AC105" s="60"/>
      <c r="AD105" s="29"/>
      <c r="AE105" s="54"/>
      <c r="AF105" s="37"/>
      <c r="AG105" s="38"/>
      <c r="AH105" s="51"/>
      <c r="AI105" s="32"/>
      <c r="AJ105" s="33"/>
      <c r="AK105" s="34"/>
      <c r="AL105" s="34"/>
      <c r="AM105" s="34"/>
      <c r="AN105" s="34"/>
      <c r="AO105" s="34"/>
      <c r="AP105" s="36"/>
      <c r="AQ105" s="37"/>
      <c r="AR105" s="40"/>
      <c r="AS105" s="38"/>
      <c r="AT105" s="40"/>
      <c r="AU105" s="111"/>
      <c r="AV105" s="37"/>
      <c r="AW105" s="42"/>
      <c r="AX105" s="52"/>
      <c r="AY105" s="23"/>
      <c r="AZ105" s="42"/>
      <c r="BA105" s="42"/>
      <c r="BB105" s="42"/>
      <c r="BC105" s="42"/>
      <c r="BD105" s="42"/>
    </row>
    <row r="106">
      <c r="A106" s="284"/>
      <c r="B106" s="285"/>
      <c r="C106" s="286"/>
      <c r="D106" s="287"/>
      <c r="E106" s="118"/>
      <c r="F106" s="37"/>
      <c r="G106" s="54"/>
      <c r="H106" s="37"/>
      <c r="I106" s="37"/>
      <c r="J106" s="37"/>
      <c r="K106" s="37"/>
      <c r="L106" s="37"/>
      <c r="M106" s="55"/>
      <c r="N106" s="37"/>
      <c r="O106" s="56"/>
      <c r="P106" s="107"/>
      <c r="Q106" s="107"/>
      <c r="R106" s="142"/>
      <c r="S106" s="37"/>
      <c r="T106" s="37"/>
      <c r="U106" s="37"/>
      <c r="V106" s="37"/>
      <c r="W106" s="37"/>
      <c r="X106" s="37"/>
      <c r="Y106" s="60"/>
      <c r="Z106" s="60"/>
      <c r="AA106" s="241"/>
      <c r="AB106" s="241"/>
      <c r="AC106" s="60"/>
      <c r="AD106" s="29"/>
      <c r="AE106" s="54"/>
      <c r="AF106" s="37"/>
      <c r="AG106" s="38"/>
      <c r="AH106" s="51"/>
      <c r="AI106" s="32"/>
      <c r="AJ106" s="33"/>
      <c r="AK106" s="34"/>
      <c r="AL106" s="34"/>
      <c r="AM106" s="34"/>
      <c r="AN106" s="34"/>
      <c r="AO106" s="34"/>
      <c r="AP106" s="36"/>
      <c r="AQ106" s="37"/>
      <c r="AR106" s="40"/>
      <c r="AS106" s="38"/>
      <c r="AT106" s="40"/>
      <c r="AU106" s="111"/>
      <c r="AV106" s="37"/>
      <c r="AW106" s="42"/>
      <c r="AX106" s="52"/>
      <c r="AY106" s="23"/>
      <c r="AZ106" s="42"/>
      <c r="BA106" s="42"/>
      <c r="BB106" s="42"/>
      <c r="BC106" s="42"/>
      <c r="BD106" s="42"/>
    </row>
    <row r="107">
      <c r="A107" s="274"/>
      <c r="B107" s="283"/>
      <c r="C107" s="274"/>
      <c r="D107" s="273"/>
      <c r="E107" s="118"/>
      <c r="F107" s="37"/>
      <c r="G107" s="54"/>
      <c r="H107" s="37"/>
      <c r="I107" s="37"/>
      <c r="J107" s="37"/>
      <c r="K107" s="37"/>
      <c r="L107" s="37"/>
      <c r="M107" s="55"/>
      <c r="N107" s="37"/>
      <c r="O107" s="56"/>
      <c r="P107" s="107"/>
      <c r="Q107" s="107"/>
      <c r="R107" s="142"/>
      <c r="S107" s="37"/>
      <c r="T107" s="37"/>
      <c r="U107" s="37"/>
      <c r="V107" s="37"/>
      <c r="W107" s="37"/>
      <c r="X107" s="37"/>
      <c r="Y107" s="60"/>
      <c r="Z107" s="60"/>
      <c r="AA107" s="241"/>
      <c r="AB107" s="241"/>
      <c r="AC107" s="60"/>
      <c r="AD107" s="29"/>
      <c r="AE107" s="54"/>
      <c r="AF107" s="37"/>
      <c r="AG107" s="38"/>
      <c r="AH107" s="51"/>
      <c r="AI107" s="32"/>
      <c r="AJ107" s="33"/>
      <c r="AK107" s="34"/>
      <c r="AL107" s="34"/>
      <c r="AM107" s="34"/>
      <c r="AN107" s="34"/>
      <c r="AO107" s="34"/>
      <c r="AP107" s="36"/>
      <c r="AQ107" s="37"/>
      <c r="AR107" s="40"/>
      <c r="AS107" s="38"/>
      <c r="AT107" s="40"/>
      <c r="AU107" s="111"/>
      <c r="AV107" s="37"/>
      <c r="AW107" s="42"/>
      <c r="AX107" s="52"/>
      <c r="AY107" s="23"/>
      <c r="AZ107" s="42"/>
      <c r="BA107" s="42"/>
      <c r="BB107" s="42"/>
      <c r="BC107" s="42"/>
      <c r="BD107" s="42"/>
    </row>
    <row r="108">
      <c r="A108" s="274"/>
      <c r="B108" s="272"/>
      <c r="C108" s="274"/>
      <c r="D108" s="273"/>
      <c r="E108" s="118"/>
      <c r="F108" s="37"/>
      <c r="G108" s="54"/>
      <c r="H108" s="37"/>
      <c r="I108" s="37"/>
      <c r="J108" s="37"/>
      <c r="K108" s="37"/>
      <c r="L108" s="37"/>
      <c r="M108" s="55"/>
      <c r="N108" s="37"/>
      <c r="O108" s="56"/>
      <c r="P108" s="107"/>
      <c r="Q108" s="107"/>
      <c r="R108" s="142"/>
      <c r="S108" s="37"/>
      <c r="T108" s="37"/>
      <c r="U108" s="37"/>
      <c r="V108" s="37"/>
      <c r="W108" s="37"/>
      <c r="X108" s="37"/>
      <c r="Y108" s="60"/>
      <c r="Z108" s="60"/>
      <c r="AA108" s="241"/>
      <c r="AB108" s="241"/>
      <c r="AC108" s="60"/>
      <c r="AD108" s="29"/>
      <c r="AE108" s="54"/>
      <c r="AF108" s="37"/>
      <c r="AG108" s="38"/>
      <c r="AH108" s="51"/>
      <c r="AI108" s="32"/>
      <c r="AJ108" s="33"/>
      <c r="AK108" s="34"/>
      <c r="AL108" s="34"/>
      <c r="AM108" s="34"/>
      <c r="AN108" s="34"/>
      <c r="AO108" s="34"/>
      <c r="AP108" s="36"/>
      <c r="AQ108" s="37"/>
      <c r="AR108" s="40"/>
      <c r="AS108" s="38"/>
      <c r="AT108" s="40"/>
      <c r="AU108" s="111"/>
      <c r="AV108" s="37"/>
      <c r="AW108" s="42"/>
      <c r="AX108" s="52"/>
      <c r="AY108" s="23"/>
      <c r="AZ108" s="42"/>
      <c r="BA108" s="42"/>
      <c r="BB108" s="42"/>
      <c r="BC108" s="42"/>
      <c r="BD108" s="42"/>
    </row>
    <row r="109">
      <c r="A109" s="274"/>
      <c r="B109" s="272"/>
      <c r="C109" s="274"/>
      <c r="D109" s="273"/>
      <c r="E109" s="118"/>
      <c r="F109" s="37"/>
      <c r="G109" s="54"/>
      <c r="H109" s="37"/>
      <c r="I109" s="37"/>
      <c r="J109" s="37"/>
      <c r="K109" s="37"/>
      <c r="L109" s="37"/>
      <c r="M109" s="55"/>
      <c r="N109" s="37"/>
      <c r="O109" s="56"/>
      <c r="P109" s="107"/>
      <c r="Q109" s="107"/>
      <c r="R109" s="142"/>
      <c r="S109" s="37"/>
      <c r="T109" s="37"/>
      <c r="U109" s="37"/>
      <c r="V109" s="37"/>
      <c r="W109" s="37"/>
      <c r="X109" s="37"/>
      <c r="Y109" s="60"/>
      <c r="Z109" s="60"/>
      <c r="AA109" s="241"/>
      <c r="AB109" s="241"/>
      <c r="AC109" s="60"/>
      <c r="AD109" s="29"/>
      <c r="AE109" s="54"/>
      <c r="AF109" s="37"/>
      <c r="AG109" s="38"/>
      <c r="AH109" s="51"/>
      <c r="AI109" s="32"/>
      <c r="AJ109" s="33"/>
      <c r="AK109" s="34"/>
      <c r="AL109" s="34"/>
      <c r="AM109" s="34"/>
      <c r="AN109" s="34"/>
      <c r="AO109" s="34"/>
      <c r="AP109" s="36"/>
      <c r="AQ109" s="37"/>
      <c r="AR109" s="40"/>
      <c r="AS109" s="38"/>
      <c r="AT109" s="40"/>
      <c r="AU109" s="111"/>
      <c r="AV109" s="37"/>
      <c r="AW109" s="42"/>
      <c r="AX109" s="52"/>
      <c r="AY109" s="23"/>
      <c r="AZ109" s="42"/>
      <c r="BA109" s="42"/>
      <c r="BB109" s="42"/>
      <c r="BC109" s="42"/>
      <c r="BD109" s="42"/>
    </row>
    <row r="110">
      <c r="A110" s="274"/>
      <c r="B110" s="272"/>
      <c r="C110" s="274"/>
      <c r="D110" s="273"/>
      <c r="E110" s="118"/>
      <c r="F110" s="37"/>
      <c r="G110" s="54"/>
      <c r="H110" s="37"/>
      <c r="I110" s="37"/>
      <c r="J110" s="37"/>
      <c r="K110" s="37"/>
      <c r="L110" s="37"/>
      <c r="M110" s="55"/>
      <c r="N110" s="37"/>
      <c r="O110" s="56"/>
      <c r="P110" s="107"/>
      <c r="Q110" s="107"/>
      <c r="R110" s="142"/>
      <c r="S110" s="37"/>
      <c r="T110" s="37"/>
      <c r="U110" s="37"/>
      <c r="V110" s="37"/>
      <c r="W110" s="37"/>
      <c r="X110" s="37"/>
      <c r="Y110" s="60"/>
      <c r="Z110" s="60"/>
      <c r="AA110" s="241"/>
      <c r="AB110" s="241"/>
      <c r="AC110" s="60"/>
      <c r="AD110" s="29"/>
      <c r="AE110" s="54"/>
      <c r="AF110" s="37"/>
      <c r="AG110" s="38"/>
      <c r="AH110" s="51"/>
      <c r="AI110" s="32"/>
      <c r="AJ110" s="33"/>
      <c r="AK110" s="34"/>
      <c r="AL110" s="34"/>
      <c r="AM110" s="34"/>
      <c r="AN110" s="34"/>
      <c r="AO110" s="34"/>
      <c r="AP110" s="36"/>
      <c r="AQ110" s="37"/>
      <c r="AR110" s="40"/>
      <c r="AS110" s="38"/>
      <c r="AT110" s="40"/>
      <c r="AU110" s="111"/>
      <c r="AV110" s="37"/>
      <c r="AW110" s="42"/>
      <c r="AX110" s="52"/>
      <c r="AY110" s="23"/>
      <c r="AZ110" s="42"/>
      <c r="BA110" s="42"/>
      <c r="BB110" s="42"/>
      <c r="BC110" s="42"/>
      <c r="BD110" s="42"/>
    </row>
    <row r="111">
      <c r="A111" s="274"/>
      <c r="B111" s="272"/>
      <c r="C111" s="274"/>
      <c r="D111" s="273"/>
      <c r="E111" s="118"/>
      <c r="F111" s="37"/>
      <c r="G111" s="54"/>
      <c r="H111" s="37"/>
      <c r="I111" s="37"/>
      <c r="J111" s="37"/>
      <c r="K111" s="37"/>
      <c r="L111" s="37"/>
      <c r="M111" s="55"/>
      <c r="N111" s="37"/>
      <c r="O111" s="56"/>
      <c r="P111" s="107"/>
      <c r="Q111" s="107"/>
      <c r="R111" s="142"/>
      <c r="S111" s="37"/>
      <c r="T111" s="37"/>
      <c r="U111" s="37"/>
      <c r="V111" s="37"/>
      <c r="W111" s="37"/>
      <c r="X111" s="37"/>
      <c r="Y111" s="60"/>
      <c r="Z111" s="60"/>
      <c r="AA111" s="241"/>
      <c r="AB111" s="241"/>
      <c r="AC111" s="60"/>
      <c r="AD111" s="29"/>
      <c r="AE111" s="54"/>
      <c r="AF111" s="37"/>
      <c r="AG111" s="38"/>
      <c r="AH111" s="51"/>
      <c r="AI111" s="32"/>
      <c r="AJ111" s="33"/>
      <c r="AK111" s="34"/>
      <c r="AL111" s="34"/>
      <c r="AM111" s="34"/>
      <c r="AN111" s="34"/>
      <c r="AO111" s="34"/>
      <c r="AP111" s="36"/>
      <c r="AQ111" s="37"/>
      <c r="AR111" s="40"/>
      <c r="AS111" s="38"/>
      <c r="AT111" s="40"/>
      <c r="AU111" s="111"/>
      <c r="AV111" s="37"/>
      <c r="AW111" s="42"/>
      <c r="AX111" s="52"/>
      <c r="AY111" s="23"/>
      <c r="AZ111" s="42"/>
      <c r="BA111" s="42"/>
      <c r="BB111" s="42"/>
      <c r="BC111" s="42"/>
      <c r="BD111" s="42"/>
    </row>
    <row r="112">
      <c r="A112" s="274"/>
      <c r="B112" s="272"/>
      <c r="C112" s="274"/>
      <c r="D112" s="273"/>
      <c r="E112" s="118"/>
      <c r="F112" s="37"/>
      <c r="G112" s="54"/>
      <c r="H112" s="37"/>
      <c r="I112" s="37"/>
      <c r="J112" s="37"/>
      <c r="K112" s="37"/>
      <c r="L112" s="37"/>
      <c r="M112" s="55"/>
      <c r="N112" s="37"/>
      <c r="O112" s="56"/>
      <c r="P112" s="107"/>
      <c r="Q112" s="107"/>
      <c r="R112" s="142"/>
      <c r="S112" s="37"/>
      <c r="T112" s="37"/>
      <c r="U112" s="37"/>
      <c r="V112" s="37"/>
      <c r="W112" s="37"/>
      <c r="X112" s="37"/>
      <c r="Y112" s="60"/>
      <c r="Z112" s="60"/>
      <c r="AA112" s="241"/>
      <c r="AB112" s="241"/>
      <c r="AC112" s="60"/>
      <c r="AD112" s="29"/>
      <c r="AE112" s="54"/>
      <c r="AF112" s="37"/>
      <c r="AG112" s="38"/>
      <c r="AH112" s="51"/>
      <c r="AI112" s="32"/>
      <c r="AJ112" s="33"/>
      <c r="AK112" s="34"/>
      <c r="AL112" s="34"/>
      <c r="AM112" s="34"/>
      <c r="AN112" s="34"/>
      <c r="AO112" s="34"/>
      <c r="AP112" s="36"/>
      <c r="AQ112" s="37"/>
      <c r="AR112" s="40"/>
      <c r="AS112" s="38"/>
      <c r="AT112" s="40"/>
      <c r="AU112" s="111"/>
      <c r="AV112" s="37"/>
      <c r="AW112" s="42"/>
      <c r="AX112" s="52"/>
      <c r="AY112" s="23"/>
      <c r="AZ112" s="42"/>
      <c r="BA112" s="42"/>
      <c r="BB112" s="42"/>
      <c r="BC112" s="42"/>
      <c r="BD112" s="42"/>
    </row>
    <row r="113">
      <c r="A113" s="274"/>
      <c r="B113" s="272"/>
      <c r="C113" s="274"/>
      <c r="D113" s="273"/>
      <c r="E113" s="118"/>
      <c r="F113" s="37"/>
      <c r="G113" s="54"/>
      <c r="H113" s="37"/>
      <c r="I113" s="37"/>
      <c r="J113" s="37"/>
      <c r="K113" s="37"/>
      <c r="L113" s="37"/>
      <c r="M113" s="55"/>
      <c r="N113" s="37"/>
      <c r="O113" s="56"/>
      <c r="P113" s="107"/>
      <c r="Q113" s="107"/>
      <c r="R113" s="142"/>
      <c r="S113" s="37"/>
      <c r="T113" s="37"/>
      <c r="U113" s="37"/>
      <c r="V113" s="37"/>
      <c r="W113" s="37"/>
      <c r="X113" s="37"/>
      <c r="Y113" s="60"/>
      <c r="Z113" s="60"/>
      <c r="AA113" s="241"/>
      <c r="AB113" s="241"/>
      <c r="AC113" s="60"/>
      <c r="AD113" s="29"/>
      <c r="AE113" s="54"/>
      <c r="AF113" s="37"/>
      <c r="AG113" s="38"/>
      <c r="AH113" s="51"/>
      <c r="AI113" s="32"/>
      <c r="AJ113" s="33"/>
      <c r="AK113" s="34"/>
      <c r="AL113" s="34"/>
      <c r="AM113" s="34"/>
      <c r="AN113" s="34"/>
      <c r="AO113" s="34"/>
      <c r="AP113" s="36"/>
      <c r="AQ113" s="37"/>
      <c r="AR113" s="40"/>
      <c r="AS113" s="38"/>
      <c r="AT113" s="40"/>
      <c r="AU113" s="111"/>
      <c r="AV113" s="37"/>
      <c r="AW113" s="42"/>
      <c r="AX113" s="52"/>
      <c r="AY113" s="23"/>
      <c r="AZ113" s="42"/>
      <c r="BA113" s="42"/>
      <c r="BB113" s="42"/>
      <c r="BC113" s="42"/>
      <c r="BD113" s="42"/>
    </row>
    <row r="114">
      <c r="A114" s="274"/>
      <c r="B114" s="272"/>
      <c r="C114" s="274"/>
      <c r="D114" s="273"/>
      <c r="E114" s="118"/>
      <c r="F114" s="37"/>
      <c r="G114" s="54"/>
      <c r="H114" s="37"/>
      <c r="I114" s="37"/>
      <c r="J114" s="37"/>
      <c r="K114" s="37"/>
      <c r="L114" s="37"/>
      <c r="M114" s="55"/>
      <c r="N114" s="37"/>
      <c r="O114" s="56"/>
      <c r="P114" s="107"/>
      <c r="Q114" s="107"/>
      <c r="R114" s="142"/>
      <c r="S114" s="37"/>
      <c r="T114" s="37"/>
      <c r="U114" s="37"/>
      <c r="V114" s="37"/>
      <c r="W114" s="37"/>
      <c r="X114" s="37"/>
      <c r="Y114" s="60"/>
      <c r="Z114" s="60"/>
      <c r="AA114" s="241"/>
      <c r="AB114" s="241"/>
      <c r="AC114" s="60"/>
      <c r="AD114" s="29"/>
      <c r="AE114" s="54"/>
      <c r="AF114" s="37"/>
      <c r="AG114" s="38"/>
      <c r="AH114" s="51"/>
      <c r="AI114" s="32"/>
      <c r="AJ114" s="33"/>
      <c r="AK114" s="34"/>
      <c r="AL114" s="34"/>
      <c r="AM114" s="34"/>
      <c r="AN114" s="34"/>
      <c r="AO114" s="34"/>
      <c r="AP114" s="36"/>
      <c r="AQ114" s="37"/>
      <c r="AR114" s="40"/>
      <c r="AS114" s="38"/>
      <c r="AT114" s="40"/>
      <c r="AU114" s="111"/>
      <c r="AV114" s="37"/>
      <c r="AW114" s="42"/>
      <c r="AX114" s="52"/>
      <c r="AY114" s="23"/>
      <c r="AZ114" s="42"/>
      <c r="BA114" s="42"/>
      <c r="BB114" s="42"/>
      <c r="BC114" s="42"/>
      <c r="BD114" s="42"/>
    </row>
    <row r="115">
      <c r="A115" s="274"/>
      <c r="B115" s="272"/>
      <c r="C115" s="274"/>
      <c r="D115" s="273"/>
      <c r="E115" s="118"/>
      <c r="F115" s="37"/>
      <c r="G115" s="54"/>
      <c r="H115" s="37"/>
      <c r="I115" s="37"/>
      <c r="J115" s="37"/>
      <c r="K115" s="37"/>
      <c r="L115" s="37"/>
      <c r="M115" s="55"/>
      <c r="N115" s="37"/>
      <c r="O115" s="56"/>
      <c r="P115" s="107"/>
      <c r="Q115" s="107"/>
      <c r="R115" s="142"/>
      <c r="S115" s="37"/>
      <c r="T115" s="37"/>
      <c r="U115" s="37"/>
      <c r="V115" s="37"/>
      <c r="W115" s="37"/>
      <c r="X115" s="37"/>
      <c r="Y115" s="60"/>
      <c r="Z115" s="60"/>
      <c r="AA115" s="241"/>
      <c r="AB115" s="241"/>
      <c r="AC115" s="60"/>
      <c r="AD115" s="29"/>
      <c r="AE115" s="54"/>
      <c r="AF115" s="37"/>
      <c r="AG115" s="38"/>
      <c r="AH115" s="51"/>
      <c r="AI115" s="32"/>
      <c r="AJ115" s="33"/>
      <c r="AK115" s="34"/>
      <c r="AL115" s="34"/>
      <c r="AM115" s="34"/>
      <c r="AN115" s="34"/>
      <c r="AO115" s="34"/>
      <c r="AP115" s="36"/>
      <c r="AQ115" s="37"/>
      <c r="AR115" s="40"/>
      <c r="AS115" s="38"/>
      <c r="AT115" s="40"/>
      <c r="AU115" s="111"/>
      <c r="AV115" s="37"/>
      <c r="AW115" s="42"/>
      <c r="AX115" s="52"/>
      <c r="AY115" s="23"/>
      <c r="AZ115" s="42"/>
      <c r="BA115" s="42"/>
      <c r="BB115" s="42"/>
      <c r="BC115" s="42"/>
      <c r="BD115" s="42"/>
    </row>
    <row r="116">
      <c r="A116" s="274"/>
      <c r="B116" s="272"/>
      <c r="C116" s="274"/>
      <c r="D116" s="273"/>
      <c r="E116" s="118"/>
      <c r="F116" s="37"/>
      <c r="G116" s="54"/>
      <c r="H116" s="37"/>
      <c r="I116" s="37"/>
      <c r="J116" s="37"/>
      <c r="K116" s="37"/>
      <c r="L116" s="37"/>
      <c r="M116" s="55"/>
      <c r="N116" s="37"/>
      <c r="O116" s="56"/>
      <c r="P116" s="107"/>
      <c r="Q116" s="107"/>
      <c r="R116" s="142"/>
      <c r="S116" s="37"/>
      <c r="T116" s="37"/>
      <c r="U116" s="37"/>
      <c r="V116" s="37"/>
      <c r="W116" s="37"/>
      <c r="X116" s="37"/>
      <c r="Y116" s="60"/>
      <c r="Z116" s="60"/>
      <c r="AA116" s="241"/>
      <c r="AB116" s="241"/>
      <c r="AC116" s="60"/>
      <c r="AD116" s="29"/>
      <c r="AE116" s="54"/>
      <c r="AF116" s="37"/>
      <c r="AG116" s="38"/>
      <c r="AH116" s="51"/>
      <c r="AI116" s="32"/>
      <c r="AJ116" s="33"/>
      <c r="AK116" s="34"/>
      <c r="AL116" s="34"/>
      <c r="AM116" s="34"/>
      <c r="AN116" s="34"/>
      <c r="AO116" s="34"/>
      <c r="AP116" s="36"/>
      <c r="AQ116" s="37"/>
      <c r="AR116" s="40"/>
      <c r="AS116" s="38"/>
      <c r="AT116" s="40"/>
      <c r="AU116" s="111"/>
      <c r="AV116" s="37"/>
      <c r="AW116" s="42"/>
      <c r="AX116" s="52"/>
      <c r="AY116" s="23"/>
      <c r="AZ116" s="42"/>
      <c r="BA116" s="42"/>
      <c r="BB116" s="42"/>
      <c r="BC116" s="42"/>
      <c r="BD116" s="42"/>
    </row>
    <row r="117">
      <c r="A117" s="274"/>
      <c r="B117" s="272"/>
      <c r="C117" s="274"/>
      <c r="D117" s="273"/>
      <c r="E117" s="118"/>
      <c r="F117" s="37"/>
      <c r="G117" s="54"/>
      <c r="H117" s="37"/>
      <c r="I117" s="37"/>
      <c r="J117" s="37"/>
      <c r="K117" s="37"/>
      <c r="L117" s="37"/>
      <c r="M117" s="55"/>
      <c r="N117" s="37"/>
      <c r="O117" s="56"/>
      <c r="P117" s="107"/>
      <c r="Q117" s="107"/>
      <c r="R117" s="142"/>
      <c r="S117" s="37"/>
      <c r="T117" s="37"/>
      <c r="U117" s="37"/>
      <c r="V117" s="37"/>
      <c r="W117" s="37"/>
      <c r="X117" s="37"/>
      <c r="Y117" s="60"/>
      <c r="Z117" s="60"/>
      <c r="AA117" s="241"/>
      <c r="AB117" s="241"/>
      <c r="AC117" s="60"/>
      <c r="AD117" s="29"/>
      <c r="AE117" s="54"/>
      <c r="AF117" s="37"/>
      <c r="AG117" s="38"/>
      <c r="AH117" s="51"/>
      <c r="AI117" s="32"/>
      <c r="AJ117" s="33"/>
      <c r="AK117" s="34"/>
      <c r="AL117" s="34"/>
      <c r="AM117" s="34"/>
      <c r="AN117" s="34"/>
      <c r="AO117" s="34"/>
      <c r="AP117" s="36"/>
      <c r="AQ117" s="37"/>
      <c r="AR117" s="40"/>
      <c r="AS117" s="38"/>
      <c r="AT117" s="40"/>
      <c r="AU117" s="111"/>
      <c r="AV117" s="37"/>
      <c r="AW117" s="42"/>
      <c r="AX117" s="52"/>
      <c r="AY117" s="23"/>
      <c r="AZ117" s="42"/>
      <c r="BA117" s="42"/>
      <c r="BB117" s="42"/>
      <c r="BC117" s="42"/>
      <c r="BD117" s="42"/>
    </row>
    <row r="118">
      <c r="A118" s="274"/>
      <c r="B118" s="272"/>
      <c r="C118" s="274"/>
      <c r="D118" s="273"/>
      <c r="E118" s="118"/>
      <c r="F118" s="37"/>
      <c r="G118" s="54"/>
      <c r="H118" s="37"/>
      <c r="I118" s="37"/>
      <c r="J118" s="37"/>
      <c r="K118" s="37"/>
      <c r="L118" s="37"/>
      <c r="M118" s="55"/>
      <c r="N118" s="37"/>
      <c r="O118" s="56"/>
      <c r="P118" s="107"/>
      <c r="Q118" s="107"/>
      <c r="R118" s="142"/>
      <c r="S118" s="37"/>
      <c r="T118" s="37"/>
      <c r="U118" s="37"/>
      <c r="V118" s="37"/>
      <c r="W118" s="37"/>
      <c r="X118" s="37"/>
      <c r="Y118" s="60"/>
      <c r="Z118" s="60"/>
      <c r="AA118" s="241"/>
      <c r="AB118" s="241"/>
      <c r="AC118" s="60"/>
      <c r="AD118" s="29"/>
      <c r="AE118" s="54"/>
      <c r="AF118" s="37"/>
      <c r="AG118" s="38"/>
      <c r="AH118" s="51"/>
      <c r="AI118" s="32"/>
      <c r="AJ118" s="33"/>
      <c r="AK118" s="34"/>
      <c r="AL118" s="34"/>
      <c r="AM118" s="34"/>
      <c r="AN118" s="34"/>
      <c r="AO118" s="34"/>
      <c r="AP118" s="36"/>
      <c r="AQ118" s="37"/>
      <c r="AR118" s="40"/>
      <c r="AS118" s="38"/>
      <c r="AT118" s="40"/>
      <c r="AU118" s="111"/>
      <c r="AV118" s="37"/>
      <c r="AW118" s="42"/>
      <c r="AX118" s="52"/>
      <c r="AY118" s="23"/>
      <c r="AZ118" s="42"/>
      <c r="BA118" s="42"/>
      <c r="BB118" s="42"/>
      <c r="BC118" s="42"/>
      <c r="BD118" s="42"/>
    </row>
    <row r="119">
      <c r="A119" s="274"/>
      <c r="B119" s="272"/>
      <c r="C119" s="274"/>
      <c r="D119" s="288"/>
      <c r="E119" s="118"/>
      <c r="F119" s="37"/>
      <c r="G119" s="54"/>
      <c r="H119" s="37"/>
      <c r="I119" s="37"/>
      <c r="J119" s="37"/>
      <c r="K119" s="37"/>
      <c r="L119" s="37"/>
      <c r="M119" s="55"/>
      <c r="N119" s="37"/>
      <c r="O119" s="56"/>
      <c r="P119" s="107"/>
      <c r="Q119" s="107"/>
      <c r="R119" s="142"/>
      <c r="S119" s="37"/>
      <c r="T119" s="37"/>
      <c r="U119" s="37"/>
      <c r="V119" s="37"/>
      <c r="W119" s="37"/>
      <c r="X119" s="37"/>
      <c r="Y119" s="60"/>
      <c r="Z119" s="60"/>
      <c r="AA119" s="241"/>
      <c r="AB119" s="241"/>
      <c r="AC119" s="60"/>
      <c r="AD119" s="29"/>
      <c r="AE119" s="54"/>
      <c r="AF119" s="37"/>
      <c r="AG119" s="38"/>
      <c r="AH119" s="51"/>
      <c r="AI119" s="32"/>
      <c r="AJ119" s="33"/>
      <c r="AK119" s="34"/>
      <c r="AL119" s="34"/>
      <c r="AM119" s="34"/>
      <c r="AN119" s="34"/>
      <c r="AO119" s="34"/>
      <c r="AP119" s="36"/>
      <c r="AQ119" s="37"/>
      <c r="AR119" s="40"/>
      <c r="AS119" s="38"/>
      <c r="AT119" s="40"/>
      <c r="AU119" s="111"/>
      <c r="AV119" s="37"/>
      <c r="AW119" s="42"/>
      <c r="AX119" s="52"/>
      <c r="AY119" s="23"/>
      <c r="AZ119" s="42"/>
      <c r="BA119" s="42"/>
      <c r="BB119" s="42"/>
      <c r="BC119" s="42"/>
      <c r="BD119" s="42"/>
    </row>
    <row r="120">
      <c r="A120" s="274"/>
      <c r="B120" s="272"/>
      <c r="C120" s="274"/>
      <c r="D120" s="273"/>
      <c r="E120" s="118"/>
      <c r="F120" s="37"/>
      <c r="G120" s="54"/>
      <c r="H120" s="37"/>
      <c r="I120" s="37"/>
      <c r="J120" s="37"/>
      <c r="K120" s="37"/>
      <c r="L120" s="37"/>
      <c r="M120" s="55"/>
      <c r="N120" s="37"/>
      <c r="O120" s="56"/>
      <c r="P120" s="107"/>
      <c r="Q120" s="107"/>
      <c r="R120" s="142"/>
      <c r="S120" s="37"/>
      <c r="T120" s="37"/>
      <c r="U120" s="37"/>
      <c r="V120" s="37"/>
      <c r="W120" s="37"/>
      <c r="X120" s="37"/>
      <c r="Y120" s="60"/>
      <c r="Z120" s="60"/>
      <c r="AA120" s="241"/>
      <c r="AB120" s="241"/>
      <c r="AC120" s="60"/>
      <c r="AD120" s="29"/>
      <c r="AE120" s="54"/>
      <c r="AF120" s="37"/>
      <c r="AG120" s="38"/>
      <c r="AH120" s="51"/>
      <c r="AI120" s="32"/>
      <c r="AJ120" s="33"/>
      <c r="AK120" s="34"/>
      <c r="AL120" s="34"/>
      <c r="AM120" s="34"/>
      <c r="AN120" s="34"/>
      <c r="AO120" s="34"/>
      <c r="AP120" s="36"/>
      <c r="AQ120" s="37"/>
      <c r="AR120" s="40"/>
      <c r="AS120" s="38"/>
      <c r="AT120" s="40"/>
      <c r="AU120" s="111"/>
      <c r="AV120" s="37"/>
      <c r="AW120" s="42"/>
      <c r="AX120" s="52"/>
      <c r="AY120" s="23"/>
      <c r="AZ120" s="42"/>
      <c r="BA120" s="42"/>
      <c r="BB120" s="42"/>
      <c r="BC120" s="42"/>
      <c r="BD120" s="42"/>
    </row>
    <row r="121">
      <c r="A121" s="274"/>
      <c r="B121" s="283"/>
      <c r="C121" s="274"/>
      <c r="D121" s="288"/>
      <c r="E121" s="118"/>
      <c r="F121" s="37"/>
      <c r="G121" s="54"/>
      <c r="H121" s="37"/>
      <c r="I121" s="37"/>
      <c r="J121" s="37"/>
      <c r="K121" s="37"/>
      <c r="L121" s="37"/>
      <c r="M121" s="55"/>
      <c r="N121" s="37"/>
      <c r="O121" s="56"/>
      <c r="P121" s="107"/>
      <c r="Q121" s="107"/>
      <c r="R121" s="142"/>
      <c r="S121" s="37"/>
      <c r="T121" s="37"/>
      <c r="U121" s="37"/>
      <c r="V121" s="37"/>
      <c r="W121" s="37"/>
      <c r="X121" s="37"/>
      <c r="Y121" s="60"/>
      <c r="Z121" s="60"/>
      <c r="AA121" s="241"/>
      <c r="AB121" s="241"/>
      <c r="AC121" s="60"/>
      <c r="AD121" s="29"/>
      <c r="AE121" s="54"/>
      <c r="AF121" s="37"/>
      <c r="AG121" s="38"/>
      <c r="AH121" s="51"/>
      <c r="AI121" s="32"/>
      <c r="AJ121" s="33"/>
      <c r="AK121" s="34"/>
      <c r="AL121" s="34"/>
      <c r="AM121" s="34"/>
      <c r="AN121" s="34"/>
      <c r="AO121" s="34"/>
      <c r="AP121" s="36"/>
      <c r="AQ121" s="37"/>
      <c r="AR121" s="40"/>
      <c r="AS121" s="38"/>
      <c r="AT121" s="40"/>
      <c r="AU121" s="111"/>
      <c r="AV121" s="37"/>
      <c r="AW121" s="42"/>
      <c r="AX121" s="52"/>
      <c r="AY121" s="23"/>
      <c r="AZ121" s="42"/>
      <c r="BA121" s="42"/>
      <c r="BB121" s="42"/>
      <c r="BC121" s="42"/>
      <c r="BD121" s="42"/>
    </row>
    <row r="122">
      <c r="A122" s="274"/>
      <c r="B122" s="283"/>
      <c r="C122" s="274"/>
      <c r="D122" s="288"/>
      <c r="E122" s="118"/>
      <c r="F122" s="37"/>
      <c r="G122" s="54"/>
      <c r="H122" s="37"/>
      <c r="I122" s="37"/>
      <c r="J122" s="37"/>
      <c r="K122" s="37"/>
      <c r="L122" s="37"/>
      <c r="M122" s="55"/>
      <c r="N122" s="37"/>
      <c r="O122" s="56"/>
      <c r="P122" s="107"/>
      <c r="Q122" s="107"/>
      <c r="R122" s="142"/>
      <c r="S122" s="37"/>
      <c r="T122" s="37"/>
      <c r="U122" s="37"/>
      <c r="V122" s="37"/>
      <c r="W122" s="37"/>
      <c r="X122" s="37"/>
      <c r="Y122" s="60"/>
      <c r="Z122" s="60"/>
      <c r="AA122" s="241"/>
      <c r="AB122" s="241"/>
      <c r="AC122" s="60"/>
      <c r="AD122" s="29"/>
      <c r="AE122" s="54"/>
      <c r="AF122" s="37"/>
      <c r="AG122" s="38"/>
      <c r="AH122" s="51"/>
      <c r="AI122" s="32"/>
      <c r="AJ122" s="33"/>
      <c r="AK122" s="34"/>
      <c r="AL122" s="34"/>
      <c r="AM122" s="34"/>
      <c r="AN122" s="34"/>
      <c r="AO122" s="34"/>
      <c r="AP122" s="36"/>
      <c r="AQ122" s="37"/>
      <c r="AR122" s="40"/>
      <c r="AS122" s="38"/>
      <c r="AT122" s="40"/>
      <c r="AU122" s="111"/>
      <c r="AV122" s="37"/>
      <c r="AW122" s="42"/>
      <c r="AX122" s="52"/>
      <c r="AY122" s="23"/>
      <c r="AZ122" s="42"/>
      <c r="BA122" s="42"/>
      <c r="BB122" s="42"/>
      <c r="BC122" s="42"/>
      <c r="BD122" s="42"/>
    </row>
    <row r="123">
      <c r="A123" s="274"/>
      <c r="B123" s="272"/>
      <c r="C123" s="274"/>
      <c r="D123" s="288"/>
      <c r="E123" s="118"/>
      <c r="F123" s="37"/>
      <c r="G123" s="54"/>
      <c r="H123" s="37"/>
      <c r="I123" s="37"/>
      <c r="J123" s="37"/>
      <c r="K123" s="37"/>
      <c r="L123" s="37"/>
      <c r="M123" s="55"/>
      <c r="N123" s="37"/>
      <c r="O123" s="56"/>
      <c r="P123" s="107"/>
      <c r="Q123" s="107"/>
      <c r="R123" s="142"/>
      <c r="S123" s="37"/>
      <c r="T123" s="37"/>
      <c r="U123" s="37"/>
      <c r="V123" s="37"/>
      <c r="W123" s="37"/>
      <c r="X123" s="37"/>
      <c r="Y123" s="60"/>
      <c r="Z123" s="60"/>
      <c r="AA123" s="241"/>
      <c r="AB123" s="241"/>
      <c r="AC123" s="60"/>
      <c r="AD123" s="29"/>
      <c r="AE123" s="54"/>
      <c r="AF123" s="37"/>
      <c r="AG123" s="38"/>
      <c r="AH123" s="51"/>
      <c r="AI123" s="32"/>
      <c r="AJ123" s="33"/>
      <c r="AK123" s="34"/>
      <c r="AL123" s="34"/>
      <c r="AM123" s="34"/>
      <c r="AN123" s="34"/>
      <c r="AO123" s="34"/>
      <c r="AP123" s="36"/>
      <c r="AQ123" s="37"/>
      <c r="AR123" s="40"/>
      <c r="AS123" s="38"/>
      <c r="AT123" s="40"/>
      <c r="AU123" s="111"/>
      <c r="AV123" s="37"/>
      <c r="AW123" s="42"/>
      <c r="AX123" s="52"/>
      <c r="AY123" s="23"/>
      <c r="AZ123" s="42"/>
      <c r="BA123" s="42"/>
      <c r="BB123" s="42"/>
      <c r="BC123" s="42"/>
      <c r="BD123" s="42"/>
    </row>
    <row r="124">
      <c r="A124" s="274"/>
      <c r="B124" s="272"/>
      <c r="C124" s="274"/>
      <c r="D124" s="273"/>
      <c r="E124" s="118"/>
      <c r="F124" s="37"/>
      <c r="G124" s="54"/>
      <c r="H124" s="37"/>
      <c r="I124" s="37"/>
      <c r="J124" s="37"/>
      <c r="K124" s="37"/>
      <c r="L124" s="37"/>
      <c r="M124" s="55"/>
      <c r="N124" s="37"/>
      <c r="O124" s="56"/>
      <c r="P124" s="107"/>
      <c r="Q124" s="107"/>
      <c r="R124" s="142"/>
      <c r="S124" s="37"/>
      <c r="T124" s="37"/>
      <c r="U124" s="37"/>
      <c r="V124" s="37"/>
      <c r="W124" s="37"/>
      <c r="X124" s="37"/>
      <c r="Y124" s="60"/>
      <c r="Z124" s="60"/>
      <c r="AA124" s="241"/>
      <c r="AB124" s="241"/>
      <c r="AC124" s="60"/>
      <c r="AD124" s="29"/>
      <c r="AE124" s="54"/>
      <c r="AF124" s="37"/>
      <c r="AG124" s="38"/>
      <c r="AH124" s="51"/>
      <c r="AI124" s="32"/>
      <c r="AJ124" s="33"/>
      <c r="AK124" s="34"/>
      <c r="AL124" s="34"/>
      <c r="AM124" s="34"/>
      <c r="AN124" s="34"/>
      <c r="AO124" s="34"/>
      <c r="AP124" s="36"/>
      <c r="AQ124" s="37"/>
      <c r="AR124" s="40"/>
      <c r="AS124" s="38"/>
      <c r="AT124" s="40"/>
      <c r="AU124" s="111"/>
      <c r="AV124" s="37"/>
      <c r="AW124" s="42"/>
      <c r="AX124" s="52"/>
      <c r="AY124" s="23"/>
      <c r="AZ124" s="42"/>
      <c r="BA124" s="42"/>
      <c r="BB124" s="42"/>
      <c r="BC124" s="42"/>
      <c r="BD124" s="42"/>
    </row>
    <row r="125">
      <c r="A125" s="274"/>
      <c r="B125" s="272"/>
      <c r="C125" s="274"/>
      <c r="D125" s="288"/>
      <c r="E125" s="118"/>
      <c r="F125" s="37"/>
      <c r="G125" s="54"/>
      <c r="H125" s="37"/>
      <c r="I125" s="37"/>
      <c r="J125" s="37"/>
      <c r="K125" s="37"/>
      <c r="L125" s="37"/>
      <c r="M125" s="55"/>
      <c r="N125" s="37"/>
      <c r="O125" s="56"/>
      <c r="P125" s="107"/>
      <c r="Q125" s="107"/>
      <c r="R125" s="142"/>
      <c r="S125" s="37"/>
      <c r="T125" s="37"/>
      <c r="U125" s="37"/>
      <c r="V125" s="37"/>
      <c r="W125" s="37"/>
      <c r="X125" s="37"/>
      <c r="Y125" s="60"/>
      <c r="Z125" s="60"/>
      <c r="AA125" s="241"/>
      <c r="AB125" s="241"/>
      <c r="AC125" s="60"/>
      <c r="AD125" s="29"/>
      <c r="AE125" s="54"/>
      <c r="AF125" s="37"/>
      <c r="AG125" s="38"/>
      <c r="AH125" s="51"/>
      <c r="AI125" s="32"/>
      <c r="AJ125" s="33"/>
      <c r="AK125" s="34"/>
      <c r="AL125" s="34"/>
      <c r="AM125" s="34"/>
      <c r="AN125" s="34"/>
      <c r="AO125" s="34"/>
      <c r="AP125" s="36"/>
      <c r="AQ125" s="37"/>
      <c r="AR125" s="40"/>
      <c r="AS125" s="38"/>
      <c r="AT125" s="40"/>
      <c r="AU125" s="111"/>
      <c r="AV125" s="37"/>
      <c r="AW125" s="42"/>
      <c r="AX125" s="52"/>
      <c r="AY125" s="23"/>
      <c r="AZ125" s="42"/>
      <c r="BA125" s="42"/>
      <c r="BB125" s="42"/>
      <c r="BC125" s="42"/>
      <c r="BD125" s="42"/>
    </row>
    <row r="126">
      <c r="A126" s="274"/>
      <c r="B126" s="272"/>
      <c r="C126" s="274"/>
      <c r="D126" s="273"/>
      <c r="E126" s="118"/>
      <c r="F126" s="37"/>
      <c r="G126" s="54"/>
      <c r="H126" s="37"/>
      <c r="I126" s="37"/>
      <c r="J126" s="37"/>
      <c r="K126" s="37"/>
      <c r="L126" s="37"/>
      <c r="M126" s="55"/>
      <c r="N126" s="37"/>
      <c r="O126" s="56"/>
      <c r="P126" s="107"/>
      <c r="Q126" s="107"/>
      <c r="R126" s="142"/>
      <c r="S126" s="37"/>
      <c r="T126" s="37"/>
      <c r="U126" s="37"/>
      <c r="V126" s="37"/>
      <c r="W126" s="37"/>
      <c r="X126" s="37"/>
      <c r="Y126" s="60"/>
      <c r="Z126" s="60"/>
      <c r="AA126" s="241"/>
      <c r="AB126" s="241"/>
      <c r="AC126" s="60"/>
      <c r="AD126" s="29"/>
      <c r="AE126" s="54"/>
      <c r="AF126" s="37"/>
      <c r="AG126" s="38"/>
      <c r="AH126" s="51"/>
      <c r="AI126" s="32"/>
      <c r="AJ126" s="33"/>
      <c r="AK126" s="34"/>
      <c r="AL126" s="34"/>
      <c r="AM126" s="34"/>
      <c r="AN126" s="34"/>
      <c r="AO126" s="34"/>
      <c r="AP126" s="36"/>
      <c r="AQ126" s="37"/>
      <c r="AR126" s="40"/>
      <c r="AS126" s="38"/>
      <c r="AT126" s="40"/>
      <c r="AU126" s="111"/>
      <c r="AV126" s="37"/>
      <c r="AW126" s="42"/>
      <c r="AX126" s="52"/>
      <c r="AY126" s="23"/>
      <c r="AZ126" s="42"/>
      <c r="BA126" s="42"/>
      <c r="BB126" s="42"/>
      <c r="BC126" s="42"/>
      <c r="BD126" s="42"/>
    </row>
    <row r="127">
      <c r="A127" s="274"/>
      <c r="B127" s="272"/>
      <c r="C127" s="274"/>
      <c r="D127" s="273"/>
      <c r="E127" s="118"/>
      <c r="F127" s="37"/>
      <c r="G127" s="54"/>
      <c r="H127" s="37"/>
      <c r="I127" s="37"/>
      <c r="J127" s="37"/>
      <c r="K127" s="37"/>
      <c r="L127" s="37"/>
      <c r="M127" s="55"/>
      <c r="N127" s="37"/>
      <c r="O127" s="56"/>
      <c r="P127" s="107"/>
      <c r="Q127" s="107"/>
      <c r="R127" s="142"/>
      <c r="S127" s="37"/>
      <c r="T127" s="37"/>
      <c r="U127" s="37"/>
      <c r="V127" s="37"/>
      <c r="W127" s="37"/>
      <c r="X127" s="37"/>
      <c r="Y127" s="60"/>
      <c r="Z127" s="60"/>
      <c r="AA127" s="241"/>
      <c r="AB127" s="241"/>
      <c r="AC127" s="60"/>
      <c r="AD127" s="29"/>
      <c r="AE127" s="54"/>
      <c r="AF127" s="37"/>
      <c r="AG127" s="38"/>
      <c r="AH127" s="51"/>
      <c r="AI127" s="32"/>
      <c r="AJ127" s="33"/>
      <c r="AK127" s="34"/>
      <c r="AL127" s="34"/>
      <c r="AM127" s="34"/>
      <c r="AN127" s="34"/>
      <c r="AO127" s="34"/>
      <c r="AP127" s="36"/>
      <c r="AQ127" s="37"/>
      <c r="AR127" s="40"/>
      <c r="AS127" s="38"/>
      <c r="AT127" s="40"/>
      <c r="AU127" s="111"/>
      <c r="AV127" s="37"/>
      <c r="AW127" s="42"/>
      <c r="AX127" s="52"/>
      <c r="AY127" s="23"/>
      <c r="AZ127" s="42"/>
      <c r="BA127" s="42"/>
      <c r="BB127" s="42"/>
      <c r="BC127" s="42"/>
      <c r="BD127" s="42"/>
    </row>
    <row r="128">
      <c r="A128" s="274"/>
      <c r="B128" s="272"/>
      <c r="C128" s="274"/>
      <c r="D128" s="273"/>
      <c r="E128" s="118"/>
      <c r="F128" s="37"/>
      <c r="G128" s="54"/>
      <c r="H128" s="37"/>
      <c r="I128" s="37"/>
      <c r="J128" s="37"/>
      <c r="K128" s="37"/>
      <c r="L128" s="37"/>
      <c r="M128" s="55"/>
      <c r="N128" s="37"/>
      <c r="O128" s="56"/>
      <c r="P128" s="107"/>
      <c r="Q128" s="107"/>
      <c r="R128" s="142"/>
      <c r="S128" s="37"/>
      <c r="T128" s="37"/>
      <c r="U128" s="37"/>
      <c r="V128" s="37"/>
      <c r="W128" s="37"/>
      <c r="X128" s="37"/>
      <c r="Y128" s="60"/>
      <c r="Z128" s="60"/>
      <c r="AA128" s="241"/>
      <c r="AB128" s="241"/>
      <c r="AC128" s="60"/>
      <c r="AD128" s="29"/>
      <c r="AE128" s="54"/>
      <c r="AF128" s="37"/>
      <c r="AG128" s="38"/>
      <c r="AH128" s="51"/>
      <c r="AI128" s="32"/>
      <c r="AJ128" s="33"/>
      <c r="AK128" s="34"/>
      <c r="AL128" s="34"/>
      <c r="AM128" s="34"/>
      <c r="AN128" s="34"/>
      <c r="AO128" s="34"/>
      <c r="AP128" s="36"/>
      <c r="AQ128" s="37"/>
      <c r="AR128" s="40"/>
      <c r="AS128" s="38"/>
      <c r="AT128" s="40"/>
      <c r="AU128" s="111"/>
      <c r="AV128" s="37"/>
      <c r="AW128" s="42"/>
      <c r="AX128" s="52"/>
      <c r="AY128" s="23"/>
      <c r="AZ128" s="42"/>
      <c r="BA128" s="42"/>
      <c r="BB128" s="42"/>
      <c r="BC128" s="42"/>
      <c r="BD128" s="42"/>
    </row>
    <row r="129">
      <c r="A129" s="274"/>
      <c r="B129" s="272"/>
      <c r="C129" s="274"/>
      <c r="D129" s="273"/>
      <c r="E129" s="118"/>
      <c r="F129" s="37"/>
      <c r="G129" s="54"/>
      <c r="H129" s="37"/>
      <c r="I129" s="37"/>
      <c r="J129" s="37"/>
      <c r="K129" s="37"/>
      <c r="L129" s="37"/>
      <c r="M129" s="55"/>
      <c r="N129" s="37"/>
      <c r="O129" s="56"/>
      <c r="P129" s="107"/>
      <c r="Q129" s="107"/>
      <c r="R129" s="142"/>
      <c r="S129" s="37"/>
      <c r="T129" s="37"/>
      <c r="U129" s="37"/>
      <c r="V129" s="37"/>
      <c r="W129" s="37"/>
      <c r="X129" s="37"/>
      <c r="Y129" s="60"/>
      <c r="Z129" s="60"/>
      <c r="AA129" s="241"/>
      <c r="AB129" s="241"/>
      <c r="AC129" s="60"/>
      <c r="AD129" s="29"/>
      <c r="AE129" s="54"/>
      <c r="AF129" s="37"/>
      <c r="AG129" s="38"/>
      <c r="AH129" s="51"/>
      <c r="AI129" s="32"/>
      <c r="AJ129" s="33"/>
      <c r="AK129" s="34"/>
      <c r="AL129" s="34"/>
      <c r="AM129" s="34"/>
      <c r="AN129" s="34"/>
      <c r="AO129" s="34"/>
      <c r="AP129" s="36"/>
      <c r="AQ129" s="37"/>
      <c r="AR129" s="40"/>
      <c r="AS129" s="38"/>
      <c r="AT129" s="40"/>
      <c r="AU129" s="111"/>
      <c r="AV129" s="37"/>
      <c r="AW129" s="42"/>
      <c r="AX129" s="52"/>
      <c r="AY129" s="23"/>
      <c r="AZ129" s="42"/>
      <c r="BA129" s="42"/>
      <c r="BB129" s="42"/>
      <c r="BC129" s="42"/>
      <c r="BD129" s="42"/>
    </row>
    <row r="130">
      <c r="A130" s="274"/>
      <c r="B130" s="272"/>
      <c r="C130" s="274"/>
      <c r="D130" s="273"/>
      <c r="E130" s="118"/>
      <c r="F130" s="37"/>
      <c r="G130" s="54"/>
      <c r="H130" s="37"/>
      <c r="I130" s="37"/>
      <c r="J130" s="37"/>
      <c r="K130" s="37"/>
      <c r="L130" s="37"/>
      <c r="M130" s="55"/>
      <c r="N130" s="37"/>
      <c r="O130" s="56"/>
      <c r="P130" s="107"/>
      <c r="Q130" s="107"/>
      <c r="R130" s="142"/>
      <c r="S130" s="37"/>
      <c r="T130" s="37"/>
      <c r="U130" s="37"/>
      <c r="V130" s="37"/>
      <c r="W130" s="37"/>
      <c r="X130" s="37"/>
      <c r="Y130" s="60"/>
      <c r="Z130" s="60"/>
      <c r="AA130" s="241"/>
      <c r="AB130" s="241"/>
      <c r="AC130" s="60"/>
      <c r="AD130" s="29"/>
      <c r="AE130" s="54"/>
      <c r="AF130" s="37"/>
      <c r="AG130" s="38"/>
      <c r="AH130" s="51"/>
      <c r="AI130" s="32"/>
      <c r="AJ130" s="33"/>
      <c r="AK130" s="34"/>
      <c r="AL130" s="34"/>
      <c r="AM130" s="34"/>
      <c r="AN130" s="34"/>
      <c r="AO130" s="34"/>
      <c r="AP130" s="36"/>
      <c r="AQ130" s="37"/>
      <c r="AR130" s="40"/>
      <c r="AS130" s="38"/>
      <c r="AT130" s="40"/>
      <c r="AU130" s="111"/>
      <c r="AV130" s="37"/>
      <c r="AW130" s="42"/>
      <c r="AX130" s="52"/>
      <c r="AY130" s="23"/>
      <c r="AZ130" s="42"/>
      <c r="BA130" s="42"/>
      <c r="BB130" s="42"/>
      <c r="BC130" s="42"/>
      <c r="BD130" s="42"/>
    </row>
    <row r="131">
      <c r="A131" s="274"/>
      <c r="B131" s="272"/>
      <c r="C131" s="274"/>
      <c r="D131" s="273"/>
      <c r="E131" s="118"/>
      <c r="F131" s="37"/>
      <c r="G131" s="54"/>
      <c r="H131" s="37"/>
      <c r="I131" s="37"/>
      <c r="J131" s="37"/>
      <c r="K131" s="37"/>
      <c r="L131" s="37"/>
      <c r="M131" s="55"/>
      <c r="N131" s="37"/>
      <c r="O131" s="56"/>
      <c r="P131" s="107"/>
      <c r="Q131" s="107"/>
      <c r="R131" s="142"/>
      <c r="S131" s="37"/>
      <c r="T131" s="37"/>
      <c r="U131" s="37"/>
      <c r="V131" s="37"/>
      <c r="W131" s="37"/>
      <c r="X131" s="37"/>
      <c r="Y131" s="60"/>
      <c r="Z131" s="60"/>
      <c r="AA131" s="241"/>
      <c r="AB131" s="241"/>
      <c r="AC131" s="60"/>
      <c r="AD131" s="29"/>
      <c r="AE131" s="54"/>
      <c r="AF131" s="37"/>
      <c r="AG131" s="38"/>
      <c r="AH131" s="51"/>
      <c r="AI131" s="32"/>
      <c r="AJ131" s="33"/>
      <c r="AK131" s="34"/>
      <c r="AL131" s="34"/>
      <c r="AM131" s="34"/>
      <c r="AN131" s="34"/>
      <c r="AO131" s="34"/>
      <c r="AP131" s="36"/>
      <c r="AQ131" s="37"/>
      <c r="AR131" s="40"/>
      <c r="AS131" s="38"/>
      <c r="AT131" s="40"/>
      <c r="AU131" s="111"/>
      <c r="AV131" s="37"/>
      <c r="AW131" s="42"/>
      <c r="AX131" s="52"/>
      <c r="AY131" s="23"/>
      <c r="AZ131" s="42"/>
      <c r="BA131" s="42"/>
      <c r="BB131" s="42"/>
      <c r="BC131" s="42"/>
      <c r="BD131" s="42"/>
    </row>
    <row r="132">
      <c r="A132" s="274"/>
      <c r="B132" s="272"/>
      <c r="C132" s="274"/>
      <c r="D132" s="273"/>
      <c r="E132" s="118"/>
      <c r="F132" s="37"/>
      <c r="G132" s="54"/>
      <c r="H132" s="37"/>
      <c r="I132" s="37"/>
      <c r="J132" s="37"/>
      <c r="K132" s="37"/>
      <c r="L132" s="37"/>
      <c r="M132" s="55"/>
      <c r="N132" s="37"/>
      <c r="O132" s="56"/>
      <c r="P132" s="107"/>
      <c r="Q132" s="107"/>
      <c r="R132" s="142"/>
      <c r="S132" s="37"/>
      <c r="T132" s="37"/>
      <c r="U132" s="37"/>
      <c r="V132" s="37"/>
      <c r="W132" s="37"/>
      <c r="X132" s="37"/>
      <c r="Y132" s="60"/>
      <c r="Z132" s="60"/>
      <c r="AA132" s="241"/>
      <c r="AB132" s="241"/>
      <c r="AC132" s="60"/>
      <c r="AD132" s="29"/>
      <c r="AE132" s="54"/>
      <c r="AF132" s="37"/>
      <c r="AG132" s="38"/>
      <c r="AH132" s="51"/>
      <c r="AI132" s="32"/>
      <c r="AJ132" s="33"/>
      <c r="AK132" s="34"/>
      <c r="AL132" s="34"/>
      <c r="AM132" s="34"/>
      <c r="AN132" s="34"/>
      <c r="AO132" s="34"/>
      <c r="AP132" s="36"/>
      <c r="AQ132" s="37"/>
      <c r="AR132" s="40"/>
      <c r="AS132" s="38"/>
      <c r="AT132" s="40"/>
      <c r="AU132" s="111"/>
      <c r="AV132" s="37"/>
      <c r="AW132" s="42"/>
      <c r="AX132" s="52"/>
      <c r="AY132" s="23"/>
      <c r="AZ132" s="42"/>
      <c r="BA132" s="42"/>
      <c r="BB132" s="42"/>
      <c r="BC132" s="42"/>
      <c r="BD132" s="42"/>
    </row>
    <row r="133">
      <c r="A133" s="274"/>
      <c r="B133" s="272"/>
      <c r="C133" s="274"/>
      <c r="D133" s="273"/>
      <c r="E133" s="118"/>
      <c r="F133" s="37"/>
      <c r="G133" s="54"/>
      <c r="H133" s="37"/>
      <c r="I133" s="37"/>
      <c r="J133" s="37"/>
      <c r="K133" s="37"/>
      <c r="L133" s="37"/>
      <c r="M133" s="55"/>
      <c r="N133" s="37"/>
      <c r="O133" s="56"/>
      <c r="P133" s="107"/>
      <c r="Q133" s="107"/>
      <c r="R133" s="142"/>
      <c r="S133" s="37"/>
      <c r="T133" s="37"/>
      <c r="U133" s="37"/>
      <c r="V133" s="37"/>
      <c r="W133" s="37"/>
      <c r="X133" s="37"/>
      <c r="Y133" s="60"/>
      <c r="Z133" s="60"/>
      <c r="AA133" s="241"/>
      <c r="AB133" s="241"/>
      <c r="AC133" s="60"/>
      <c r="AD133" s="29"/>
      <c r="AE133" s="54"/>
      <c r="AF133" s="37"/>
      <c r="AG133" s="38"/>
      <c r="AH133" s="51"/>
      <c r="AI133" s="32"/>
      <c r="AJ133" s="33"/>
      <c r="AK133" s="34"/>
      <c r="AL133" s="34"/>
      <c r="AM133" s="34"/>
      <c r="AN133" s="34"/>
      <c r="AO133" s="34"/>
      <c r="AP133" s="36"/>
      <c r="AQ133" s="37"/>
      <c r="AR133" s="40"/>
      <c r="AS133" s="38"/>
      <c r="AT133" s="40"/>
      <c r="AU133" s="111"/>
      <c r="AV133" s="37"/>
      <c r="AW133" s="42"/>
      <c r="AX133" s="52"/>
      <c r="AY133" s="23"/>
      <c r="AZ133" s="42"/>
      <c r="BA133" s="42"/>
      <c r="BB133" s="42"/>
      <c r="BC133" s="42"/>
      <c r="BD133" s="42"/>
    </row>
    <row r="134">
      <c r="A134" s="274"/>
      <c r="B134" s="272"/>
      <c r="C134" s="274"/>
      <c r="D134" s="273"/>
      <c r="E134" s="118"/>
      <c r="F134" s="37"/>
      <c r="G134" s="54"/>
      <c r="H134" s="37"/>
      <c r="I134" s="37"/>
      <c r="J134" s="37"/>
      <c r="K134" s="37"/>
      <c r="L134" s="37"/>
      <c r="M134" s="55"/>
      <c r="N134" s="37"/>
      <c r="O134" s="56"/>
      <c r="P134" s="107"/>
      <c r="Q134" s="107"/>
      <c r="R134" s="142"/>
      <c r="S134" s="37"/>
      <c r="T134" s="37"/>
      <c r="U134" s="37"/>
      <c r="V134" s="37"/>
      <c r="W134" s="37"/>
      <c r="X134" s="37"/>
      <c r="Y134" s="60"/>
      <c r="Z134" s="60"/>
      <c r="AA134" s="241"/>
      <c r="AB134" s="241"/>
      <c r="AC134" s="60"/>
      <c r="AD134" s="29"/>
      <c r="AE134" s="54"/>
      <c r="AF134" s="37"/>
      <c r="AG134" s="38"/>
      <c r="AH134" s="51"/>
      <c r="AI134" s="32"/>
      <c r="AJ134" s="33"/>
      <c r="AK134" s="34"/>
      <c r="AL134" s="34"/>
      <c r="AM134" s="34"/>
      <c r="AN134" s="34"/>
      <c r="AO134" s="34"/>
      <c r="AP134" s="36"/>
      <c r="AQ134" s="37"/>
      <c r="AR134" s="40"/>
      <c r="AS134" s="38"/>
      <c r="AT134" s="40"/>
      <c r="AU134" s="111"/>
      <c r="AV134" s="37"/>
      <c r="AW134" s="42"/>
      <c r="AX134" s="52"/>
      <c r="AY134" s="23"/>
      <c r="AZ134" s="42"/>
      <c r="BA134" s="42"/>
      <c r="BB134" s="42"/>
      <c r="BC134" s="42"/>
      <c r="BD134" s="42"/>
    </row>
    <row r="135">
      <c r="A135" s="274"/>
      <c r="B135" s="272"/>
      <c r="C135" s="274"/>
      <c r="D135" s="273"/>
      <c r="E135" s="118"/>
      <c r="F135" s="37"/>
      <c r="G135" s="54"/>
      <c r="H135" s="37"/>
      <c r="I135" s="37"/>
      <c r="J135" s="37"/>
      <c r="K135" s="37"/>
      <c r="L135" s="37"/>
      <c r="M135" s="55"/>
      <c r="N135" s="37"/>
      <c r="O135" s="56"/>
      <c r="P135" s="107"/>
      <c r="Q135" s="107"/>
      <c r="R135" s="142"/>
      <c r="S135" s="37"/>
      <c r="T135" s="37"/>
      <c r="U135" s="37"/>
      <c r="V135" s="37"/>
      <c r="W135" s="37"/>
      <c r="X135" s="37"/>
      <c r="Y135" s="60"/>
      <c r="Z135" s="60"/>
      <c r="AA135" s="241"/>
      <c r="AB135" s="241"/>
      <c r="AC135" s="60"/>
      <c r="AD135" s="29"/>
      <c r="AE135" s="54"/>
      <c r="AF135" s="37"/>
      <c r="AG135" s="38"/>
      <c r="AH135" s="51"/>
      <c r="AI135" s="32"/>
      <c r="AJ135" s="33"/>
      <c r="AK135" s="34"/>
      <c r="AL135" s="34"/>
      <c r="AM135" s="34"/>
      <c r="AN135" s="34"/>
      <c r="AO135" s="34"/>
      <c r="AP135" s="36"/>
      <c r="AQ135" s="37"/>
      <c r="AR135" s="40"/>
      <c r="AS135" s="38"/>
      <c r="AT135" s="40"/>
      <c r="AU135" s="111"/>
      <c r="AV135" s="37"/>
      <c r="AW135" s="42"/>
      <c r="AX135" s="52"/>
      <c r="AY135" s="23"/>
      <c r="AZ135" s="42"/>
      <c r="BA135" s="42"/>
      <c r="BB135" s="42"/>
      <c r="BC135" s="42"/>
      <c r="BD135" s="42"/>
    </row>
    <row r="136">
      <c r="A136" s="274"/>
      <c r="B136" s="272"/>
      <c r="C136" s="274"/>
      <c r="D136" s="273"/>
      <c r="E136" s="118"/>
      <c r="F136" s="37"/>
      <c r="G136" s="54"/>
      <c r="H136" s="37"/>
      <c r="I136" s="37"/>
      <c r="J136" s="37"/>
      <c r="K136" s="37"/>
      <c r="L136" s="37"/>
      <c r="M136" s="55"/>
      <c r="N136" s="37"/>
      <c r="O136" s="56"/>
      <c r="P136" s="107"/>
      <c r="Q136" s="107"/>
      <c r="R136" s="142"/>
      <c r="S136" s="37"/>
      <c r="T136" s="37"/>
      <c r="U136" s="37"/>
      <c r="V136" s="37"/>
      <c r="W136" s="37"/>
      <c r="X136" s="37"/>
      <c r="Y136" s="60"/>
      <c r="Z136" s="60"/>
      <c r="AA136" s="241"/>
      <c r="AB136" s="241"/>
      <c r="AC136" s="60"/>
      <c r="AD136" s="29"/>
      <c r="AE136" s="54"/>
      <c r="AF136" s="37"/>
      <c r="AG136" s="38"/>
      <c r="AH136" s="51"/>
      <c r="AI136" s="32"/>
      <c r="AJ136" s="33"/>
      <c r="AK136" s="34"/>
      <c r="AL136" s="34"/>
      <c r="AM136" s="34"/>
      <c r="AN136" s="34"/>
      <c r="AO136" s="34"/>
      <c r="AP136" s="36"/>
      <c r="AQ136" s="37"/>
      <c r="AR136" s="40"/>
      <c r="AS136" s="38"/>
      <c r="AT136" s="40"/>
      <c r="AU136" s="111"/>
      <c r="AV136" s="37"/>
      <c r="AW136" s="42"/>
      <c r="AX136" s="52"/>
      <c r="AY136" s="23"/>
      <c r="AZ136" s="42"/>
      <c r="BA136" s="42"/>
      <c r="BB136" s="42"/>
      <c r="BC136" s="42"/>
      <c r="BD136" s="42"/>
    </row>
    <row r="137">
      <c r="A137" s="274"/>
      <c r="B137" s="272"/>
      <c r="C137" s="274"/>
      <c r="D137" s="273"/>
      <c r="E137" s="118"/>
      <c r="F137" s="37"/>
      <c r="G137" s="54"/>
      <c r="H137" s="37"/>
      <c r="I137" s="37"/>
      <c r="J137" s="37"/>
      <c r="K137" s="37"/>
      <c r="L137" s="37"/>
      <c r="M137" s="55"/>
      <c r="N137" s="37"/>
      <c r="O137" s="56"/>
      <c r="P137" s="107"/>
      <c r="Q137" s="107"/>
      <c r="R137" s="142"/>
      <c r="S137" s="37"/>
      <c r="T137" s="37"/>
      <c r="U137" s="37"/>
      <c r="V137" s="37"/>
      <c r="W137" s="37"/>
      <c r="X137" s="37"/>
      <c r="Y137" s="60"/>
      <c r="Z137" s="60"/>
      <c r="AA137" s="241"/>
      <c r="AB137" s="241"/>
      <c r="AC137" s="60"/>
      <c r="AD137" s="29"/>
      <c r="AE137" s="54"/>
      <c r="AF137" s="37"/>
      <c r="AG137" s="38"/>
      <c r="AH137" s="51"/>
      <c r="AI137" s="32"/>
      <c r="AJ137" s="33"/>
      <c r="AK137" s="34"/>
      <c r="AL137" s="34"/>
      <c r="AM137" s="34"/>
      <c r="AN137" s="34"/>
      <c r="AO137" s="34"/>
      <c r="AP137" s="36"/>
      <c r="AQ137" s="37"/>
      <c r="AR137" s="40"/>
      <c r="AS137" s="38"/>
      <c r="AT137" s="40"/>
      <c r="AU137" s="111"/>
      <c r="AV137" s="37"/>
      <c r="AW137" s="42"/>
      <c r="AX137" s="52"/>
      <c r="AY137" s="23"/>
      <c r="AZ137" s="42"/>
      <c r="BA137" s="42"/>
      <c r="BB137" s="42"/>
      <c r="BC137" s="42"/>
      <c r="BD137" s="42"/>
    </row>
    <row r="138">
      <c r="A138" s="274"/>
      <c r="B138" s="272"/>
      <c r="C138" s="274"/>
      <c r="D138" s="273"/>
      <c r="E138" s="118"/>
      <c r="F138" s="37"/>
      <c r="G138" s="54"/>
      <c r="H138" s="37"/>
      <c r="I138" s="37"/>
      <c r="J138" s="37"/>
      <c r="K138" s="37"/>
      <c r="L138" s="37"/>
      <c r="M138" s="55"/>
      <c r="N138" s="37"/>
      <c r="O138" s="56"/>
      <c r="P138" s="107"/>
      <c r="Q138" s="107"/>
      <c r="R138" s="142"/>
      <c r="S138" s="37"/>
      <c r="T138" s="37"/>
      <c r="U138" s="37"/>
      <c r="V138" s="37"/>
      <c r="W138" s="37"/>
      <c r="X138" s="37"/>
      <c r="Y138" s="60"/>
      <c r="Z138" s="60"/>
      <c r="AA138" s="241"/>
      <c r="AB138" s="241"/>
      <c r="AC138" s="60"/>
      <c r="AD138" s="29"/>
      <c r="AE138" s="54"/>
      <c r="AF138" s="37"/>
      <c r="AG138" s="38"/>
      <c r="AH138" s="51"/>
      <c r="AI138" s="32"/>
      <c r="AJ138" s="33"/>
      <c r="AK138" s="34"/>
      <c r="AL138" s="34"/>
      <c r="AM138" s="34"/>
      <c r="AN138" s="34"/>
      <c r="AO138" s="34"/>
      <c r="AP138" s="36"/>
      <c r="AQ138" s="37"/>
      <c r="AR138" s="40"/>
      <c r="AS138" s="38"/>
      <c r="AT138" s="40"/>
      <c r="AU138" s="111"/>
      <c r="AV138" s="37"/>
      <c r="AW138" s="42"/>
      <c r="AX138" s="52"/>
      <c r="AY138" s="23"/>
      <c r="AZ138" s="42"/>
      <c r="BA138" s="42"/>
      <c r="BB138" s="42"/>
      <c r="BC138" s="42"/>
      <c r="BD138" s="42"/>
    </row>
    <row r="139">
      <c r="A139" s="274"/>
      <c r="B139" s="272"/>
      <c r="C139" s="274"/>
      <c r="D139" s="273"/>
      <c r="E139" s="118"/>
      <c r="F139" s="37"/>
      <c r="G139" s="54"/>
      <c r="H139" s="37"/>
      <c r="I139" s="37"/>
      <c r="J139" s="37"/>
      <c r="K139" s="37"/>
      <c r="L139" s="37"/>
      <c r="M139" s="55"/>
      <c r="N139" s="37"/>
      <c r="O139" s="56"/>
      <c r="P139" s="107"/>
      <c r="Q139" s="107"/>
      <c r="R139" s="142"/>
      <c r="S139" s="37"/>
      <c r="T139" s="37"/>
      <c r="U139" s="37"/>
      <c r="V139" s="37"/>
      <c r="W139" s="37"/>
      <c r="X139" s="37"/>
      <c r="Y139" s="60"/>
      <c r="Z139" s="60"/>
      <c r="AA139" s="241"/>
      <c r="AB139" s="241"/>
      <c r="AC139" s="60"/>
      <c r="AD139" s="29"/>
      <c r="AE139" s="54"/>
      <c r="AF139" s="37"/>
      <c r="AG139" s="38"/>
      <c r="AH139" s="51"/>
      <c r="AI139" s="32"/>
      <c r="AJ139" s="33"/>
      <c r="AK139" s="34"/>
      <c r="AL139" s="34"/>
      <c r="AM139" s="34"/>
      <c r="AN139" s="34"/>
      <c r="AO139" s="34"/>
      <c r="AP139" s="36"/>
      <c r="AQ139" s="37"/>
      <c r="AR139" s="40"/>
      <c r="AS139" s="38"/>
      <c r="AT139" s="40"/>
      <c r="AU139" s="111"/>
      <c r="AV139" s="37"/>
      <c r="AW139" s="42"/>
      <c r="AX139" s="52"/>
      <c r="AY139" s="23"/>
      <c r="AZ139" s="42"/>
      <c r="BA139" s="42"/>
      <c r="BB139" s="42"/>
      <c r="BC139" s="42"/>
      <c r="BD139" s="42"/>
    </row>
    <row r="140">
      <c r="A140" s="274"/>
      <c r="B140" s="272"/>
      <c r="C140" s="274"/>
      <c r="D140" s="273"/>
      <c r="E140" s="118"/>
      <c r="F140" s="37"/>
      <c r="G140" s="54"/>
      <c r="H140" s="37"/>
      <c r="I140" s="37"/>
      <c r="J140" s="37"/>
      <c r="K140" s="37"/>
      <c r="L140" s="37"/>
      <c r="M140" s="55"/>
      <c r="N140" s="37"/>
      <c r="O140" s="56"/>
      <c r="P140" s="107"/>
      <c r="Q140" s="107"/>
      <c r="R140" s="142"/>
      <c r="S140" s="37"/>
      <c r="T140" s="37"/>
      <c r="U140" s="37"/>
      <c r="V140" s="37"/>
      <c r="W140" s="37"/>
      <c r="X140" s="37"/>
      <c r="Y140" s="60"/>
      <c r="Z140" s="60"/>
      <c r="AA140" s="241"/>
      <c r="AB140" s="241"/>
      <c r="AC140" s="60"/>
      <c r="AD140" s="29"/>
      <c r="AE140" s="54"/>
      <c r="AF140" s="37"/>
      <c r="AG140" s="38"/>
      <c r="AH140" s="51"/>
      <c r="AI140" s="32"/>
      <c r="AJ140" s="33"/>
      <c r="AK140" s="34"/>
      <c r="AL140" s="34"/>
      <c r="AM140" s="34"/>
      <c r="AN140" s="34"/>
      <c r="AO140" s="34"/>
      <c r="AP140" s="36"/>
      <c r="AQ140" s="37"/>
      <c r="AR140" s="40"/>
      <c r="AS140" s="38"/>
      <c r="AT140" s="40"/>
      <c r="AU140" s="111"/>
      <c r="AV140" s="37"/>
      <c r="AW140" s="42"/>
      <c r="AX140" s="52"/>
      <c r="AY140" s="23"/>
      <c r="AZ140" s="42"/>
      <c r="BA140" s="42"/>
      <c r="BB140" s="42"/>
      <c r="BC140" s="42"/>
      <c r="BD140" s="42"/>
    </row>
    <row r="141">
      <c r="A141" s="274"/>
      <c r="B141" s="272"/>
      <c r="C141" s="274"/>
      <c r="D141" s="273"/>
      <c r="E141" s="118"/>
      <c r="F141" s="37"/>
      <c r="G141" s="54"/>
      <c r="H141" s="37"/>
      <c r="I141" s="37"/>
      <c r="J141" s="37"/>
      <c r="K141" s="37"/>
      <c r="L141" s="37"/>
      <c r="M141" s="55"/>
      <c r="N141" s="37"/>
      <c r="O141" s="56"/>
      <c r="P141" s="107"/>
      <c r="Q141" s="107"/>
      <c r="R141" s="142"/>
      <c r="S141" s="37"/>
      <c r="T141" s="37"/>
      <c r="U141" s="37"/>
      <c r="V141" s="37"/>
      <c r="W141" s="37"/>
      <c r="X141" s="37"/>
      <c r="Y141" s="60"/>
      <c r="Z141" s="60"/>
      <c r="AA141" s="241"/>
      <c r="AB141" s="241"/>
      <c r="AC141" s="60"/>
      <c r="AD141" s="29"/>
      <c r="AE141" s="54"/>
      <c r="AF141" s="37"/>
      <c r="AG141" s="38"/>
      <c r="AH141" s="51"/>
      <c r="AI141" s="32"/>
      <c r="AJ141" s="33"/>
      <c r="AK141" s="34"/>
      <c r="AL141" s="34"/>
      <c r="AM141" s="34"/>
      <c r="AN141" s="34"/>
      <c r="AO141" s="34"/>
      <c r="AP141" s="36"/>
      <c r="AQ141" s="37"/>
      <c r="AR141" s="40"/>
      <c r="AS141" s="38"/>
      <c r="AT141" s="40"/>
      <c r="AU141" s="111"/>
      <c r="AV141" s="37"/>
      <c r="AW141" s="42"/>
      <c r="AX141" s="52"/>
      <c r="AY141" s="23"/>
      <c r="AZ141" s="42"/>
      <c r="BA141" s="42"/>
      <c r="BB141" s="42"/>
      <c r="BC141" s="42"/>
      <c r="BD141" s="42"/>
    </row>
    <row r="142">
      <c r="A142" s="274"/>
      <c r="B142" s="272"/>
      <c r="C142" s="274"/>
      <c r="D142" s="273"/>
      <c r="E142" s="118"/>
      <c r="F142" s="37"/>
      <c r="G142" s="54"/>
      <c r="H142" s="37"/>
      <c r="I142" s="37"/>
      <c r="J142" s="37"/>
      <c r="K142" s="37"/>
      <c r="L142" s="37"/>
      <c r="M142" s="55"/>
      <c r="N142" s="37"/>
      <c r="O142" s="56"/>
      <c r="P142" s="107"/>
      <c r="Q142" s="107"/>
      <c r="R142" s="142"/>
      <c r="S142" s="37"/>
      <c r="T142" s="37"/>
      <c r="U142" s="37"/>
      <c r="V142" s="37"/>
      <c r="W142" s="37"/>
      <c r="X142" s="37"/>
      <c r="Y142" s="60"/>
      <c r="Z142" s="60"/>
      <c r="AA142" s="241"/>
      <c r="AB142" s="241"/>
      <c r="AC142" s="60"/>
      <c r="AD142" s="29"/>
      <c r="AE142" s="54"/>
      <c r="AF142" s="37"/>
      <c r="AG142" s="38"/>
      <c r="AH142" s="51"/>
      <c r="AI142" s="32"/>
      <c r="AJ142" s="33"/>
      <c r="AK142" s="34"/>
      <c r="AL142" s="34"/>
      <c r="AM142" s="34"/>
      <c r="AN142" s="34"/>
      <c r="AO142" s="34"/>
      <c r="AP142" s="36"/>
      <c r="AQ142" s="37"/>
      <c r="AR142" s="40"/>
      <c r="AS142" s="38"/>
      <c r="AT142" s="40"/>
      <c r="AU142" s="111"/>
      <c r="AV142" s="37"/>
      <c r="AW142" s="42"/>
      <c r="AX142" s="52"/>
      <c r="AY142" s="23"/>
      <c r="AZ142" s="42"/>
      <c r="BA142" s="42"/>
      <c r="BB142" s="42"/>
      <c r="BC142" s="42"/>
      <c r="BD142" s="42"/>
    </row>
    <row r="143">
      <c r="A143" s="274"/>
      <c r="B143" s="272"/>
      <c r="C143" s="274"/>
      <c r="D143" s="273"/>
      <c r="E143" s="118"/>
      <c r="F143" s="37"/>
      <c r="G143" s="54"/>
      <c r="H143" s="37"/>
      <c r="I143" s="37"/>
      <c r="J143" s="37"/>
      <c r="K143" s="37"/>
      <c r="L143" s="37"/>
      <c r="M143" s="55"/>
      <c r="N143" s="37"/>
      <c r="O143" s="56"/>
      <c r="P143" s="107"/>
      <c r="Q143" s="107"/>
      <c r="R143" s="142"/>
      <c r="S143" s="37"/>
      <c r="T143" s="37"/>
      <c r="U143" s="37"/>
      <c r="V143" s="37"/>
      <c r="W143" s="37"/>
      <c r="X143" s="37"/>
      <c r="Y143" s="60"/>
      <c r="Z143" s="60"/>
      <c r="AA143" s="241"/>
      <c r="AB143" s="241"/>
      <c r="AC143" s="60"/>
      <c r="AD143" s="29"/>
      <c r="AE143" s="54"/>
      <c r="AF143" s="37"/>
      <c r="AG143" s="38"/>
      <c r="AH143" s="51"/>
      <c r="AI143" s="32"/>
      <c r="AJ143" s="33"/>
      <c r="AK143" s="34"/>
      <c r="AL143" s="34"/>
      <c r="AM143" s="34"/>
      <c r="AN143" s="34"/>
      <c r="AO143" s="34"/>
      <c r="AP143" s="36"/>
      <c r="AQ143" s="37"/>
      <c r="AR143" s="40"/>
      <c r="AS143" s="38"/>
      <c r="AT143" s="40"/>
      <c r="AU143" s="111"/>
      <c r="AV143" s="37"/>
      <c r="AW143" s="42"/>
      <c r="AX143" s="52"/>
      <c r="AY143" s="23"/>
      <c r="AZ143" s="42"/>
      <c r="BA143" s="42"/>
      <c r="BB143" s="42"/>
      <c r="BC143" s="42"/>
      <c r="BD143" s="42"/>
    </row>
    <row r="144">
      <c r="A144" s="274"/>
      <c r="B144" s="272"/>
      <c r="C144" s="274"/>
      <c r="D144" s="273"/>
      <c r="E144" s="118"/>
      <c r="F144" s="37"/>
      <c r="G144" s="54"/>
      <c r="H144" s="37"/>
      <c r="I144" s="37"/>
      <c r="J144" s="37"/>
      <c r="K144" s="37"/>
      <c r="L144" s="37"/>
      <c r="M144" s="55"/>
      <c r="N144" s="37"/>
      <c r="O144" s="56"/>
      <c r="P144" s="107"/>
      <c r="Q144" s="107"/>
      <c r="R144" s="142"/>
      <c r="S144" s="37"/>
      <c r="T144" s="37"/>
      <c r="U144" s="37"/>
      <c r="V144" s="37"/>
      <c r="W144" s="37"/>
      <c r="X144" s="37"/>
      <c r="Y144" s="60"/>
      <c r="Z144" s="60"/>
      <c r="AA144" s="241"/>
      <c r="AB144" s="241"/>
      <c r="AC144" s="60"/>
      <c r="AD144" s="29"/>
      <c r="AE144" s="54"/>
      <c r="AF144" s="37"/>
      <c r="AG144" s="38"/>
      <c r="AH144" s="51"/>
      <c r="AI144" s="32"/>
      <c r="AJ144" s="33"/>
      <c r="AK144" s="34"/>
      <c r="AL144" s="34"/>
      <c r="AM144" s="34"/>
      <c r="AN144" s="34"/>
      <c r="AO144" s="34"/>
      <c r="AP144" s="36"/>
      <c r="AQ144" s="37"/>
      <c r="AR144" s="40"/>
      <c r="AS144" s="38"/>
      <c r="AT144" s="40"/>
      <c r="AU144" s="111"/>
      <c r="AV144" s="37"/>
      <c r="AW144" s="42"/>
      <c r="AX144" s="52"/>
      <c r="AY144" s="23"/>
      <c r="AZ144" s="42"/>
      <c r="BA144" s="42"/>
      <c r="BB144" s="42"/>
      <c r="BC144" s="42"/>
      <c r="BD144" s="42"/>
    </row>
    <row r="145">
      <c r="A145" s="274"/>
      <c r="B145" s="272"/>
      <c r="C145" s="274"/>
      <c r="D145" s="273"/>
      <c r="E145" s="118"/>
      <c r="F145" s="37"/>
      <c r="G145" s="54"/>
      <c r="H145" s="37"/>
      <c r="I145" s="37"/>
      <c r="J145" s="37"/>
      <c r="K145" s="37"/>
      <c r="L145" s="37"/>
      <c r="M145" s="55"/>
      <c r="N145" s="37"/>
      <c r="O145" s="56"/>
      <c r="P145" s="107"/>
      <c r="Q145" s="107"/>
      <c r="R145" s="142"/>
      <c r="S145" s="37"/>
      <c r="T145" s="37"/>
      <c r="U145" s="37"/>
      <c r="V145" s="37"/>
      <c r="W145" s="37"/>
      <c r="X145" s="37"/>
      <c r="Y145" s="60"/>
      <c r="Z145" s="60"/>
      <c r="AA145" s="241"/>
      <c r="AB145" s="241"/>
      <c r="AC145" s="60"/>
      <c r="AD145" s="29"/>
      <c r="AE145" s="54"/>
      <c r="AF145" s="37"/>
      <c r="AG145" s="38"/>
      <c r="AH145" s="51"/>
      <c r="AI145" s="32"/>
      <c r="AJ145" s="33"/>
      <c r="AK145" s="34"/>
      <c r="AL145" s="34"/>
      <c r="AM145" s="34"/>
      <c r="AN145" s="34"/>
      <c r="AO145" s="34"/>
      <c r="AP145" s="36"/>
      <c r="AQ145" s="37"/>
      <c r="AR145" s="40"/>
      <c r="AS145" s="38"/>
      <c r="AT145" s="40"/>
      <c r="AU145" s="111"/>
      <c r="AV145" s="37"/>
      <c r="AW145" s="42"/>
      <c r="AX145" s="52"/>
      <c r="AY145" s="23"/>
      <c r="AZ145" s="42"/>
      <c r="BA145" s="42"/>
      <c r="BB145" s="42"/>
      <c r="BC145" s="42"/>
      <c r="BD145" s="42"/>
    </row>
    <row r="146">
      <c r="A146" s="274"/>
      <c r="B146" s="272"/>
      <c r="C146" s="274"/>
      <c r="D146" s="273"/>
      <c r="E146" s="118"/>
      <c r="F146" s="37"/>
      <c r="G146" s="54"/>
      <c r="H146" s="37"/>
      <c r="I146" s="37"/>
      <c r="J146" s="37"/>
      <c r="K146" s="37"/>
      <c r="L146" s="37"/>
      <c r="M146" s="55"/>
      <c r="N146" s="37"/>
      <c r="O146" s="56"/>
      <c r="P146" s="107"/>
      <c r="Q146" s="107"/>
      <c r="R146" s="142"/>
      <c r="S146" s="37"/>
      <c r="T146" s="37"/>
      <c r="U146" s="37"/>
      <c r="V146" s="37"/>
      <c r="W146" s="37"/>
      <c r="X146" s="37"/>
      <c r="Y146" s="60"/>
      <c r="Z146" s="60"/>
      <c r="AA146" s="241"/>
      <c r="AB146" s="241"/>
      <c r="AC146" s="60"/>
      <c r="AD146" s="29"/>
      <c r="AE146" s="54"/>
      <c r="AF146" s="37"/>
      <c r="AG146" s="38"/>
      <c r="AH146" s="51"/>
      <c r="AI146" s="32"/>
      <c r="AJ146" s="33"/>
      <c r="AK146" s="34"/>
      <c r="AL146" s="34"/>
      <c r="AM146" s="34"/>
      <c r="AN146" s="34"/>
      <c r="AO146" s="34"/>
      <c r="AP146" s="36"/>
      <c r="AQ146" s="37"/>
      <c r="AR146" s="40"/>
      <c r="AS146" s="38"/>
      <c r="AT146" s="40"/>
      <c r="AU146" s="111"/>
      <c r="AV146" s="37"/>
      <c r="AW146" s="42"/>
      <c r="AX146" s="52"/>
      <c r="AY146" s="23"/>
      <c r="AZ146" s="42"/>
      <c r="BA146" s="42"/>
      <c r="BB146" s="42"/>
      <c r="BC146" s="42"/>
      <c r="BD146" s="42"/>
    </row>
    <row r="147">
      <c r="A147" s="274"/>
      <c r="B147" s="272"/>
      <c r="C147" s="274"/>
      <c r="D147" s="273"/>
      <c r="E147" s="118"/>
      <c r="F147" s="37"/>
      <c r="G147" s="54"/>
      <c r="H147" s="37"/>
      <c r="I147" s="37"/>
      <c r="J147" s="37"/>
      <c r="K147" s="37"/>
      <c r="L147" s="37"/>
      <c r="M147" s="55"/>
      <c r="N147" s="37"/>
      <c r="O147" s="56"/>
      <c r="P147" s="107"/>
      <c r="Q147" s="107"/>
      <c r="R147" s="142"/>
      <c r="S147" s="37"/>
      <c r="T147" s="37"/>
      <c r="U147" s="37"/>
      <c r="V147" s="37"/>
      <c r="W147" s="37"/>
      <c r="X147" s="37"/>
      <c r="Y147" s="60"/>
      <c r="Z147" s="60"/>
      <c r="AA147" s="241"/>
      <c r="AB147" s="241"/>
      <c r="AC147" s="60"/>
      <c r="AD147" s="29"/>
      <c r="AE147" s="54"/>
      <c r="AF147" s="37"/>
      <c r="AG147" s="38"/>
      <c r="AH147" s="51"/>
      <c r="AI147" s="32"/>
      <c r="AJ147" s="33"/>
      <c r="AK147" s="34"/>
      <c r="AL147" s="34"/>
      <c r="AM147" s="34"/>
      <c r="AN147" s="34"/>
      <c r="AO147" s="34"/>
      <c r="AP147" s="36"/>
      <c r="AQ147" s="37"/>
      <c r="AR147" s="40"/>
      <c r="AS147" s="38"/>
      <c r="AT147" s="40"/>
      <c r="AU147" s="111"/>
      <c r="AV147" s="37"/>
      <c r="AW147" s="42"/>
      <c r="AX147" s="52"/>
      <c r="AY147" s="23"/>
      <c r="AZ147" s="42"/>
      <c r="BA147" s="42"/>
      <c r="BB147" s="42"/>
      <c r="BC147" s="42"/>
      <c r="BD147" s="42"/>
    </row>
    <row r="148">
      <c r="A148" s="274"/>
      <c r="B148" s="272"/>
      <c r="C148" s="274"/>
      <c r="D148" s="273"/>
      <c r="E148" s="118"/>
      <c r="F148" s="37"/>
      <c r="G148" s="54"/>
      <c r="H148" s="37"/>
      <c r="I148" s="37"/>
      <c r="J148" s="37"/>
      <c r="K148" s="37"/>
      <c r="L148" s="37"/>
      <c r="M148" s="55"/>
      <c r="N148" s="37"/>
      <c r="O148" s="56"/>
      <c r="P148" s="107"/>
      <c r="Q148" s="107"/>
      <c r="R148" s="142"/>
      <c r="S148" s="37"/>
      <c r="T148" s="37"/>
      <c r="U148" s="37"/>
      <c r="V148" s="37"/>
      <c r="W148" s="37"/>
      <c r="X148" s="37"/>
      <c r="Y148" s="60"/>
      <c r="Z148" s="60"/>
      <c r="AA148" s="241"/>
      <c r="AB148" s="241"/>
      <c r="AC148" s="60"/>
      <c r="AD148" s="29"/>
      <c r="AE148" s="54"/>
      <c r="AF148" s="37"/>
      <c r="AG148" s="38"/>
      <c r="AH148" s="51"/>
      <c r="AI148" s="32"/>
      <c r="AJ148" s="33"/>
      <c r="AK148" s="34"/>
      <c r="AL148" s="34"/>
      <c r="AM148" s="34"/>
      <c r="AN148" s="34"/>
      <c r="AO148" s="34"/>
      <c r="AP148" s="36"/>
      <c r="AQ148" s="37"/>
      <c r="AR148" s="40"/>
      <c r="AS148" s="38"/>
      <c r="AT148" s="40"/>
      <c r="AU148" s="111"/>
      <c r="AV148" s="37"/>
      <c r="AW148" s="42"/>
      <c r="AX148" s="52"/>
      <c r="AY148" s="23"/>
      <c r="AZ148" s="42"/>
      <c r="BA148" s="42"/>
      <c r="BB148" s="42"/>
      <c r="BC148" s="42"/>
      <c r="BD148" s="42"/>
    </row>
  </sheetData>
  <customSheetViews>
    <customSheetView guid="{96B63109-D3DD-47A7-9601-9CB805816F85}" filter="1" showAutoFilter="1">
      <autoFilter ref="$D$3:$AZ$148">
        <filterColumn colId="10">
          <filters>
            <filter val="Alexis"/>
            <filter val="Outside"/>
          </filters>
        </filterColumn>
        <filterColumn colId="22">
          <filters blank="1">
            <filter val="5/15/2026"/>
            <filter val="4/8/2026"/>
            <filter val="1/10/2026"/>
            <filter val="4/27/2026"/>
            <filter val="1/15/2026"/>
            <filter val="3/1/2026"/>
            <filter val="3/23/2026"/>
            <filter val="2/19/2026"/>
            <filter val="3/31/2026"/>
            <filter val="6/11/2026"/>
            <filter val="4/7/2026"/>
            <filter val="5/7/2026"/>
            <filter val="2/17/2026"/>
            <filter val="2/14/2026"/>
            <filter val="6/6/2026"/>
            <filter val="2/9/2026"/>
            <filter val="2/11/2026"/>
            <filter val="1/20/2026"/>
            <filter val="6/3/2026"/>
            <filter val="2/3/2026"/>
            <filter val="4/3/2026"/>
            <filter val="5/8/2026"/>
            <filter val="1/26/2026"/>
            <filter val="3/2/2026"/>
            <filter val="5/21/2026"/>
            <filter val="5/13/2026"/>
            <filter val="2/24/2026"/>
            <filter val="1/21/2026"/>
            <filter val="12/31/2025"/>
            <filter val="2/10/2026"/>
            <filter val="3/18/2026"/>
            <filter val="3/27/2026"/>
            <filter val="11/20/2025"/>
            <filter val="2/23/2026"/>
            <filter val="2/4/2026"/>
            <filter val="3/4/2026"/>
            <filter val="3/12/2026"/>
            <filter val="3/11/2026"/>
            <filter val="12/24/2025"/>
            <filter val="3/9/2026"/>
            <filter val="5/14/2026"/>
            <filter val="2/26/2026"/>
            <filter val="1/30/2026"/>
            <filter val="4/10/2026"/>
            <filter val="6/8/2026"/>
            <filter val="4/16/2026"/>
            <filter val="4/5/2026"/>
            <filter val="1/22/2026"/>
            <filter val="3/17/2026"/>
            <filter val="3/25/2026"/>
          </filters>
        </filterColumn>
      </autoFilter>
    </customSheetView>
  </customSheetViews>
  <mergeCells count="1">
    <mergeCell ref="AE1:AS1"/>
  </mergeCells>
  <conditionalFormatting sqref="AV62">
    <cfRule type="notContainsBlanks" dxfId="0" priority="1">
      <formula>LEN(TRIM(AV62))&gt;0</formula>
    </cfRule>
  </conditionalFormatting>
  <conditionalFormatting sqref="AV61">
    <cfRule type="notContainsBlanks" dxfId="0" priority="2">
      <formula>LEN(TRIM(AV61))&gt;0</formula>
    </cfRule>
  </conditionalFormatting>
  <conditionalFormatting sqref="AV60">
    <cfRule type="notContainsBlanks" dxfId="0" priority="3">
      <formula>LEN(TRIM(AV60))&gt;0</formula>
    </cfRule>
  </conditionalFormatting>
  <conditionalFormatting sqref="AV59">
    <cfRule type="notContainsBlanks" dxfId="0" priority="4">
      <formula>LEN(TRIM(AV59))&gt;0</formula>
    </cfRule>
  </conditionalFormatting>
  <conditionalFormatting sqref="AV58">
    <cfRule type="notContainsBlanks" dxfId="0" priority="5">
      <formula>LEN(TRIM(AV58))&gt;0</formula>
    </cfRule>
  </conditionalFormatting>
  <conditionalFormatting sqref="AV57">
    <cfRule type="notContainsBlanks" dxfId="0" priority="6">
      <formula>LEN(TRIM(AV57))&gt;0</formula>
    </cfRule>
  </conditionalFormatting>
  <conditionalFormatting sqref="AV56">
    <cfRule type="notContainsBlanks" dxfId="0" priority="7">
      <formula>LEN(TRIM(AV56))&gt;0</formula>
    </cfRule>
  </conditionalFormatting>
  <conditionalFormatting sqref="AV55">
    <cfRule type="notContainsBlanks" dxfId="0" priority="8">
      <formula>LEN(TRIM(AV55))&gt;0</formula>
    </cfRule>
  </conditionalFormatting>
  <conditionalFormatting sqref="AV54">
    <cfRule type="notContainsBlanks" dxfId="0" priority="9">
      <formula>LEN(TRIM(AV54))&gt;0</formula>
    </cfRule>
  </conditionalFormatting>
  <conditionalFormatting sqref="AV53">
    <cfRule type="notContainsBlanks" dxfId="0" priority="10">
      <formula>LEN(TRIM(AV53))&gt;0</formula>
    </cfRule>
  </conditionalFormatting>
  <conditionalFormatting sqref="AV52">
    <cfRule type="notContainsBlanks" dxfId="0" priority="11">
      <formula>LEN(TRIM(AV52))&gt;0</formula>
    </cfRule>
  </conditionalFormatting>
  <conditionalFormatting sqref="AV51">
    <cfRule type="notContainsBlanks" dxfId="0" priority="12">
      <formula>LEN(TRIM(AV51))&gt;0</formula>
    </cfRule>
  </conditionalFormatting>
  <conditionalFormatting sqref="AV50">
    <cfRule type="notContainsBlanks" dxfId="0" priority="13">
      <formula>LEN(TRIM(AV50))&gt;0</formula>
    </cfRule>
  </conditionalFormatting>
  <conditionalFormatting sqref="AV49">
    <cfRule type="notContainsBlanks" dxfId="0" priority="14">
      <formula>LEN(TRIM(AV49))&gt;0</formula>
    </cfRule>
  </conditionalFormatting>
  <conditionalFormatting sqref="AV48">
    <cfRule type="notContainsBlanks" dxfId="0" priority="15">
      <formula>LEN(TRIM(AV48))&gt;0</formula>
    </cfRule>
  </conditionalFormatting>
  <conditionalFormatting sqref="AV47">
    <cfRule type="notContainsBlanks" dxfId="0" priority="16">
      <formula>LEN(TRIM(AV47))&gt;0</formula>
    </cfRule>
  </conditionalFormatting>
  <conditionalFormatting sqref="AV46">
    <cfRule type="notContainsBlanks" dxfId="0" priority="17">
      <formula>LEN(TRIM(AV46))&gt;0</formula>
    </cfRule>
  </conditionalFormatting>
  <conditionalFormatting sqref="AV45">
    <cfRule type="notContainsBlanks" dxfId="0" priority="18">
      <formula>LEN(TRIM(AV45))&gt;0</formula>
    </cfRule>
  </conditionalFormatting>
  <conditionalFormatting sqref="AV44">
    <cfRule type="notContainsBlanks" dxfId="0" priority="19">
      <formula>LEN(TRIM(AV44))&gt;0</formula>
    </cfRule>
  </conditionalFormatting>
  <conditionalFormatting sqref="AV43">
    <cfRule type="notContainsBlanks" dxfId="0" priority="20">
      <formula>LEN(TRIM(AV43))&gt;0</formula>
    </cfRule>
  </conditionalFormatting>
  <conditionalFormatting sqref="AV42">
    <cfRule type="notContainsBlanks" dxfId="0" priority="21">
      <formula>LEN(TRIM(AV42))&gt;0</formula>
    </cfRule>
  </conditionalFormatting>
  <conditionalFormatting sqref="AV41">
    <cfRule type="notContainsBlanks" dxfId="0" priority="22">
      <formula>LEN(TRIM(AV41))&gt;0</formula>
    </cfRule>
  </conditionalFormatting>
  <conditionalFormatting sqref="AV40">
    <cfRule type="notContainsBlanks" dxfId="0" priority="23">
      <formula>LEN(TRIM(AV40))&gt;0</formula>
    </cfRule>
  </conditionalFormatting>
  <conditionalFormatting sqref="AV39">
    <cfRule type="notContainsBlanks" dxfId="0" priority="24">
      <formula>LEN(TRIM(AV39))&gt;0</formula>
    </cfRule>
  </conditionalFormatting>
  <conditionalFormatting sqref="AV38">
    <cfRule type="notContainsBlanks" dxfId="0" priority="25">
      <formula>LEN(TRIM(AV38))&gt;0</formula>
    </cfRule>
  </conditionalFormatting>
  <conditionalFormatting sqref="AV37">
    <cfRule type="notContainsBlanks" dxfId="0" priority="26">
      <formula>LEN(TRIM(AV37))&gt;0</formula>
    </cfRule>
  </conditionalFormatting>
  <conditionalFormatting sqref="AV36">
    <cfRule type="notContainsBlanks" dxfId="0" priority="27">
      <formula>LEN(TRIM(AV36))&gt;0</formula>
    </cfRule>
  </conditionalFormatting>
  <conditionalFormatting sqref="AV35">
    <cfRule type="notContainsBlanks" dxfId="0" priority="28">
      <formula>LEN(TRIM(AV35))&gt;0</formula>
    </cfRule>
  </conditionalFormatting>
  <conditionalFormatting sqref="AV34">
    <cfRule type="notContainsBlanks" dxfId="0" priority="29">
      <formula>LEN(TRIM(AV34))&gt;0</formula>
    </cfRule>
  </conditionalFormatting>
  <conditionalFormatting sqref="AV32:AV33">
    <cfRule type="notContainsBlanks" dxfId="0" priority="30">
      <formula>LEN(TRIM(AV32))&gt;0</formula>
    </cfRule>
  </conditionalFormatting>
  <dataValidations>
    <dataValidation type="list" allowBlank="1" showErrorMessage="1" sqref="AK15:AK62">
      <formula1>"$500.00,$200.00,$0.00,Subscribed"</formula1>
    </dataValidation>
    <dataValidation type="list" allowBlank="1" sqref="T4:T46 T59:T60 T63:T148">
      <formula1>"New Build,Vacant Land,Waived,American Home Sheild,First American HW,Fidelity HW,ORHW_Nikki,ORHW,HWA,See Comment,Oredered By Other,Referral"</formula1>
    </dataValidation>
    <dataValidation type="list" allowBlank="1" sqref="K15">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formula1>
    </dataValidation>
    <dataValidation type="list" allowBlank="1" showErrorMessage="1" sqref="AK63:AK148">
      <formula1>"$,$500,N/A,Subscribed"</formula1>
    </dataValidation>
    <dataValidation type="list" allowBlank="1" sqref="K63:K148">
      <formula1>"Alicia Good,Alexandra Haro,Blake Cory,Bridget Sisco,Charles Provido,Cheryl Shaw,Dana Garcia,Edward Kaveney ""Eddie"",Fernando Maldonado,Mario Muñoz,Michael Wickam,Jane Arellano,Jenna Melendez,Joe Rodriguez,Karely Sanchez,Kathleen Allen,Kathy Zumaya,Kay Pa"&amp;"tel,Kendra Jo Harlan,Kiona Grantham,Larry Randolph,Melissa Mantz,Monique Lewis,Myrna Peterson,Nate Bunnell,Nilska ""Nelly"" Guerrero,Rachele Lacey,Richard Luizzi,Roger Tarango,Robin Tapia,Ron Prunty,Ronda Bryce,Rosalina Williams,Stephanie Carson,Stephanie"&amp;" Casados"</formula1>
    </dataValidation>
    <dataValidation type="list" allowBlank="1" sqref="L63:L148">
      <formula1>"Mario,Melissa,Kay,N/A"</formula1>
    </dataValidation>
    <dataValidation type="list" allowBlank="1" showErrorMessage="1" sqref="AJ63:AJ148">
      <formula1>"$,$595.00,New Build,OpenDoor,VA Loan,Waived,Referral"</formula1>
    </dataValidation>
    <dataValidation type="list" allowBlank="1" showErrorMessage="1" sqref="A4:A148">
      <formula1>"Client Retained,Client Not Retained,MLS Active"</formula1>
    </dataValidation>
    <dataValidation type="list" allowBlank="1" sqref="AX40:AX62">
      <formula1>"See Notes,Pending Splits"</formula1>
    </dataValidation>
    <dataValidation type="list" allowBlank="1" sqref="M4:M8">
      <formula1>"Nichole,Derek,Kimberly,KellyL,Jasmine,N/A,c/o Alicia Good,ISA,KellyM"</formula1>
    </dataValidation>
    <dataValidation type="list" allowBlank="1" showErrorMessage="1" sqref="AQ4:AQ5">
      <formula1>"Buyer,SOI 30/70,Seller,Seller_SOI,Buyer_New,Buyer_SOI 2+,Buyer_SOI 5+,Seller_SOI 2+,Seller_SOI 5+"</formula1>
    </dataValidation>
    <dataValidation type="list" allowBlank="1" showErrorMessage="1" sqref="AJ4:AJ8 AJ10 AJ13">
      <formula1>"$,$595.00,$695.00,Agent Pay,New Build,OpenDoor,VA Loan,Waived,Referral"</formula1>
    </dataValidation>
    <dataValidation type="list" allowBlank="1" showErrorMessage="1" sqref="AQ63:AQ148">
      <formula1>"Buyer,Buyer_SOI,Seller,Seller_SOI,Buyer_New,Buyer_SOI 2+,Buyer_SOI 5+,Seller_SOI 2+,Seller_SOI 5+"</formula1>
    </dataValidation>
    <dataValidation type="list" allowBlank="1" sqref="K4:K8">
      <formula1>"Alicia Good,Alexandra Haro,Alexis Cassidy,Ansar Khan,Blake Cory,Bridget Sisco,Carmen Avalos,Charles Provido,Cheryl Shaw,Dana Garcia,Edward Kaveney ""Eddie"",Mario Muñoz,Michael Wickam,Jenna Melendez,Joe Rodriguez,Kathy Zumaya,Kay Patel,Kendra Jo Harlan,Ki"&amp;"ona Grantham,Larry Randolph,Melissa Mantz,Mercedes Torres,Monique Lewis,Myrna Peterson,Nate Bunnell,Nelly Guerrero,Nicole Shettleroe,Rachele Lacey,Renée Keeling,Richard Luizzi,Robin Tapia,Ron Prunty,Ronda Bryce,Rosalina Williams,Stephanie Carson,Stephanie"&amp;" Casados"</formula1>
    </dataValidation>
    <dataValidation type="list" allowBlank="1" sqref="K9:K10">
      <formula1>"Alexandra Haro,Alexis Cassidy,Alicia Good,Blake Cory,Bridget Sisco,Carmen Avalos,Cheree More-Zarty,Cheryl Shaw,Dana Garcia,Edward Kaveney ""Eddie"",Mario Muñoz,Michael Wickam,Jeffrey Cottingham,Jenna Melendez,Joe Rodriguez,Kathy Zumaya,Kay Patel,Kendra Jo"&amp;" Harlan,Kiona Grantham,Larry Randolph,Melissa Mantz,Mercedes Torres,Monique Lewis,Myrna Peterson,Nate Bunnell,Nicole Shettleroe,Rachele Lacey,Renée Keeling,Richard Luizzi,Robin Tapia,Ron Prunty,Ronda Bryce,Rosalina Williams,Stephanie Carson"</formula1>
    </dataValidation>
    <dataValidation type="list" allowBlank="1" sqref="K31:K34 K36:K39">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Ota-Oro,Jamie Carbajal,Jessica Cano,Connor McClurg"</formula1>
    </dataValidation>
    <dataValidation type="list" allowBlank="1" sqref="K16 K27 K35 K43">
      <formula1>"Alicia Good,Alexandra Haro,Blake Cory,Bridget Sisco,Charles Provido,Cheryl Shaw,Dana Garcia,Edward Kaveney ""Eddie"",Fernando Maldonado,Mario Muñoz,Michael Wickam,Jane Arellano,Jenna Melendez,Joe Rodriguez,Karely Sanchez,Kathleen Allen,Kathy Zumaya,Kay Pa"&amp;"tel,Kendra Jo Harlan,Kiona Grantham,Larry Randolph,Melissa Mantz,Monique Lewis,Myrna Peterson,Nate Bunnell,Nilska ""Nelly"" Guerrero,Rachele Lacey,Richard Luizzi,Roger Tarango,Robin Tapia,Ron Prunty,Ronda Bryce,Rosalina Williams,Stephanie Carson,Stephanie"&amp;" Casados,Spencer Salter"</formula1>
    </dataValidation>
    <dataValidation type="list" allowBlank="1" sqref="K17:K21">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formula1>
    </dataValidation>
    <dataValidation type="list" allowBlank="1" showErrorMessage="1" sqref="Y4:Y62">
      <formula1>"Q1 2026,Q2 2026,Q3 2026,Q3 2025,Q4 2025,Q4 2026"</formula1>
    </dataValidation>
    <dataValidation type="list" allowBlank="1" sqref="AV4:AV30 AV63:AV148">
      <formula1>"Pending Splits,Commission Disbursement,Complete,Complete/Pending eXpFees,See Notes"</formula1>
    </dataValidation>
    <dataValidation type="list" allowBlank="1" sqref="K40:K42 K44:K46 K59:K60">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Ota-Oro,Jamie Carbajal,Jessica Cano,Connor McClurg,Martin Gomez"</formula1>
    </dataValidation>
    <dataValidation type="list" allowBlank="1" sqref="J43:J62">
      <formula1>"RVSD,SB,OC,LA,SD,IMP,KERN,VENTURA,FRESNO,TULARE"</formula1>
    </dataValidation>
    <dataValidation type="list" allowBlank="1" sqref="J4:J26 J63:J148">
      <formula1>"RVSD,SB,OC,LA,SD,IMP,KERN,Ventura"</formula1>
    </dataValidation>
    <dataValidation type="list" allowBlank="1" showDropDown="1" sqref="AV34 AV38">
      <formula1>"See Notes,agent is listed as Blake, but is actually Tyler until his license is fixed. Splits should be 50/50 for a company provided lead to Tyler upon closing. confirm with Dana that his license is active and registered with eXp prior to adding his name t"&amp;"o the file or skyslope. the source of the lead was zillow reg 2022, so now can be listed as PAST CLIENT, not referral fee due to zillow, but not SOI pay to Tyler. ,Connors first deal TC fee is being waived &amp; he's in the EA Program,Mario needs to be billed"&amp;" through the store for the deduction amount for Photos,Showcase Token and Sign Install ,Rachele owes $200; follow up with dana before entering splits- needs to be paid through store"</formula1>
    </dataValidation>
    <dataValidation type="list" allowBlank="1" sqref="K23:K24">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formula1>
    </dataValidation>
    <dataValidation type="list" allowBlank="1" showErrorMessage="1" sqref="AL25:AL62">
      <formula1>"$,$0.00,$250.,Subscribed,Showcase Token,N/A"</formula1>
    </dataValidation>
    <dataValidation type="list" allowBlank="1" showErrorMessage="1" sqref="AC4:AC62">
      <formula1>"Q1 2026,Q2 2026,Q3 2026,Q4 2026"</formula1>
    </dataValidation>
    <dataValidation type="list" allowBlank="1" sqref="AY4:AY30 BA31:BA62 AY63:AY148">
      <formula1>"Complete - Pending,Complete - Closed,Complete - Fell Out,See Notes,N/A"</formula1>
    </dataValidation>
    <dataValidation type="list" allowBlank="1" sqref="AF6 AF11:AF46 AF59:AF60">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Homes,Ylopo,Instagram,Opendoor,Company Lead"</formula1>
    </dataValidation>
    <dataValidation type="list" allowBlank="1" sqref="K11:K12 K14">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formula1>
    </dataValidation>
    <dataValidation type="list" allowBlank="1" showErrorMessage="1" sqref="AE4:AE148">
      <formula1>"New Build,Resale,Condo,Manu,Mobile,OpenDoor,OpenDoor_Flat,Vacant Land,See Notes"</formula1>
    </dataValidation>
    <dataValidation type="list" allowBlank="1" showErrorMessage="1" sqref="Y63:Y148 AC63:AC148">
      <formula1>"Q1,Q2,Q3,Q4"</formula1>
    </dataValidation>
    <dataValidation type="list" allowBlank="1" sqref="U6:U46 U59:U60">
      <formula1>"New Build,First American ,myNHD,myNHD_Other,SNAP,SNAP_Other,NHD ,The Disclosure Report NHD,American Home Sheild,Disclosure Source,PDQ,See Notes, Property ID,Waived,Referral,Logic NHD,CRES NHD,Fast NHD,Your One NHD"</formula1>
    </dataValidation>
    <dataValidation type="list" allowBlank="1" sqref="U4:U5 U63:U148">
      <formula1>"New Build,First American ,JCP-LGS Disclosures,myNHD,myNHD_Other,SNAP,SNAP_Other,NHD ,The Disclosure Report NHD,American Home Sheild,Disclosure Source,PDQ,See Notes, Property ID,Waived,Referral,Logic NHD,CRES NHD,Fast NHD"</formula1>
    </dataValidation>
    <dataValidation type="list" allowBlank="1" sqref="K47:K50 K52">
      <formula1>"Alexandra Haro,Alexis Cassidy,Alicia Good,Blake Cory,Bridget Sisco,Carmen Avalos,Cavin Quintanilla,Cheree More-Zarty,Cheryl Shaw,Connor McClurg,Dana Garcia,Diane Caddy,Edward Kaveney ""Eddie"",George Folia,Isy Ota-Oro,Jamie Carbajal,Jeanette Simms,Jeffrey"&amp;" Cottingham,Jenna Melendez,Jessica Cano,Joe Rodriguez,Kathy Zumaya,Kay Patel,Kendra Jo Harlan,Kiona Grantham,Larry Randolph,Mario Muñoz,Martin Gomez,Melissa Mantz,Mercedes Torres,Michael Wickam,Monique Lewis,Myrna Peterson,Nate Bunnell,Nicole Shettleroe,R"&amp;"achele Lacey,Renée Keeling,Richard Luizzi,Robin Tapia,Ron Prunty,Ronda Bryce,Rosalina Williams,Spencer Salter,Stephanie Carson,Zayn Almusawi,Kathleen Allen"</formula1>
    </dataValidation>
    <dataValidation type="list" allowBlank="1" showErrorMessage="1" sqref="AQ47:AQ58 AQ61:AQ62">
      <formula1>"Buyer,SOI 70,Seller,SOI 80,SOI 90,SOI 60,SOI 85,SOI 75"</formula1>
    </dataValidation>
    <dataValidation type="list" allowBlank="1" showErrorMessage="1" sqref="AL6 AL11:AL24">
      <formula1>"$,$0.00,$250.,N/A,Subscribed"</formula1>
    </dataValidation>
    <dataValidation type="list" allowBlank="1" sqref="AX31:AX39">
      <formula1>"See Notes"</formula1>
    </dataValidation>
    <dataValidation type="list" allowBlank="1" sqref="T47:T58 T61:T62">
      <formula1>"New Build,Vacant Land,Waived,American Home Sheild,First American HW,Fidelity HW,HWA,OpenDoor,ORHW_Nikki,ORHW,See Comment,Oredered By Other,Referral"</formula1>
    </dataValidation>
    <dataValidation type="list" allowBlank="1" sqref="K51 K61:K62">
      <formula1>"Alexandra Haro,Alexis Cassidy,Alicia Good,Blake Cory,Bridget Sisco,Carmen Avalos,Cavin Quintanilla,Cheree Moore-Zarty,Cheryl Shaw,Christine Van Hyning,Connor McClurg,Dana Garcia,Diane Caddy,Edward Kaveney ""Eddie"",George Folia,Isy Ota-Oro,Jamie Carbajal,"&amp;"Jeanette Simms,Jeffrey Cottingham,Jenna Melendez,Jessica Cano,Joe Rodriguez,Kathy Zumaya,Kay Patel,Kendra Jo Harlan,Kiona Grantham,Kristi Beneventi,Larry Randolph,Mario Muñoz,Martin Gomez,Melissa Mantz,Mercedes Torres,Michael Wickam,Monique Lewis,Myrna Pe"&amp;"terson,Nate Bunnell,Nicole Shettleroe,Rachele Lacey,Renée Keeling,Richard Luizzi,Robin Tapia,Ron Prunty,Ronda Bryce,Rosalina Williams,Samantha Gonzales,Spencer Salter,Stephanie Carson,Zayn Almusawi,Kathleen Allen,Erskine Bonilla"</formula1>
    </dataValidation>
    <dataValidation type="list" allowBlank="1" showErrorMessage="1" sqref="N4:N148">
      <formula1>"Alexis,Kenia,Outside"</formula1>
    </dataValidation>
    <dataValidation type="list" allowBlank="1" sqref="AF47:AF58 AF61:AF62">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Homes,Ylopo,Instagram,Opendoor,Company Lead,Crush It Marketing"</formula1>
    </dataValidation>
    <dataValidation type="list" allowBlank="1" showErrorMessage="1" sqref="E4:E148">
      <formula1>"January,February,March,April,May,June,July,August,September,October,November,December"</formula1>
    </dataValidation>
    <dataValidation type="list" allowBlank="1" sqref="F4:F148">
      <formula1>"Buyer,Seller"</formula1>
    </dataValidation>
    <dataValidation type="list" allowBlank="1" showErrorMessage="1" sqref="AQ6 AQ11:AQ46 AQ59:AQ60">
      <formula1>"Buyer,SOI 70,Seller,SOI 80,SOI 90,SOI 60,SOI 85"</formula1>
    </dataValidation>
    <dataValidation type="list" allowBlank="1" sqref="L4:L5">
      <formula1>"Melissa,Mario,Kay,Bridget/Mario,Bridget/Kay,Kiona,Blake"</formula1>
    </dataValidation>
    <dataValidation type="list" allowBlank="1" sqref="K13">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formula1>
    </dataValidation>
    <dataValidation type="list" allowBlank="1" sqref="K22">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formula1>
    </dataValidation>
    <dataValidation type="list" allowBlank="1" sqref="K25:K26 K28:K30">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Ota-Oro,Jamie Carbajal,Jessica Cano"</formula1>
    </dataValidation>
    <dataValidation type="list" allowBlank="1" showErrorMessage="1" sqref="C4:C148">
      <formula1>"Buyer ,Seller,Mutual"</formula1>
    </dataValidation>
    <dataValidation type="list" allowBlank="1" sqref="K53:K54">
      <formula1>"Alexandra Haro,Alexis Cassidy,Alicia Good,Blake Cory,Bridget Sisco,Carmen Avalos,Cavin Quintanilla,Cheree Moore-Zarty,Cheryl Shaw,Connor McClurg,Dana Garcia,Diane Caddy,Edward Kaveney ""Eddie"",George Folia,Isy Ota-Oro,Jamie Carbajal,Jeanette Simms,Jeffre"&amp;"y Cottingham,Jenna Melendez,Jessica Cano,Joe Rodriguez,Kathy Zumaya,Kay Patel,Kendra Jo Harlan,Kiona Grantham,Larry Randolph,Mario Muñoz,Martin Gomez,Melissa Mantz,Mercedes Torres,Michael Wickam,Monique Lewis,Myrna Peterson,Nate Bunnell,Nicole Shettleroe,"&amp;"Rachele Lacey,Renée Keeling,Richard Luizzi,Robin Tapia,Ron Prunty,Ronda Bryce,Rosalina Williams,Spencer Salter,Stephanie Carson,Zayn Almusawi,Kathleen Allen"</formula1>
    </dataValidation>
    <dataValidation type="list" allowBlank="1" sqref="M9:M148">
      <formula1>"Nichole,Derek,Kimberly,KellyL,Jasmine,N/A,c/o Alicia Good,ISA,KellyM,c/o Alexandra Haro,c/o Stephanie Casados,c/o Petra Campos,c/o Rosalina Williams"</formula1>
    </dataValidation>
    <dataValidation type="list" allowBlank="1" showErrorMessage="1" sqref="AQ9:AQ10">
      <formula1>"Buyer,SOI 70,Seller,SOI 80,SOI 90,SOI 60"</formula1>
    </dataValidation>
    <dataValidation type="list" allowBlank="1" sqref="J27:J42">
      <formula1>"RVSD,SB,OC,LA,SD,IMP,KERN,VENTURA,FRESNO"</formula1>
    </dataValidation>
    <dataValidation type="list" allowBlank="1" showErrorMessage="1" sqref="AL9:AL10 AL63:AL148">
      <formula1>"$,$250,N/A,Subscribed"</formula1>
    </dataValidation>
    <dataValidation type="list" allowBlank="1" showErrorMessage="1" sqref="AK7:AK10">
      <formula1>"$500.00,$0.00,Subscribed"</formula1>
    </dataValidation>
    <dataValidation type="list" allowBlank="1" showErrorMessage="1" sqref="AK6 AK11:AK14">
      <formula1>"$500.00,$0.00,Subscribed,$595.00"</formula1>
    </dataValidation>
    <dataValidation type="list" allowBlank="1" sqref="K55:K58">
      <formula1>"Alexandra Haro,Alexis Cassidy,Alicia Good,Blake Cory,Bridget Sisco,Carmen Avalos,Cavin Quintanilla,Cheree Moore-Zarty,Cheryl Shaw,Christine Van Hyning,Connor McClurg,Dana Garcia,Diane Caddy,Edward Kaveney ""Eddie"",George Folia,Isy Ota-Oro,Jamie Carbajal,"&amp;"Jeanette Simms,Jeffrey Cottingham,Jenna Melendez,Jessica Cano,Joe Rodriguez,Kathy Zumaya,Kay Patel,Kendra Jo Harlan,Kiona Grantham,Kristi Beneventi,Larry Randolph,Mario Muñoz,Martin Gomez,Melissa Mantz,Mercedes Torres,Michael Wickam,Monique Lewis,Myrna Pe"&amp;"terson,Nate Bunnell,Nicole Shettleroe,Rachele Lacey,Renée Keeling,Richard Luizzi,Robin Tapia,Ron Prunty,Ronda Bryce,Rosalina Williams,Samantha Gonzales,Spencer Salter,Stephanie Carson,Zayn Almusawi,Kathleen Allen"</formula1>
    </dataValidation>
    <dataValidation type="list" allowBlank="1" showErrorMessage="1" sqref="AQ7:AQ8">
      <formula1>"Buyer,SOI 70,Seller,SOI 80,SOI 90"</formula1>
    </dataValidation>
    <dataValidation type="list" allowBlank="1" sqref="L6:L62">
      <formula1>"Blake,Kiona,Mario,Melissa"</formula1>
    </dataValidation>
    <dataValidation type="list" allowBlank="1" showErrorMessage="1" sqref="AJ9 AJ11:AJ12 AJ14:AJ62">
      <formula1>"$,$595.00,New Build,OpenDoor,VA Loan,Waived,Referral,Agent Pay"</formula1>
    </dataValidation>
    <dataValidation type="list" allowBlank="1" sqref="AF4:AF5 AF7:AF10 AF63:AF148">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formula1>
    </dataValidation>
    <dataValidation type="list" allowBlank="1" sqref="U47:U58 U61:U62">
      <formula1>"New Build,First American ,myNHD,myNHD_Other,American Home Sheild,CRES NHD,The Disclosure Report NHD,Disclosure Source,Fast NHD,Logic NHD,OpenDoor,PDQ, Property ID,SNAP,SNAP_Other,Waived,Your One NHD,See Notes,Referral"</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4.25"/>
    <col customWidth="1" min="2" max="2" width="15.75"/>
    <col customWidth="1" min="3" max="3" width="21.88"/>
    <col customWidth="1" min="4" max="4" width="18.75"/>
    <col customWidth="1" min="5" max="6" width="10.5"/>
    <col customWidth="1" min="7" max="7" width="13.5"/>
    <col customWidth="1" min="8" max="8" width="23.0"/>
    <col customWidth="1" min="9" max="11" width="10.38"/>
    <col customWidth="1" min="12" max="12" width="12.38"/>
    <col customWidth="1" min="13" max="13" width="12.63"/>
    <col customWidth="1" min="14" max="14" width="12.38"/>
    <col customWidth="1" min="15" max="15" width="29.88"/>
    <col customWidth="1" min="16" max="17" width="31.38"/>
    <col customWidth="1" min="18" max="18" width="26.75"/>
    <col customWidth="1" min="19" max="20" width="31.38"/>
    <col customWidth="1" min="21" max="21" width="27.25"/>
    <col customWidth="1" min="22" max="23" width="31.38"/>
    <col customWidth="1" min="24" max="24" width="21.75"/>
    <col customWidth="1" min="25" max="25" width="22.5"/>
    <col customWidth="1" min="26" max="26" width="33.5"/>
    <col customWidth="1" min="27" max="27" width="19.88"/>
    <col customWidth="1" min="28" max="28" width="51.63"/>
    <col customWidth="1" min="29" max="30" width="11.38"/>
    <col customWidth="1" min="31" max="33" width="10.75"/>
    <col customWidth="1" min="34" max="37" width="15.63"/>
    <col customWidth="1" min="38" max="38" width="24.38"/>
    <col customWidth="1" min="39" max="40" width="15.63"/>
    <col customWidth="1" min="41" max="41" width="5.13"/>
    <col customWidth="1" min="43" max="43" width="24.63"/>
    <col customWidth="1" min="44" max="44" width="12.75"/>
    <col customWidth="1" min="45" max="45" width="11.38"/>
    <col customWidth="1" min="46" max="46" width="9.5"/>
    <col customWidth="1" min="47" max="47" width="11.25"/>
    <col customWidth="1" min="48" max="50" width="11.88"/>
    <col customWidth="1" min="51" max="51" width="12.0"/>
    <col customWidth="1" min="52" max="53" width="9.5"/>
    <col customWidth="1" min="54" max="54" width="14.0"/>
    <col customWidth="1" min="55" max="57" width="9.5"/>
    <col customWidth="1" min="58" max="58" width="1.38"/>
    <col customWidth="1" min="59" max="59" width="18.88"/>
    <col customWidth="1" min="60" max="60" width="1.38"/>
    <col customWidth="1" min="61" max="61" width="16.38"/>
    <col customWidth="1" min="62" max="62" width="17.63"/>
    <col customWidth="1" hidden="1" min="63" max="63" width="11.88"/>
    <col customWidth="1" hidden="1" min="64" max="64" width="12.0"/>
    <col customWidth="1" hidden="1" min="65" max="66" width="9.5"/>
    <col customWidth="1" hidden="1" min="67" max="67" width="14.0"/>
    <col customWidth="1" hidden="1" min="68" max="70" width="9.5"/>
    <col customWidth="1" hidden="1" min="71" max="71" width="1.38"/>
    <col customWidth="1" hidden="1" min="72" max="72" width="18.88"/>
    <col customWidth="1" hidden="1" min="73" max="73" width="1.38"/>
    <col customWidth="1" hidden="1" min="74" max="74" width="16.38"/>
    <col customWidth="1" hidden="1" min="75" max="75" width="17.63"/>
    <col customWidth="1" hidden="1" min="76" max="97" width="1.38"/>
  </cols>
  <sheetData>
    <row r="1">
      <c r="A1" s="1" t="s">
        <v>1</v>
      </c>
      <c r="B1" s="1" t="s">
        <v>2</v>
      </c>
      <c r="C1" s="2" t="s">
        <v>3</v>
      </c>
      <c r="D1" s="2" t="s">
        <v>4</v>
      </c>
      <c r="E1" s="4" t="s">
        <v>2530</v>
      </c>
      <c r="F1" s="2" t="s">
        <v>5</v>
      </c>
      <c r="G1" s="2" t="s">
        <v>6</v>
      </c>
      <c r="H1" s="3" t="s">
        <v>7</v>
      </c>
      <c r="I1" s="289" t="s">
        <v>2531</v>
      </c>
      <c r="J1" s="289" t="s">
        <v>2532</v>
      </c>
      <c r="K1" s="1" t="s">
        <v>8</v>
      </c>
      <c r="L1" s="3" t="s">
        <v>9</v>
      </c>
      <c r="M1" s="1" t="s">
        <v>10</v>
      </c>
      <c r="N1" s="290" t="s">
        <v>2533</v>
      </c>
      <c r="O1" s="4" t="s">
        <v>11</v>
      </c>
      <c r="P1" s="2" t="s">
        <v>12</v>
      </c>
      <c r="Q1" s="4" t="s">
        <v>2534</v>
      </c>
      <c r="R1" s="5" t="s">
        <v>14</v>
      </c>
      <c r="S1" s="289" t="s">
        <v>2535</v>
      </c>
      <c r="T1" s="289" t="s">
        <v>2536</v>
      </c>
      <c r="U1" s="5" t="s">
        <v>15</v>
      </c>
      <c r="V1" s="1" t="s">
        <v>2537</v>
      </c>
      <c r="W1" s="1" t="s">
        <v>2538</v>
      </c>
      <c r="X1" s="5" t="s">
        <v>16</v>
      </c>
      <c r="Y1" s="5" t="s">
        <v>17</v>
      </c>
      <c r="Z1" s="5" t="s">
        <v>18</v>
      </c>
      <c r="AA1" s="5" t="s">
        <v>19</v>
      </c>
      <c r="AB1" s="5" t="s">
        <v>20</v>
      </c>
      <c r="AC1" s="1" t="s">
        <v>21</v>
      </c>
      <c r="AD1" s="6" t="s">
        <v>22</v>
      </c>
      <c r="AE1" s="6" t="s">
        <v>23</v>
      </c>
      <c r="AF1" s="6" t="s">
        <v>24</v>
      </c>
      <c r="AG1" s="1" t="s">
        <v>25</v>
      </c>
      <c r="AH1" s="289" t="s">
        <v>2539</v>
      </c>
      <c r="AI1" s="289" t="s">
        <v>2540</v>
      </c>
      <c r="AJ1" s="289" t="s">
        <v>2541</v>
      </c>
      <c r="AK1" s="289" t="s">
        <v>2542</v>
      </c>
      <c r="AL1" s="289" t="s">
        <v>2543</v>
      </c>
      <c r="AM1" s="289" t="s">
        <v>2544</v>
      </c>
      <c r="AN1" s="289" t="s">
        <v>2545</v>
      </c>
      <c r="AO1" s="291"/>
      <c r="AP1" s="8" t="s">
        <v>26</v>
      </c>
      <c r="AQ1" s="9" t="s">
        <v>27</v>
      </c>
      <c r="AR1" s="10" t="s">
        <v>28</v>
      </c>
      <c r="AS1" s="11" t="s">
        <v>29</v>
      </c>
      <c r="AT1" s="10" t="s">
        <v>30</v>
      </c>
      <c r="AU1" s="12" t="s">
        <v>31</v>
      </c>
      <c r="AV1" s="12" t="s">
        <v>32</v>
      </c>
      <c r="AW1" s="12" t="s">
        <v>33</v>
      </c>
      <c r="AX1" s="12" t="s">
        <v>34</v>
      </c>
      <c r="AY1" s="10" t="s">
        <v>35</v>
      </c>
      <c r="AZ1" s="10" t="s">
        <v>36</v>
      </c>
      <c r="BA1" s="10" t="s">
        <v>37</v>
      </c>
      <c r="BB1" s="9" t="s">
        <v>38</v>
      </c>
      <c r="BC1" s="9" t="s">
        <v>39</v>
      </c>
      <c r="BD1" s="9" t="s">
        <v>40</v>
      </c>
      <c r="BE1" s="9" t="s">
        <v>41</v>
      </c>
      <c r="BF1" s="14"/>
      <c r="BG1" s="16" t="s">
        <v>43</v>
      </c>
      <c r="BH1" s="17"/>
      <c r="BI1" s="18" t="s">
        <v>44</v>
      </c>
      <c r="BJ1" s="19" t="s">
        <v>45</v>
      </c>
      <c r="BK1" s="56"/>
      <c r="BL1" s="56"/>
      <c r="BM1" s="56"/>
      <c r="BN1" s="56"/>
      <c r="BO1" s="56"/>
      <c r="BP1" s="56"/>
      <c r="BQ1" s="56"/>
      <c r="BR1" s="56"/>
      <c r="BS1" s="56"/>
      <c r="BT1" s="56"/>
      <c r="BU1" s="56"/>
      <c r="BV1" s="56"/>
      <c r="BW1" s="56"/>
      <c r="BX1" s="42"/>
      <c r="BY1" s="42"/>
      <c r="BZ1" s="42"/>
      <c r="CA1" s="42"/>
      <c r="CB1" s="42"/>
      <c r="CC1" s="42"/>
      <c r="CD1" s="42"/>
      <c r="CE1" s="42"/>
      <c r="CF1" s="42"/>
      <c r="CG1" s="42"/>
      <c r="CH1" s="42"/>
      <c r="CI1" s="42"/>
      <c r="CJ1" s="42"/>
      <c r="CK1" s="42"/>
      <c r="CL1" s="42"/>
      <c r="CM1" s="42"/>
      <c r="CN1" s="42"/>
      <c r="CO1" s="42"/>
      <c r="CP1" s="42"/>
      <c r="CQ1" s="42"/>
      <c r="CR1" s="42"/>
      <c r="CS1" s="42"/>
    </row>
    <row r="2">
      <c r="A2" s="37" t="s">
        <v>583</v>
      </c>
      <c r="B2" s="37" t="s">
        <v>84</v>
      </c>
      <c r="C2" s="54" t="s">
        <v>2546</v>
      </c>
      <c r="D2" s="37" t="s">
        <v>71</v>
      </c>
      <c r="E2" s="56"/>
      <c r="F2" s="37">
        <v>92544.0</v>
      </c>
      <c r="G2" s="37" t="s">
        <v>50</v>
      </c>
      <c r="H2" s="37" t="s">
        <v>184</v>
      </c>
      <c r="I2" s="56"/>
      <c r="J2" s="56"/>
      <c r="K2" s="37" t="s">
        <v>73</v>
      </c>
      <c r="L2" s="37" t="s">
        <v>346</v>
      </c>
      <c r="M2" s="37" t="s">
        <v>185</v>
      </c>
      <c r="N2" s="56"/>
      <c r="O2" s="56" t="s">
        <v>2547</v>
      </c>
      <c r="P2" s="66" t="s">
        <v>2548</v>
      </c>
      <c r="Q2" s="139" t="s">
        <v>2549</v>
      </c>
      <c r="R2" s="108" t="s">
        <v>92</v>
      </c>
      <c r="S2" s="56"/>
      <c r="T2" s="56"/>
      <c r="U2" s="134" t="s">
        <v>2550</v>
      </c>
      <c r="V2" s="56"/>
      <c r="W2" s="56"/>
      <c r="X2" s="37" t="s">
        <v>93</v>
      </c>
      <c r="Y2" s="37" t="s">
        <v>132</v>
      </c>
      <c r="Z2" s="37" t="s">
        <v>94</v>
      </c>
      <c r="AA2" s="37" t="s">
        <v>2551</v>
      </c>
      <c r="AB2" s="292"/>
      <c r="AC2" s="37" t="s">
        <v>64</v>
      </c>
      <c r="AD2" s="60">
        <v>46021.0</v>
      </c>
      <c r="AE2" s="60">
        <v>46050.0</v>
      </c>
      <c r="AF2" s="60">
        <v>46050.0</v>
      </c>
      <c r="AG2" s="37"/>
      <c r="AH2" s="56"/>
      <c r="AI2" s="56"/>
      <c r="AJ2" s="56"/>
      <c r="AK2" s="56"/>
      <c r="AL2" s="56"/>
      <c r="AM2" s="56"/>
      <c r="AN2" s="56"/>
      <c r="AO2" s="291"/>
      <c r="AP2" s="54" t="s">
        <v>65</v>
      </c>
      <c r="AQ2" s="37" t="s">
        <v>110</v>
      </c>
      <c r="AR2" s="30">
        <v>295000.0</v>
      </c>
      <c r="AS2" s="31">
        <v>0.03</v>
      </c>
      <c r="AT2" s="32">
        <f t="shared" ref="AT2:AT15" si="1">SUM(AR2*AS2)</f>
        <v>8850</v>
      </c>
      <c r="AU2" s="33">
        <v>595.0</v>
      </c>
      <c r="AV2" s="34">
        <v>0.0</v>
      </c>
      <c r="AW2" s="34" t="s">
        <v>82</v>
      </c>
      <c r="AX2" s="34">
        <v>0.0</v>
      </c>
      <c r="AY2" s="34">
        <v>0.0</v>
      </c>
      <c r="AZ2" s="35">
        <f>sum(AT2,-AY2)*0.4</f>
        <v>3540</v>
      </c>
      <c r="BA2" s="36">
        <v>0.0</v>
      </c>
      <c r="BB2" s="37" t="s">
        <v>84</v>
      </c>
      <c r="BC2" s="38">
        <f t="shared" ref="BC2:BC42" si="2">if(AU2=595, SUM(AT2+AX2-AZ2-AY2),sum(AT2-AY2-AZ2,595))</f>
        <v>5310</v>
      </c>
      <c r="BD2" s="39">
        <f t="shared" ref="BD2:BD42" si="3">if(BB2="Buyer",-sum((-AT2+AZ2+AY2)*50%),if(BB2="Seller",-sum((-AT2+AZ2+AY2)*50%),-sum(((-AT2+AZ2+AY2)*((100-right(BB2,2))/100)))))+if(AU2&lt;&gt;595,595, sum(AU2))</f>
        <v>3250</v>
      </c>
      <c r="BE2" s="40">
        <f t="shared" ref="BE2:BE56" si="4">sum(BC2-BD2)+-sum(AV2:AW2)</f>
        <v>2060</v>
      </c>
      <c r="BF2" s="111"/>
      <c r="BG2" s="37"/>
      <c r="BH2" s="42"/>
      <c r="BI2" s="37" t="s">
        <v>2552</v>
      </c>
      <c r="BJ2" s="37" t="s">
        <v>69</v>
      </c>
      <c r="BK2" s="56"/>
      <c r="BL2" s="56"/>
      <c r="BM2" s="56"/>
      <c r="BN2" s="56"/>
      <c r="BO2" s="56"/>
      <c r="BP2" s="56"/>
      <c r="BQ2" s="56"/>
      <c r="BR2" s="56"/>
      <c r="BS2" s="56"/>
      <c r="BT2" s="56"/>
      <c r="BU2" s="56"/>
      <c r="BV2" s="56"/>
      <c r="BW2" s="56"/>
      <c r="BX2" s="42"/>
      <c r="BY2" s="42"/>
      <c r="BZ2" s="42"/>
      <c r="CA2" s="42"/>
      <c r="CB2" s="42"/>
      <c r="CC2" s="42"/>
      <c r="CD2" s="42"/>
      <c r="CE2" s="42"/>
      <c r="CF2" s="42"/>
      <c r="CG2" s="42"/>
      <c r="CH2" s="42"/>
      <c r="CI2" s="42"/>
      <c r="CJ2" s="42"/>
      <c r="CK2" s="42"/>
      <c r="CL2" s="42"/>
      <c r="CM2" s="42"/>
      <c r="CN2" s="42"/>
      <c r="CO2" s="42"/>
      <c r="CP2" s="42"/>
      <c r="CQ2" s="42"/>
      <c r="CR2" s="42"/>
      <c r="CS2" s="42"/>
    </row>
    <row r="3">
      <c r="A3" s="37" t="s">
        <v>803</v>
      </c>
      <c r="B3" s="37" t="s">
        <v>47</v>
      </c>
      <c r="C3" s="54" t="s">
        <v>2352</v>
      </c>
      <c r="D3" s="37" t="s">
        <v>2353</v>
      </c>
      <c r="E3" s="56"/>
      <c r="F3" s="37">
        <v>92003.0</v>
      </c>
      <c r="G3" s="37" t="s">
        <v>87</v>
      </c>
      <c r="H3" s="37" t="s">
        <v>184</v>
      </c>
      <c r="I3" s="56"/>
      <c r="J3" s="56"/>
      <c r="K3" s="37" t="s">
        <v>73</v>
      </c>
      <c r="L3" s="37" t="s">
        <v>53</v>
      </c>
      <c r="M3" s="37" t="s">
        <v>185</v>
      </c>
      <c r="N3" s="56"/>
      <c r="O3" s="56" t="s">
        <v>2354</v>
      </c>
      <c r="P3" s="49" t="s">
        <v>2355</v>
      </c>
      <c r="Q3" s="49" t="s">
        <v>1050</v>
      </c>
      <c r="R3" s="108" t="s">
        <v>859</v>
      </c>
      <c r="S3" s="56"/>
      <c r="T3" s="56"/>
      <c r="U3" s="37" t="s">
        <v>2356</v>
      </c>
      <c r="V3" s="56"/>
      <c r="W3" s="56"/>
      <c r="X3" s="37"/>
      <c r="Y3" s="37"/>
      <c r="Z3" s="37"/>
      <c r="AA3" s="37" t="s">
        <v>2357</v>
      </c>
      <c r="AB3" s="37" t="s">
        <v>2358</v>
      </c>
      <c r="AC3" s="37" t="s">
        <v>64</v>
      </c>
      <c r="AD3" s="60">
        <v>46037.0</v>
      </c>
      <c r="AE3" s="60">
        <v>46068.0</v>
      </c>
      <c r="AF3" s="60">
        <v>46068.0</v>
      </c>
      <c r="AG3" s="37"/>
      <c r="AH3" s="56"/>
      <c r="AI3" s="56"/>
      <c r="AJ3" s="56"/>
      <c r="AK3" s="56"/>
      <c r="AL3" s="56"/>
      <c r="AM3" s="56"/>
      <c r="AN3" s="56"/>
      <c r="AO3" s="291"/>
      <c r="AP3" s="54" t="s">
        <v>65</v>
      </c>
      <c r="AQ3" s="37" t="s">
        <v>167</v>
      </c>
      <c r="AR3" s="30">
        <v>1040000.0</v>
      </c>
      <c r="AS3" s="31">
        <v>0.025</v>
      </c>
      <c r="AT3" s="32">
        <f t="shared" si="1"/>
        <v>26000</v>
      </c>
      <c r="AU3" s="33">
        <v>595.0</v>
      </c>
      <c r="AV3" s="34">
        <v>0.0</v>
      </c>
      <c r="AW3" s="34">
        <v>0.0</v>
      </c>
      <c r="AX3" s="34">
        <v>0.0</v>
      </c>
      <c r="AY3" s="34">
        <v>0.0</v>
      </c>
      <c r="AZ3" s="34">
        <v>0.0</v>
      </c>
      <c r="BA3" s="36">
        <v>0.0</v>
      </c>
      <c r="BB3" s="37" t="s">
        <v>168</v>
      </c>
      <c r="BC3" s="38">
        <f t="shared" si="2"/>
        <v>26000</v>
      </c>
      <c r="BD3" s="39">
        <f t="shared" si="3"/>
        <v>3195</v>
      </c>
      <c r="BE3" s="40">
        <f t="shared" si="4"/>
        <v>22805</v>
      </c>
      <c r="BF3" s="111"/>
      <c r="BG3" s="37"/>
      <c r="BH3" s="42"/>
      <c r="BI3" s="37" t="s">
        <v>2259</v>
      </c>
      <c r="BJ3" s="37" t="s">
        <v>69</v>
      </c>
      <c r="BK3" s="56"/>
      <c r="BL3" s="56"/>
      <c r="BM3" s="56"/>
      <c r="BN3" s="56"/>
      <c r="BO3" s="56"/>
      <c r="BP3" s="56"/>
      <c r="BQ3" s="56"/>
      <c r="BR3" s="56"/>
      <c r="BS3" s="56"/>
      <c r="BT3" s="56"/>
      <c r="BU3" s="56"/>
      <c r="BV3" s="56"/>
      <c r="BW3" s="56"/>
      <c r="BX3" s="42"/>
      <c r="BY3" s="42"/>
      <c r="BZ3" s="42"/>
      <c r="CA3" s="42"/>
      <c r="CB3" s="42"/>
      <c r="CC3" s="42"/>
      <c r="CD3" s="42"/>
      <c r="CE3" s="42"/>
      <c r="CF3" s="42"/>
      <c r="CG3" s="42"/>
      <c r="CH3" s="42"/>
      <c r="CI3" s="42"/>
      <c r="CJ3" s="42"/>
      <c r="CK3" s="42"/>
      <c r="CL3" s="42"/>
      <c r="CM3" s="42"/>
      <c r="CN3" s="42"/>
      <c r="CO3" s="42"/>
      <c r="CP3" s="42"/>
      <c r="CQ3" s="42"/>
      <c r="CR3" s="42"/>
      <c r="CS3" s="42"/>
    </row>
    <row r="4">
      <c r="A4" s="23" t="s">
        <v>563</v>
      </c>
      <c r="B4" s="23" t="s">
        <v>47</v>
      </c>
      <c r="C4" s="24" t="s">
        <v>1344</v>
      </c>
      <c r="D4" s="23" t="s">
        <v>398</v>
      </c>
      <c r="E4" s="56"/>
      <c r="F4" s="23">
        <v>92562.0</v>
      </c>
      <c r="G4" s="23" t="s">
        <v>50</v>
      </c>
      <c r="H4" s="48" t="s">
        <v>362</v>
      </c>
      <c r="I4" s="56"/>
      <c r="J4" s="56"/>
      <c r="K4" s="23" t="s">
        <v>172</v>
      </c>
      <c r="L4" s="23" t="s">
        <v>53</v>
      </c>
      <c r="M4" s="23" t="s">
        <v>103</v>
      </c>
      <c r="N4" s="56"/>
      <c r="O4" s="25" t="s">
        <v>1345</v>
      </c>
      <c r="P4" s="43"/>
      <c r="Q4" s="26" t="s">
        <v>1346</v>
      </c>
      <c r="R4" s="27" t="s">
        <v>220</v>
      </c>
      <c r="S4" s="56"/>
      <c r="T4" s="56"/>
      <c r="U4" s="23"/>
      <c r="V4" s="56"/>
      <c r="W4" s="56"/>
      <c r="X4" s="23" t="s">
        <v>343</v>
      </c>
      <c r="Y4" s="23" t="s">
        <v>343</v>
      </c>
      <c r="Z4" s="23"/>
      <c r="AA4" s="23" t="s">
        <v>1347</v>
      </c>
      <c r="AB4" s="191" t="s">
        <v>1348</v>
      </c>
      <c r="AC4" s="23" t="s">
        <v>64</v>
      </c>
      <c r="AD4" s="28">
        <v>46046.0</v>
      </c>
      <c r="AE4" s="28">
        <v>46100.0</v>
      </c>
      <c r="AF4" s="28">
        <v>46107.0</v>
      </c>
      <c r="AG4" s="28"/>
      <c r="AH4" s="56"/>
      <c r="AI4" s="56"/>
      <c r="AJ4" s="56"/>
      <c r="AK4" s="56"/>
      <c r="AL4" s="56"/>
      <c r="AM4" s="56"/>
      <c r="AN4" s="56"/>
      <c r="AO4" s="291"/>
      <c r="AP4" s="24" t="s">
        <v>343</v>
      </c>
      <c r="AQ4" s="23" t="s">
        <v>167</v>
      </c>
      <c r="AR4" s="30">
        <v>799990.0</v>
      </c>
      <c r="AS4" s="31">
        <v>0.02</v>
      </c>
      <c r="AT4" s="32">
        <f t="shared" si="1"/>
        <v>15999.8</v>
      </c>
      <c r="AU4" s="33">
        <v>595.0</v>
      </c>
      <c r="AV4" s="34">
        <v>200.0</v>
      </c>
      <c r="AW4" s="34">
        <v>0.0</v>
      </c>
      <c r="AX4" s="34">
        <v>0.0</v>
      </c>
      <c r="AY4" s="34">
        <v>0.0</v>
      </c>
      <c r="AZ4" s="34">
        <v>0.0</v>
      </c>
      <c r="BA4" s="36">
        <v>0.0</v>
      </c>
      <c r="BB4" s="37" t="s">
        <v>168</v>
      </c>
      <c r="BC4" s="38">
        <f t="shared" si="2"/>
        <v>15999.8</v>
      </c>
      <c r="BD4" s="39">
        <f t="shared" si="3"/>
        <v>2194.98</v>
      </c>
      <c r="BE4" s="40">
        <f t="shared" si="4"/>
        <v>13604.82</v>
      </c>
      <c r="BF4" s="111"/>
      <c r="BG4" s="23"/>
      <c r="BH4" s="42"/>
      <c r="BI4" s="23" t="s">
        <v>2553</v>
      </c>
      <c r="BJ4" s="23" t="s">
        <v>69</v>
      </c>
      <c r="BK4" s="56"/>
      <c r="BL4" s="56"/>
      <c r="BM4" s="56"/>
      <c r="BN4" s="56"/>
      <c r="BO4" s="56"/>
      <c r="BP4" s="56"/>
      <c r="BQ4" s="56"/>
      <c r="BR4" s="56"/>
      <c r="BS4" s="56"/>
      <c r="BT4" s="56"/>
      <c r="BU4" s="56"/>
      <c r="BV4" s="56"/>
      <c r="BW4" s="56"/>
      <c r="BX4" s="42"/>
      <c r="BY4" s="42"/>
      <c r="BZ4" s="42"/>
      <c r="CA4" s="42"/>
      <c r="CB4" s="42"/>
      <c r="CC4" s="42"/>
      <c r="CD4" s="42"/>
      <c r="CE4" s="42"/>
      <c r="CF4" s="42"/>
      <c r="CG4" s="42"/>
      <c r="CH4" s="42"/>
      <c r="CI4" s="42"/>
      <c r="CJ4" s="42"/>
      <c r="CK4" s="42"/>
      <c r="CL4" s="42"/>
      <c r="CM4" s="42"/>
      <c r="CN4" s="42"/>
      <c r="CO4" s="42"/>
      <c r="CP4" s="42"/>
      <c r="CQ4" s="42"/>
      <c r="CR4" s="42"/>
      <c r="CS4" s="42"/>
    </row>
    <row r="5">
      <c r="A5" s="37" t="s">
        <v>563</v>
      </c>
      <c r="B5" s="37" t="s">
        <v>47</v>
      </c>
      <c r="C5" s="54" t="s">
        <v>1567</v>
      </c>
      <c r="D5" s="37" t="s">
        <v>389</v>
      </c>
      <c r="E5" s="56"/>
      <c r="F5" s="37">
        <v>92084.0</v>
      </c>
      <c r="G5" s="37" t="s">
        <v>87</v>
      </c>
      <c r="H5" s="37" t="s">
        <v>300</v>
      </c>
      <c r="I5" s="56"/>
      <c r="J5" s="56"/>
      <c r="K5" s="37" t="s">
        <v>172</v>
      </c>
      <c r="L5" s="55"/>
      <c r="M5" s="37" t="s">
        <v>103</v>
      </c>
      <c r="N5" s="56"/>
      <c r="O5" s="56" t="s">
        <v>1568</v>
      </c>
      <c r="P5" s="49" t="s">
        <v>1569</v>
      </c>
      <c r="Q5" s="108" t="s">
        <v>1570</v>
      </c>
      <c r="R5" s="108" t="s">
        <v>1571</v>
      </c>
      <c r="S5" s="56"/>
      <c r="T5" s="56"/>
      <c r="U5" s="37" t="s">
        <v>1572</v>
      </c>
      <c r="V5" s="56"/>
      <c r="W5" s="56"/>
      <c r="X5" s="37" t="s">
        <v>60</v>
      </c>
      <c r="Y5" s="37" t="s">
        <v>61</v>
      </c>
      <c r="Z5" s="37"/>
      <c r="AA5" s="37" t="s">
        <v>1573</v>
      </c>
      <c r="AB5" s="37" t="s">
        <v>1574</v>
      </c>
      <c r="AC5" s="37" t="s">
        <v>64</v>
      </c>
      <c r="AD5" s="60">
        <v>46048.0</v>
      </c>
      <c r="AE5" s="60">
        <v>46070.0</v>
      </c>
      <c r="AF5" s="60">
        <v>46094.0</v>
      </c>
      <c r="AG5" s="60"/>
      <c r="AH5" s="56"/>
      <c r="AI5" s="56"/>
      <c r="AJ5" s="56"/>
      <c r="AK5" s="56"/>
      <c r="AL5" s="56"/>
      <c r="AM5" s="56"/>
      <c r="AN5" s="56"/>
      <c r="AO5" s="291"/>
      <c r="AP5" s="54" t="s">
        <v>124</v>
      </c>
      <c r="AQ5" s="48" t="s">
        <v>167</v>
      </c>
      <c r="AR5" s="30">
        <v>330000.0</v>
      </c>
      <c r="AS5" s="31">
        <v>0.035</v>
      </c>
      <c r="AT5" s="32">
        <f t="shared" si="1"/>
        <v>11550</v>
      </c>
      <c r="AU5" s="33">
        <v>595.0</v>
      </c>
      <c r="AV5" s="34">
        <v>500.0</v>
      </c>
      <c r="AW5" s="34">
        <v>0.0</v>
      </c>
      <c r="AX5" s="34">
        <v>1095.0</v>
      </c>
      <c r="AY5" s="34">
        <v>0.0</v>
      </c>
      <c r="AZ5" s="34">
        <v>0.0</v>
      </c>
      <c r="BA5" s="36">
        <v>0.0</v>
      </c>
      <c r="BB5" s="37" t="s">
        <v>202</v>
      </c>
      <c r="BC5" s="38">
        <f t="shared" si="2"/>
        <v>12645</v>
      </c>
      <c r="BD5" s="39">
        <f t="shared" si="3"/>
        <v>4060</v>
      </c>
      <c r="BE5" s="40">
        <f t="shared" si="4"/>
        <v>8085</v>
      </c>
      <c r="BF5" s="111"/>
      <c r="BG5" s="37" t="s">
        <v>67</v>
      </c>
      <c r="BH5" s="42"/>
      <c r="BI5" s="277"/>
      <c r="BJ5" s="278"/>
      <c r="BK5" s="56"/>
      <c r="BL5" s="56"/>
      <c r="BM5" s="56"/>
      <c r="BN5" s="56"/>
      <c r="BO5" s="56"/>
      <c r="BP5" s="56"/>
      <c r="BQ5" s="56"/>
      <c r="BR5" s="56"/>
      <c r="BS5" s="56"/>
      <c r="BT5" s="56"/>
      <c r="BU5" s="56"/>
      <c r="BV5" s="56"/>
      <c r="BW5" s="56"/>
      <c r="BX5" s="42"/>
      <c r="BY5" s="42"/>
      <c r="BZ5" s="42"/>
      <c r="CA5" s="42"/>
      <c r="CB5" s="42"/>
      <c r="CC5" s="42"/>
      <c r="CD5" s="42"/>
      <c r="CE5" s="42"/>
      <c r="CF5" s="42"/>
      <c r="CG5" s="42"/>
      <c r="CH5" s="42"/>
      <c r="CI5" s="42"/>
      <c r="CJ5" s="42"/>
      <c r="CK5" s="42"/>
      <c r="CL5" s="42"/>
      <c r="CM5" s="42"/>
      <c r="CN5" s="42"/>
      <c r="CO5" s="42"/>
      <c r="CP5" s="42"/>
      <c r="CQ5" s="42"/>
      <c r="CR5" s="42"/>
      <c r="CS5" s="42"/>
    </row>
    <row r="6">
      <c r="A6" s="23" t="s">
        <v>563</v>
      </c>
      <c r="B6" s="23" t="s">
        <v>47</v>
      </c>
      <c r="C6" s="24" t="s">
        <v>1405</v>
      </c>
      <c r="D6" s="23" t="s">
        <v>138</v>
      </c>
      <c r="E6" s="56"/>
      <c r="F6" s="23">
        <v>92582.0</v>
      </c>
      <c r="G6" s="23" t="s">
        <v>50</v>
      </c>
      <c r="H6" s="37" t="s">
        <v>88</v>
      </c>
      <c r="I6" s="56"/>
      <c r="J6" s="56"/>
      <c r="K6" s="23" t="s">
        <v>52</v>
      </c>
      <c r="L6" s="50"/>
      <c r="M6" s="23" t="s">
        <v>54</v>
      </c>
      <c r="N6" s="56"/>
      <c r="O6" s="25" t="s">
        <v>1406</v>
      </c>
      <c r="P6" s="26" t="s">
        <v>1407</v>
      </c>
      <c r="Q6" s="26" t="s">
        <v>1408</v>
      </c>
      <c r="R6" s="27" t="s">
        <v>220</v>
      </c>
      <c r="S6" s="56"/>
      <c r="T6" s="56"/>
      <c r="U6" s="23" t="s">
        <v>723</v>
      </c>
      <c r="V6" s="56"/>
      <c r="W6" s="56"/>
      <c r="X6" s="23" t="s">
        <v>343</v>
      </c>
      <c r="Y6" s="23" t="s">
        <v>343</v>
      </c>
      <c r="Z6" s="86" t="s">
        <v>220</v>
      </c>
      <c r="AA6" s="23" t="s">
        <v>343</v>
      </c>
      <c r="AB6" s="23" t="s">
        <v>343</v>
      </c>
      <c r="AC6" s="23" t="s">
        <v>64</v>
      </c>
      <c r="AD6" s="28">
        <v>46049.0</v>
      </c>
      <c r="AE6" s="28">
        <v>46111.0</v>
      </c>
      <c r="AF6" s="28">
        <v>46111.0</v>
      </c>
      <c r="AG6" s="28"/>
      <c r="AH6" s="56"/>
      <c r="AI6" s="56"/>
      <c r="AJ6" s="56"/>
      <c r="AK6" s="56"/>
      <c r="AL6" s="56"/>
      <c r="AM6" s="56"/>
      <c r="AN6" s="56"/>
      <c r="AO6" s="291"/>
      <c r="AP6" s="24" t="s">
        <v>343</v>
      </c>
      <c r="AQ6" s="23" t="s">
        <v>66</v>
      </c>
      <c r="AR6" s="30">
        <v>617825.0</v>
      </c>
      <c r="AS6" s="31">
        <v>0.02</v>
      </c>
      <c r="AT6" s="32">
        <f t="shared" si="1"/>
        <v>12356.5</v>
      </c>
      <c r="AU6" s="33">
        <v>595.0</v>
      </c>
      <c r="AV6" s="34">
        <v>500.0</v>
      </c>
      <c r="AW6" s="34">
        <v>0.0</v>
      </c>
      <c r="AX6" s="34">
        <v>1395.0</v>
      </c>
      <c r="AY6" s="34">
        <v>0.0</v>
      </c>
      <c r="AZ6" s="35">
        <f t="shared" ref="AZ6:AZ7" si="5">sum(AT6,-AY6)*0.4</f>
        <v>4942.6</v>
      </c>
      <c r="BA6" s="36">
        <v>0.0</v>
      </c>
      <c r="BB6" s="37" t="s">
        <v>47</v>
      </c>
      <c r="BC6" s="38">
        <f t="shared" si="2"/>
        <v>8808.9</v>
      </c>
      <c r="BD6" s="39">
        <f t="shared" si="3"/>
        <v>4301.95</v>
      </c>
      <c r="BE6" s="40">
        <f t="shared" si="4"/>
        <v>4006.95</v>
      </c>
      <c r="BF6" s="111"/>
      <c r="BG6" s="23" t="s">
        <v>67</v>
      </c>
      <c r="BH6" s="42"/>
      <c r="BI6" s="52"/>
      <c r="BJ6" s="23"/>
      <c r="BK6" s="56"/>
      <c r="BL6" s="56"/>
      <c r="BM6" s="56"/>
      <c r="BN6" s="56"/>
      <c r="BO6" s="56"/>
      <c r="BP6" s="56"/>
      <c r="BQ6" s="56"/>
      <c r="BR6" s="56"/>
      <c r="BS6" s="56"/>
      <c r="BT6" s="56"/>
      <c r="BU6" s="56"/>
      <c r="BV6" s="56"/>
      <c r="BW6" s="56"/>
      <c r="BX6" s="42"/>
      <c r="BY6" s="42"/>
      <c r="BZ6" s="42"/>
      <c r="CA6" s="42"/>
      <c r="CB6" s="42"/>
      <c r="CC6" s="42"/>
      <c r="CD6" s="42"/>
      <c r="CE6" s="42"/>
      <c r="CF6" s="42"/>
      <c r="CG6" s="42"/>
      <c r="CH6" s="42"/>
      <c r="CI6" s="42"/>
      <c r="CJ6" s="42"/>
      <c r="CK6" s="42"/>
      <c r="CL6" s="42"/>
      <c r="CM6" s="42"/>
      <c r="CN6" s="42"/>
      <c r="CO6" s="42"/>
      <c r="CP6" s="42"/>
      <c r="CQ6" s="42"/>
      <c r="CR6" s="42"/>
      <c r="CS6" s="42"/>
    </row>
    <row r="7">
      <c r="A7" s="37" t="s">
        <v>803</v>
      </c>
      <c r="B7" s="37" t="s">
        <v>47</v>
      </c>
      <c r="C7" s="54" t="s">
        <v>1507</v>
      </c>
      <c r="D7" s="37" t="s">
        <v>49</v>
      </c>
      <c r="E7" s="56"/>
      <c r="F7" s="37">
        <v>92585.0</v>
      </c>
      <c r="G7" s="37" t="s">
        <v>50</v>
      </c>
      <c r="H7" s="37" t="s">
        <v>719</v>
      </c>
      <c r="I7" s="56"/>
      <c r="J7" s="56"/>
      <c r="K7" s="37" t="s">
        <v>172</v>
      </c>
      <c r="L7" s="55"/>
      <c r="M7" s="37" t="s">
        <v>54</v>
      </c>
      <c r="N7" s="56"/>
      <c r="O7" s="56" t="s">
        <v>1508</v>
      </c>
      <c r="P7" s="49" t="s">
        <v>1509</v>
      </c>
      <c r="Q7" s="49" t="s">
        <v>1510</v>
      </c>
      <c r="R7" s="108" t="s">
        <v>1511</v>
      </c>
      <c r="S7" s="56"/>
      <c r="T7" s="56"/>
      <c r="U7" s="37" t="s">
        <v>248</v>
      </c>
      <c r="V7" s="56"/>
      <c r="W7" s="56"/>
      <c r="X7" s="37" t="s">
        <v>558</v>
      </c>
      <c r="Y7" s="37" t="s">
        <v>621</v>
      </c>
      <c r="Z7" s="37" t="s">
        <v>590</v>
      </c>
      <c r="AA7" s="37" t="s">
        <v>1512</v>
      </c>
      <c r="AB7" s="37" t="s">
        <v>1513</v>
      </c>
      <c r="AC7" s="37" t="s">
        <v>64</v>
      </c>
      <c r="AD7" s="60">
        <v>46049.0</v>
      </c>
      <c r="AE7" s="60">
        <v>46097.0</v>
      </c>
      <c r="AF7" s="60">
        <v>46118.0</v>
      </c>
      <c r="AG7" s="60"/>
      <c r="AH7" s="56"/>
      <c r="AI7" s="56"/>
      <c r="AJ7" s="56"/>
      <c r="AK7" s="56"/>
      <c r="AL7" s="56"/>
      <c r="AM7" s="56"/>
      <c r="AN7" s="56"/>
      <c r="AO7" s="291"/>
      <c r="AP7" s="54" t="s">
        <v>558</v>
      </c>
      <c r="AQ7" s="37" t="s">
        <v>66</v>
      </c>
      <c r="AR7" s="30">
        <v>50000.0</v>
      </c>
      <c r="AS7" s="31">
        <v>0.05</v>
      </c>
      <c r="AT7" s="32">
        <f t="shared" si="1"/>
        <v>2500</v>
      </c>
      <c r="AU7" s="33">
        <v>595.0</v>
      </c>
      <c r="AV7" s="34">
        <v>0.0</v>
      </c>
      <c r="AW7" s="34">
        <v>0.0</v>
      </c>
      <c r="AX7" s="34">
        <v>1045.0</v>
      </c>
      <c r="AY7" s="34">
        <v>0.0</v>
      </c>
      <c r="AZ7" s="35">
        <f t="shared" si="5"/>
        <v>1000</v>
      </c>
      <c r="BA7" s="36">
        <v>0.0</v>
      </c>
      <c r="BB7" s="37" t="s">
        <v>47</v>
      </c>
      <c r="BC7" s="38">
        <f t="shared" si="2"/>
        <v>2545</v>
      </c>
      <c r="BD7" s="39">
        <f t="shared" si="3"/>
        <v>1345</v>
      </c>
      <c r="BE7" s="40">
        <f t="shared" si="4"/>
        <v>1200</v>
      </c>
      <c r="BF7" s="111"/>
      <c r="BG7" s="37"/>
      <c r="BH7" s="42"/>
      <c r="BI7" s="52"/>
      <c r="BJ7" s="23"/>
      <c r="BK7" s="56"/>
      <c r="BL7" s="56"/>
      <c r="BM7" s="56"/>
      <c r="BN7" s="56"/>
      <c r="BO7" s="56"/>
      <c r="BP7" s="56"/>
      <c r="BQ7" s="56"/>
      <c r="BR7" s="56"/>
      <c r="BS7" s="56"/>
      <c r="BT7" s="56"/>
      <c r="BU7" s="56"/>
      <c r="BV7" s="56"/>
      <c r="BW7" s="56"/>
      <c r="BX7" s="42"/>
      <c r="BY7" s="42"/>
      <c r="BZ7" s="42"/>
      <c r="CA7" s="42"/>
      <c r="CB7" s="42"/>
      <c r="CC7" s="42"/>
      <c r="CD7" s="42"/>
      <c r="CE7" s="42"/>
      <c r="CF7" s="42"/>
      <c r="CG7" s="42"/>
      <c r="CH7" s="42"/>
      <c r="CI7" s="42"/>
      <c r="CJ7" s="42"/>
      <c r="CK7" s="42"/>
      <c r="CL7" s="42"/>
      <c r="CM7" s="42"/>
      <c r="CN7" s="42"/>
      <c r="CO7" s="42"/>
      <c r="CP7" s="42"/>
      <c r="CQ7" s="42"/>
      <c r="CR7" s="42"/>
      <c r="CS7" s="42"/>
    </row>
    <row r="8">
      <c r="A8" s="23" t="s">
        <v>563</v>
      </c>
      <c r="B8" s="23" t="s">
        <v>47</v>
      </c>
      <c r="C8" s="24" t="s">
        <v>1410</v>
      </c>
      <c r="D8" s="23" t="s">
        <v>138</v>
      </c>
      <c r="E8" s="56"/>
      <c r="F8" s="23">
        <v>92582.0</v>
      </c>
      <c r="G8" s="23" t="s">
        <v>50</v>
      </c>
      <c r="H8" s="37" t="s">
        <v>88</v>
      </c>
      <c r="I8" s="56"/>
      <c r="J8" s="56"/>
      <c r="K8" s="23" t="s">
        <v>52</v>
      </c>
      <c r="L8" s="50"/>
      <c r="M8" s="23" t="s">
        <v>54</v>
      </c>
      <c r="N8" s="56"/>
      <c r="O8" s="25" t="s">
        <v>1411</v>
      </c>
      <c r="P8" s="26" t="s">
        <v>1412</v>
      </c>
      <c r="Q8" s="26" t="s">
        <v>1413</v>
      </c>
      <c r="R8" s="27" t="s">
        <v>220</v>
      </c>
      <c r="S8" s="56"/>
      <c r="T8" s="56"/>
      <c r="U8" s="23" t="s">
        <v>723</v>
      </c>
      <c r="V8" s="56"/>
      <c r="W8" s="56"/>
      <c r="X8" s="23" t="s">
        <v>343</v>
      </c>
      <c r="Y8" s="23" t="s">
        <v>343</v>
      </c>
      <c r="Z8" s="86" t="s">
        <v>220</v>
      </c>
      <c r="AA8" s="23" t="s">
        <v>343</v>
      </c>
      <c r="AB8" s="23" t="s">
        <v>343</v>
      </c>
      <c r="AC8" s="23" t="s">
        <v>64</v>
      </c>
      <c r="AD8" s="28">
        <v>46050.0</v>
      </c>
      <c r="AE8" s="28">
        <v>46111.0</v>
      </c>
      <c r="AF8" s="28">
        <v>46111.0</v>
      </c>
      <c r="AG8" s="28"/>
      <c r="AH8" s="56"/>
      <c r="AI8" s="56"/>
      <c r="AJ8" s="56"/>
      <c r="AK8" s="56"/>
      <c r="AL8" s="56"/>
      <c r="AM8" s="56"/>
      <c r="AN8" s="56"/>
      <c r="AO8" s="291"/>
      <c r="AP8" s="24" t="s">
        <v>343</v>
      </c>
      <c r="AQ8" s="23" t="s">
        <v>167</v>
      </c>
      <c r="AR8" s="30">
        <v>599990.0</v>
      </c>
      <c r="AS8" s="31">
        <v>0.03</v>
      </c>
      <c r="AT8" s="32">
        <f t="shared" si="1"/>
        <v>17999.7</v>
      </c>
      <c r="AU8" s="33">
        <v>595.0</v>
      </c>
      <c r="AV8" s="34">
        <v>500.0</v>
      </c>
      <c r="AW8" s="34">
        <v>0.0</v>
      </c>
      <c r="AX8" s="34">
        <v>1395.0</v>
      </c>
      <c r="AY8" s="34">
        <v>0.0</v>
      </c>
      <c r="AZ8" s="34">
        <v>0.0</v>
      </c>
      <c r="BA8" s="36">
        <v>0.0</v>
      </c>
      <c r="BB8" s="37" t="s">
        <v>168</v>
      </c>
      <c r="BC8" s="38">
        <f t="shared" si="2"/>
        <v>19394.7</v>
      </c>
      <c r="BD8" s="39">
        <f t="shared" si="3"/>
        <v>2394.97</v>
      </c>
      <c r="BE8" s="40">
        <f t="shared" si="4"/>
        <v>16499.73</v>
      </c>
      <c r="BF8" s="111"/>
      <c r="BG8" s="23"/>
      <c r="BH8" s="42"/>
      <c r="BI8" s="52"/>
      <c r="BJ8" s="23"/>
      <c r="BK8" s="56"/>
      <c r="BL8" s="56"/>
      <c r="BM8" s="56"/>
      <c r="BN8" s="56"/>
      <c r="BO8" s="56"/>
      <c r="BP8" s="56"/>
      <c r="BQ8" s="56"/>
      <c r="BR8" s="56"/>
      <c r="BS8" s="56"/>
      <c r="BT8" s="56"/>
      <c r="BU8" s="56"/>
      <c r="BV8" s="56"/>
      <c r="BW8" s="56"/>
      <c r="BX8" s="42"/>
      <c r="BY8" s="42"/>
      <c r="BZ8" s="42"/>
      <c r="CA8" s="42"/>
      <c r="CB8" s="42"/>
      <c r="CC8" s="42"/>
      <c r="CD8" s="42"/>
      <c r="CE8" s="42"/>
      <c r="CF8" s="42"/>
      <c r="CG8" s="42"/>
      <c r="CH8" s="42"/>
      <c r="CI8" s="42"/>
      <c r="CJ8" s="42"/>
      <c r="CK8" s="42"/>
      <c r="CL8" s="42"/>
      <c r="CM8" s="42"/>
      <c r="CN8" s="42"/>
      <c r="CO8" s="42"/>
      <c r="CP8" s="42"/>
      <c r="CQ8" s="42"/>
      <c r="CR8" s="42"/>
      <c r="CS8" s="42"/>
    </row>
    <row r="9">
      <c r="A9" s="23" t="s">
        <v>563</v>
      </c>
      <c r="B9" s="23" t="s">
        <v>47</v>
      </c>
      <c r="C9" s="24" t="s">
        <v>2554</v>
      </c>
      <c r="D9" s="23" t="s">
        <v>71</v>
      </c>
      <c r="E9" s="56"/>
      <c r="F9" s="23">
        <v>92345.0</v>
      </c>
      <c r="G9" s="23" t="s">
        <v>50</v>
      </c>
      <c r="H9" s="23" t="s">
        <v>633</v>
      </c>
      <c r="I9" s="56"/>
      <c r="J9" s="56"/>
      <c r="K9" s="23" t="s">
        <v>172</v>
      </c>
      <c r="L9" s="50"/>
      <c r="M9" s="23" t="s">
        <v>103</v>
      </c>
      <c r="N9" s="56"/>
      <c r="O9" s="25" t="s">
        <v>1775</v>
      </c>
      <c r="P9" s="26" t="s">
        <v>1776</v>
      </c>
      <c r="Q9" s="27" t="s">
        <v>1777</v>
      </c>
      <c r="R9" s="27" t="s">
        <v>1778</v>
      </c>
      <c r="S9" s="56"/>
      <c r="T9" s="56"/>
      <c r="U9" s="23" t="s">
        <v>436</v>
      </c>
      <c r="V9" s="56"/>
      <c r="W9" s="56"/>
      <c r="X9" s="23" t="s">
        <v>60</v>
      </c>
      <c r="Y9" s="23" t="s">
        <v>1553</v>
      </c>
      <c r="Z9" s="23"/>
      <c r="AA9" s="23" t="s">
        <v>1779</v>
      </c>
      <c r="AB9" s="23" t="s">
        <v>1780</v>
      </c>
      <c r="AC9" s="23" t="s">
        <v>64</v>
      </c>
      <c r="AD9" s="28">
        <v>46052.0</v>
      </c>
      <c r="AE9" s="28">
        <v>46097.0</v>
      </c>
      <c r="AF9" s="28">
        <v>46097.0</v>
      </c>
      <c r="AG9" s="28"/>
      <c r="AH9" s="56"/>
      <c r="AI9" s="56"/>
      <c r="AJ9" s="56"/>
      <c r="AK9" s="56"/>
      <c r="AL9" s="56"/>
      <c r="AM9" s="56"/>
      <c r="AN9" s="56"/>
      <c r="AO9" s="291"/>
      <c r="AP9" s="24" t="s">
        <v>124</v>
      </c>
      <c r="AQ9" s="48" t="s">
        <v>485</v>
      </c>
      <c r="AR9" s="30">
        <v>85000.0</v>
      </c>
      <c r="AS9" s="31">
        <v>0.03</v>
      </c>
      <c r="AT9" s="32">
        <f t="shared" si="1"/>
        <v>2550</v>
      </c>
      <c r="AU9" s="33">
        <v>595.0</v>
      </c>
      <c r="AV9" s="34">
        <v>500.0</v>
      </c>
      <c r="AW9" s="34">
        <v>0.0</v>
      </c>
      <c r="AX9" s="147">
        <v>1095.0</v>
      </c>
      <c r="AY9" s="34">
        <v>0.0</v>
      </c>
      <c r="AZ9" s="34">
        <v>0.0</v>
      </c>
      <c r="BA9" s="36">
        <v>0.0</v>
      </c>
      <c r="BB9" s="37" t="s">
        <v>47</v>
      </c>
      <c r="BC9" s="38">
        <f t="shared" si="2"/>
        <v>3645</v>
      </c>
      <c r="BD9" s="39">
        <f t="shared" si="3"/>
        <v>1870</v>
      </c>
      <c r="BE9" s="40">
        <f t="shared" si="4"/>
        <v>1275</v>
      </c>
      <c r="BF9" s="111"/>
      <c r="BG9" s="23"/>
      <c r="BH9" s="42"/>
      <c r="BI9" s="52"/>
      <c r="BJ9" s="23"/>
      <c r="BK9" s="56"/>
      <c r="BL9" s="56"/>
      <c r="BM9" s="56"/>
      <c r="BN9" s="56"/>
      <c r="BO9" s="56"/>
      <c r="BP9" s="56"/>
      <c r="BQ9" s="56"/>
      <c r="BR9" s="56"/>
      <c r="BS9" s="56"/>
      <c r="BT9" s="56"/>
      <c r="BU9" s="56"/>
      <c r="BV9" s="56"/>
      <c r="BW9" s="56"/>
      <c r="BX9" s="42"/>
      <c r="BY9" s="42"/>
      <c r="BZ9" s="42"/>
      <c r="CA9" s="42"/>
      <c r="CB9" s="42"/>
      <c r="CC9" s="42"/>
      <c r="CD9" s="42"/>
      <c r="CE9" s="42"/>
      <c r="CF9" s="42"/>
      <c r="CG9" s="42"/>
      <c r="CH9" s="42"/>
      <c r="CI9" s="42"/>
      <c r="CJ9" s="42"/>
      <c r="CK9" s="42"/>
      <c r="CL9" s="42"/>
      <c r="CM9" s="42"/>
      <c r="CN9" s="42"/>
      <c r="CO9" s="42"/>
      <c r="CP9" s="42"/>
      <c r="CQ9" s="42"/>
      <c r="CR9" s="42"/>
      <c r="CS9" s="42"/>
    </row>
    <row r="10">
      <c r="A10" s="23" t="s">
        <v>563</v>
      </c>
      <c r="B10" s="23" t="s">
        <v>84</v>
      </c>
      <c r="C10" s="24" t="s">
        <v>2319</v>
      </c>
      <c r="D10" s="23" t="s">
        <v>2320</v>
      </c>
      <c r="E10" s="56"/>
      <c r="F10" s="23">
        <v>92220.0</v>
      </c>
      <c r="G10" s="23" t="s">
        <v>50</v>
      </c>
      <c r="H10" s="23" t="s">
        <v>288</v>
      </c>
      <c r="I10" s="56"/>
      <c r="J10" s="56"/>
      <c r="K10" s="23" t="s">
        <v>73</v>
      </c>
      <c r="L10" s="50"/>
      <c r="M10" s="23" t="s">
        <v>103</v>
      </c>
      <c r="N10" s="56"/>
      <c r="O10" s="25" t="s">
        <v>2321</v>
      </c>
      <c r="P10" s="26" t="s">
        <v>2322</v>
      </c>
      <c r="Q10" s="27" t="s">
        <v>2323</v>
      </c>
      <c r="R10" s="27" t="s">
        <v>92</v>
      </c>
      <c r="S10" s="56"/>
      <c r="T10" s="56"/>
      <c r="U10" s="23" t="s">
        <v>2324</v>
      </c>
      <c r="V10" s="56"/>
      <c r="W10" s="56"/>
      <c r="X10" s="23" t="s">
        <v>60</v>
      </c>
      <c r="Y10" s="23" t="s">
        <v>61</v>
      </c>
      <c r="Z10" s="23" t="s">
        <v>94</v>
      </c>
      <c r="AA10" s="23" t="s">
        <v>2325</v>
      </c>
      <c r="AB10" s="23" t="s">
        <v>2326</v>
      </c>
      <c r="AC10" s="23" t="s">
        <v>64</v>
      </c>
      <c r="AD10" s="28">
        <v>46062.0</v>
      </c>
      <c r="AE10" s="28">
        <v>46092.0</v>
      </c>
      <c r="AF10" s="28">
        <v>46092.0</v>
      </c>
      <c r="AG10" s="28"/>
      <c r="AH10" s="56"/>
      <c r="AI10" s="56"/>
      <c r="AJ10" s="56"/>
      <c r="AK10" s="56"/>
      <c r="AL10" s="56"/>
      <c r="AM10" s="56"/>
      <c r="AN10" s="56"/>
      <c r="AO10" s="291"/>
      <c r="AP10" s="24" t="s">
        <v>65</v>
      </c>
      <c r="AQ10" s="23" t="s">
        <v>145</v>
      </c>
      <c r="AR10" s="30">
        <v>370000.0</v>
      </c>
      <c r="AS10" s="31">
        <v>0.02</v>
      </c>
      <c r="AT10" s="32">
        <f t="shared" si="1"/>
        <v>7400</v>
      </c>
      <c r="AU10" s="33">
        <v>595.0</v>
      </c>
      <c r="AV10" s="34">
        <v>500.0</v>
      </c>
      <c r="AW10" s="34">
        <v>250.0</v>
      </c>
      <c r="AX10" s="34">
        <v>1345.0</v>
      </c>
      <c r="AY10" s="34">
        <v>0.0</v>
      </c>
      <c r="AZ10" s="35">
        <f>sum(AT10,-AY10)*0.4</f>
        <v>2960</v>
      </c>
      <c r="BA10" s="36">
        <v>0.0</v>
      </c>
      <c r="BB10" s="37" t="s">
        <v>84</v>
      </c>
      <c r="BC10" s="38">
        <f t="shared" si="2"/>
        <v>5785</v>
      </c>
      <c r="BD10" s="39">
        <f t="shared" si="3"/>
        <v>2815</v>
      </c>
      <c r="BE10" s="40">
        <f t="shared" si="4"/>
        <v>2220</v>
      </c>
      <c r="BF10" s="111"/>
      <c r="BG10" s="23" t="s">
        <v>67</v>
      </c>
      <c r="BH10" s="42"/>
      <c r="BI10" s="52"/>
      <c r="BJ10" s="23"/>
      <c r="BK10" s="56"/>
      <c r="BL10" s="56"/>
      <c r="BM10" s="56"/>
      <c r="BN10" s="56"/>
      <c r="BO10" s="56"/>
      <c r="BP10" s="56"/>
      <c r="BQ10" s="56"/>
      <c r="BR10" s="56"/>
      <c r="BS10" s="56"/>
      <c r="BT10" s="56"/>
      <c r="BU10" s="56"/>
      <c r="BV10" s="56"/>
      <c r="BW10" s="56"/>
      <c r="BX10" s="42"/>
      <c r="BY10" s="42"/>
      <c r="BZ10" s="42"/>
      <c r="CA10" s="42"/>
      <c r="CB10" s="42"/>
      <c r="CC10" s="42"/>
      <c r="CD10" s="42"/>
      <c r="CE10" s="42"/>
      <c r="CF10" s="42"/>
      <c r="CG10" s="42"/>
      <c r="CH10" s="42"/>
      <c r="CI10" s="42"/>
      <c r="CJ10" s="42"/>
      <c r="CK10" s="42"/>
      <c r="CL10" s="42"/>
      <c r="CM10" s="42"/>
      <c r="CN10" s="42"/>
      <c r="CO10" s="42"/>
      <c r="CP10" s="42"/>
      <c r="CQ10" s="42"/>
      <c r="CR10" s="42"/>
      <c r="CS10" s="42"/>
    </row>
    <row r="11" ht="15.75" customHeight="1">
      <c r="A11" s="23" t="s">
        <v>563</v>
      </c>
      <c r="B11" s="23" t="s">
        <v>47</v>
      </c>
      <c r="C11" s="24" t="s">
        <v>1425</v>
      </c>
      <c r="D11" s="37" t="s">
        <v>1426</v>
      </c>
      <c r="E11" s="56"/>
      <c r="F11" s="23">
        <v>92376.0</v>
      </c>
      <c r="G11" s="23" t="s">
        <v>101</v>
      </c>
      <c r="H11" s="23" t="s">
        <v>117</v>
      </c>
      <c r="I11" s="56"/>
      <c r="J11" s="56"/>
      <c r="K11" s="23" t="s">
        <v>172</v>
      </c>
      <c r="L11" s="23" t="s">
        <v>89</v>
      </c>
      <c r="M11" s="23" t="s">
        <v>103</v>
      </c>
      <c r="N11" s="56"/>
      <c r="O11" s="25" t="s">
        <v>1427</v>
      </c>
      <c r="P11" s="26" t="s">
        <v>1428</v>
      </c>
      <c r="Q11" s="27" t="s">
        <v>1429</v>
      </c>
      <c r="R11" s="27" t="s">
        <v>1430</v>
      </c>
      <c r="S11" s="56"/>
      <c r="T11" s="56"/>
      <c r="U11" s="23" t="s">
        <v>420</v>
      </c>
      <c r="V11" s="56"/>
      <c r="W11" s="56"/>
      <c r="X11" s="23" t="s">
        <v>60</v>
      </c>
      <c r="Y11" s="23" t="s">
        <v>61</v>
      </c>
      <c r="Z11" s="23"/>
      <c r="AA11" s="23" t="s">
        <v>1431</v>
      </c>
      <c r="AB11" s="23" t="s">
        <v>2555</v>
      </c>
      <c r="AC11" s="23" t="s">
        <v>64</v>
      </c>
      <c r="AD11" s="28">
        <v>46063.0</v>
      </c>
      <c r="AE11" s="28">
        <v>46108.0</v>
      </c>
      <c r="AF11" s="28">
        <v>46108.0</v>
      </c>
      <c r="AG11" s="28"/>
      <c r="AH11" s="56"/>
      <c r="AI11" s="56"/>
      <c r="AJ11" s="56"/>
      <c r="AK11" s="56"/>
      <c r="AL11" s="56"/>
      <c r="AM11" s="56"/>
      <c r="AN11" s="56"/>
      <c r="AO11" s="291"/>
      <c r="AP11" s="24" t="s">
        <v>124</v>
      </c>
      <c r="AQ11" s="194" t="s">
        <v>1433</v>
      </c>
      <c r="AR11" s="30">
        <v>190000.0</v>
      </c>
      <c r="AS11" s="31">
        <v>0.03</v>
      </c>
      <c r="AT11" s="32">
        <f t="shared" si="1"/>
        <v>5700</v>
      </c>
      <c r="AU11" s="33">
        <v>595.0</v>
      </c>
      <c r="AV11" s="34">
        <v>500.0</v>
      </c>
      <c r="AW11" s="34">
        <v>0.0</v>
      </c>
      <c r="AX11" s="34">
        <v>1095.0</v>
      </c>
      <c r="AY11" s="34">
        <v>0.0</v>
      </c>
      <c r="AZ11" s="34">
        <v>0.0</v>
      </c>
      <c r="BA11" s="36">
        <v>0.0</v>
      </c>
      <c r="BB11" s="37" t="s">
        <v>47</v>
      </c>
      <c r="BC11" s="38">
        <f t="shared" si="2"/>
        <v>6795</v>
      </c>
      <c r="BD11" s="39">
        <f t="shared" si="3"/>
        <v>3445</v>
      </c>
      <c r="BE11" s="40">
        <f t="shared" si="4"/>
        <v>2850</v>
      </c>
      <c r="BF11" s="111"/>
      <c r="BG11" s="23"/>
      <c r="BH11" s="42"/>
      <c r="BI11" s="52"/>
      <c r="BJ11" s="23"/>
      <c r="BK11" s="56"/>
      <c r="BL11" s="56"/>
      <c r="BM11" s="56"/>
      <c r="BN11" s="56"/>
      <c r="BO11" s="56"/>
      <c r="BP11" s="56"/>
      <c r="BQ11" s="56"/>
      <c r="BR11" s="56"/>
      <c r="BS11" s="56"/>
      <c r="BT11" s="56"/>
      <c r="BU11" s="56"/>
      <c r="BV11" s="56"/>
      <c r="BW11" s="56"/>
      <c r="BX11" s="42"/>
      <c r="BY11" s="42"/>
      <c r="BZ11" s="42"/>
      <c r="CA11" s="42"/>
      <c r="CB11" s="42"/>
      <c r="CC11" s="42"/>
      <c r="CD11" s="42"/>
      <c r="CE11" s="42"/>
      <c r="CF11" s="42"/>
      <c r="CG11" s="42"/>
      <c r="CH11" s="42"/>
      <c r="CI11" s="42"/>
      <c r="CJ11" s="42"/>
      <c r="CK11" s="42"/>
      <c r="CL11" s="42"/>
      <c r="CM11" s="42"/>
      <c r="CN11" s="42"/>
      <c r="CO11" s="42"/>
      <c r="CP11" s="42"/>
      <c r="CQ11" s="42"/>
      <c r="CR11" s="42"/>
      <c r="CS11" s="42"/>
    </row>
    <row r="12">
      <c r="A12" s="23" t="s">
        <v>563</v>
      </c>
      <c r="B12" s="23" t="s">
        <v>47</v>
      </c>
      <c r="C12" s="24" t="s">
        <v>1318</v>
      </c>
      <c r="D12" s="23" t="s">
        <v>617</v>
      </c>
      <c r="E12" s="56"/>
      <c r="F12" s="23">
        <v>92008.0</v>
      </c>
      <c r="G12" s="23" t="s">
        <v>87</v>
      </c>
      <c r="H12" s="23" t="s">
        <v>1087</v>
      </c>
      <c r="I12" s="56"/>
      <c r="J12" s="56"/>
      <c r="K12" s="23" t="s">
        <v>73</v>
      </c>
      <c r="L12" s="50"/>
      <c r="M12" s="23" t="s">
        <v>103</v>
      </c>
      <c r="N12" s="56"/>
      <c r="O12" s="25" t="s">
        <v>1319</v>
      </c>
      <c r="P12" s="58" t="s">
        <v>1320</v>
      </c>
      <c r="Q12" s="26" t="s">
        <v>1321</v>
      </c>
      <c r="R12" s="27" t="s">
        <v>208</v>
      </c>
      <c r="S12" s="56"/>
      <c r="T12" s="56"/>
      <c r="U12" s="23" t="s">
        <v>1322</v>
      </c>
      <c r="V12" s="56"/>
      <c r="W12" s="56"/>
      <c r="X12" s="23" t="s">
        <v>60</v>
      </c>
      <c r="Y12" s="23" t="s">
        <v>61</v>
      </c>
      <c r="Z12" s="23"/>
      <c r="AA12" s="23" t="s">
        <v>1323</v>
      </c>
      <c r="AB12" s="23" t="s">
        <v>1324</v>
      </c>
      <c r="AC12" s="23" t="s">
        <v>64</v>
      </c>
      <c r="AD12" s="28">
        <v>46068.0</v>
      </c>
      <c r="AE12" s="28">
        <v>46086.0</v>
      </c>
      <c r="AF12" s="28">
        <v>46101.0</v>
      </c>
      <c r="AG12" s="28"/>
      <c r="AH12" s="56"/>
      <c r="AI12" s="56"/>
      <c r="AJ12" s="56"/>
      <c r="AK12" s="56"/>
      <c r="AL12" s="56"/>
      <c r="AM12" s="56"/>
      <c r="AN12" s="56"/>
      <c r="AO12" s="291"/>
      <c r="AP12" s="24" t="s">
        <v>414</v>
      </c>
      <c r="AQ12" s="23" t="s">
        <v>66</v>
      </c>
      <c r="AR12" s="30">
        <v>1195000.0</v>
      </c>
      <c r="AS12" s="31">
        <v>0.025</v>
      </c>
      <c r="AT12" s="32">
        <f t="shared" si="1"/>
        <v>29875</v>
      </c>
      <c r="AU12" s="33">
        <v>595.0</v>
      </c>
      <c r="AV12" s="34">
        <v>500.0</v>
      </c>
      <c r="AW12" s="34">
        <v>0.0</v>
      </c>
      <c r="AX12" s="34">
        <v>1095.0</v>
      </c>
      <c r="AY12" s="34">
        <v>0.0</v>
      </c>
      <c r="AZ12" s="34">
        <v>0.0</v>
      </c>
      <c r="BA12" s="36">
        <v>0.0</v>
      </c>
      <c r="BB12" s="37" t="s">
        <v>47</v>
      </c>
      <c r="BC12" s="38">
        <f t="shared" si="2"/>
        <v>30970</v>
      </c>
      <c r="BD12" s="39">
        <f t="shared" si="3"/>
        <v>15532.5</v>
      </c>
      <c r="BE12" s="40">
        <f t="shared" si="4"/>
        <v>14937.5</v>
      </c>
      <c r="BF12" s="111"/>
      <c r="BG12" s="23" t="s">
        <v>67</v>
      </c>
      <c r="BH12" s="42"/>
      <c r="BI12" s="52"/>
      <c r="BJ12" s="23"/>
      <c r="BK12" s="56"/>
      <c r="BL12" s="56"/>
      <c r="BM12" s="56"/>
      <c r="BN12" s="56"/>
      <c r="BO12" s="56"/>
      <c r="BP12" s="56"/>
      <c r="BQ12" s="56"/>
      <c r="BR12" s="56"/>
      <c r="BS12" s="56"/>
      <c r="BT12" s="56"/>
      <c r="BU12" s="56"/>
      <c r="BV12" s="56"/>
      <c r="BW12" s="56"/>
      <c r="BX12" s="42"/>
      <c r="BY12" s="42"/>
      <c r="BZ12" s="42"/>
      <c r="CA12" s="42"/>
      <c r="CB12" s="42"/>
      <c r="CC12" s="42"/>
      <c r="CD12" s="42"/>
      <c r="CE12" s="42"/>
      <c r="CF12" s="42"/>
      <c r="CG12" s="42"/>
      <c r="CH12" s="42"/>
      <c r="CI12" s="42"/>
      <c r="CJ12" s="42"/>
      <c r="CK12" s="42"/>
      <c r="CL12" s="42"/>
      <c r="CM12" s="42"/>
      <c r="CN12" s="42"/>
      <c r="CO12" s="42"/>
      <c r="CP12" s="42"/>
      <c r="CQ12" s="42"/>
      <c r="CR12" s="42"/>
      <c r="CS12" s="42"/>
    </row>
    <row r="13">
      <c r="A13" s="23" t="s">
        <v>563</v>
      </c>
      <c r="B13" s="23" t="s">
        <v>84</v>
      </c>
      <c r="C13" s="24" t="s">
        <v>1765</v>
      </c>
      <c r="D13" s="23" t="s">
        <v>1766</v>
      </c>
      <c r="E13" s="56"/>
      <c r="F13" s="23">
        <v>92548.0</v>
      </c>
      <c r="G13" s="23" t="s">
        <v>50</v>
      </c>
      <c r="H13" s="23" t="s">
        <v>399</v>
      </c>
      <c r="I13" s="56"/>
      <c r="J13" s="56"/>
      <c r="K13" s="23" t="s">
        <v>73</v>
      </c>
      <c r="L13" s="50"/>
      <c r="M13" s="23" t="s">
        <v>103</v>
      </c>
      <c r="N13" s="56"/>
      <c r="O13" s="49" t="s">
        <v>1767</v>
      </c>
      <c r="P13" s="49" t="s">
        <v>1768</v>
      </c>
      <c r="Q13" s="49" t="s">
        <v>1769</v>
      </c>
      <c r="R13" s="27" t="s">
        <v>92</v>
      </c>
      <c r="S13" s="56"/>
      <c r="T13" s="56"/>
      <c r="U13" s="47" t="s">
        <v>143</v>
      </c>
      <c r="V13" s="56"/>
      <c r="W13" s="56"/>
      <c r="X13" s="23" t="s">
        <v>93</v>
      </c>
      <c r="Y13" s="23" t="s">
        <v>132</v>
      </c>
      <c r="Z13" s="23" t="s">
        <v>94</v>
      </c>
      <c r="AA13" s="47" t="s">
        <v>680</v>
      </c>
      <c r="AB13" s="47" t="s">
        <v>680</v>
      </c>
      <c r="AC13" s="23" t="s">
        <v>64</v>
      </c>
      <c r="AD13" s="28">
        <v>46069.0</v>
      </c>
      <c r="AE13" s="28">
        <v>46080.0</v>
      </c>
      <c r="AF13" s="28">
        <v>46101.0</v>
      </c>
      <c r="AG13" s="28"/>
      <c r="AH13" s="56"/>
      <c r="AI13" s="56"/>
      <c r="AJ13" s="56"/>
      <c r="AK13" s="56"/>
      <c r="AL13" s="56"/>
      <c r="AM13" s="56"/>
      <c r="AN13" s="56"/>
      <c r="AO13" s="291"/>
      <c r="AP13" s="24" t="s">
        <v>124</v>
      </c>
      <c r="AQ13" s="23" t="s">
        <v>167</v>
      </c>
      <c r="AR13" s="30">
        <v>150000.0</v>
      </c>
      <c r="AS13" s="31">
        <v>0.02</v>
      </c>
      <c r="AT13" s="32">
        <f t="shared" si="1"/>
        <v>3000</v>
      </c>
      <c r="AU13" s="33">
        <v>595.0</v>
      </c>
      <c r="AV13" s="34">
        <v>500.0</v>
      </c>
      <c r="AW13" s="34">
        <v>250.0</v>
      </c>
      <c r="AX13" s="34">
        <v>1345.0</v>
      </c>
      <c r="AY13" s="34">
        <v>0.0</v>
      </c>
      <c r="AZ13" s="34">
        <v>0.0</v>
      </c>
      <c r="BA13" s="36">
        <v>0.0</v>
      </c>
      <c r="BB13" s="37" t="s">
        <v>212</v>
      </c>
      <c r="BC13" s="38">
        <f t="shared" si="2"/>
        <v>4345</v>
      </c>
      <c r="BD13" s="39">
        <f t="shared" si="3"/>
        <v>1195</v>
      </c>
      <c r="BE13" s="40">
        <f t="shared" si="4"/>
        <v>2400</v>
      </c>
      <c r="BF13" s="111"/>
      <c r="BG13" s="23"/>
      <c r="BH13" s="42"/>
      <c r="BI13" s="52"/>
      <c r="BJ13" s="23"/>
      <c r="BK13" s="56"/>
      <c r="BL13" s="56"/>
      <c r="BM13" s="56"/>
      <c r="BN13" s="56"/>
      <c r="BO13" s="56"/>
      <c r="BP13" s="56"/>
      <c r="BQ13" s="56"/>
      <c r="BR13" s="56"/>
      <c r="BS13" s="56"/>
      <c r="BT13" s="56"/>
      <c r="BU13" s="56"/>
      <c r="BV13" s="56"/>
      <c r="BW13" s="56"/>
      <c r="BX13" s="42"/>
      <c r="BY13" s="42"/>
      <c r="BZ13" s="42"/>
      <c r="CA13" s="42"/>
      <c r="CB13" s="42"/>
      <c r="CC13" s="42"/>
      <c r="CD13" s="42"/>
      <c r="CE13" s="42"/>
      <c r="CF13" s="42"/>
      <c r="CG13" s="42"/>
      <c r="CH13" s="42"/>
      <c r="CI13" s="42"/>
      <c r="CJ13" s="42"/>
      <c r="CK13" s="42"/>
      <c r="CL13" s="42"/>
      <c r="CM13" s="42"/>
      <c r="CN13" s="42"/>
      <c r="CO13" s="42"/>
      <c r="CP13" s="42"/>
      <c r="CQ13" s="42"/>
      <c r="CR13" s="42"/>
      <c r="CS13" s="42"/>
    </row>
    <row r="14">
      <c r="A14" s="23" t="s">
        <v>563</v>
      </c>
      <c r="B14" s="23" t="s">
        <v>47</v>
      </c>
      <c r="C14" s="24" t="s">
        <v>1765</v>
      </c>
      <c r="D14" s="23" t="s">
        <v>1766</v>
      </c>
      <c r="E14" s="56"/>
      <c r="F14" s="23">
        <v>92548.0</v>
      </c>
      <c r="G14" s="23" t="s">
        <v>50</v>
      </c>
      <c r="H14" s="23" t="s">
        <v>399</v>
      </c>
      <c r="I14" s="56"/>
      <c r="J14" s="56"/>
      <c r="K14" s="23" t="s">
        <v>73</v>
      </c>
      <c r="L14" s="23" t="s">
        <v>53</v>
      </c>
      <c r="M14" s="23" t="s">
        <v>103</v>
      </c>
      <c r="N14" s="56"/>
      <c r="O14" s="25" t="s">
        <v>1771</v>
      </c>
      <c r="P14" s="26" t="s">
        <v>1772</v>
      </c>
      <c r="Q14" s="26" t="s">
        <v>1773</v>
      </c>
      <c r="R14" s="27" t="s">
        <v>92</v>
      </c>
      <c r="S14" s="56"/>
      <c r="T14" s="56"/>
      <c r="U14" s="47" t="s">
        <v>143</v>
      </c>
      <c r="V14" s="56"/>
      <c r="W14" s="56"/>
      <c r="X14" s="23" t="s">
        <v>93</v>
      </c>
      <c r="Y14" s="23" t="s">
        <v>132</v>
      </c>
      <c r="Z14" s="23" t="s">
        <v>94</v>
      </c>
      <c r="AA14" s="47" t="s">
        <v>680</v>
      </c>
      <c r="AB14" s="47" t="s">
        <v>680</v>
      </c>
      <c r="AC14" s="23" t="s">
        <v>64</v>
      </c>
      <c r="AD14" s="28">
        <v>46069.0</v>
      </c>
      <c r="AE14" s="28">
        <v>46080.0</v>
      </c>
      <c r="AF14" s="28">
        <v>46101.0</v>
      </c>
      <c r="AG14" s="28"/>
      <c r="AH14" s="56"/>
      <c r="AI14" s="56"/>
      <c r="AJ14" s="56"/>
      <c r="AK14" s="56"/>
      <c r="AL14" s="56"/>
      <c r="AM14" s="56"/>
      <c r="AN14" s="56"/>
      <c r="AO14" s="291"/>
      <c r="AP14" s="24" t="s">
        <v>124</v>
      </c>
      <c r="AQ14" s="23" t="s">
        <v>167</v>
      </c>
      <c r="AR14" s="30">
        <v>150000.0</v>
      </c>
      <c r="AS14" s="31">
        <v>0.02</v>
      </c>
      <c r="AT14" s="32">
        <f t="shared" si="1"/>
        <v>3000</v>
      </c>
      <c r="AU14" s="33">
        <v>595.0</v>
      </c>
      <c r="AV14" s="34">
        <v>200.0</v>
      </c>
      <c r="AW14" s="34">
        <v>0.0</v>
      </c>
      <c r="AX14" s="34">
        <v>0.0</v>
      </c>
      <c r="AY14" s="34">
        <v>0.0</v>
      </c>
      <c r="AZ14" s="34">
        <v>0.0</v>
      </c>
      <c r="BA14" s="36">
        <v>0.0</v>
      </c>
      <c r="BB14" s="37" t="s">
        <v>212</v>
      </c>
      <c r="BC14" s="38">
        <f t="shared" si="2"/>
        <v>3000</v>
      </c>
      <c r="BD14" s="39">
        <f t="shared" si="3"/>
        <v>1195</v>
      </c>
      <c r="BE14" s="40">
        <f t="shared" si="4"/>
        <v>1605</v>
      </c>
      <c r="BF14" s="111"/>
      <c r="BG14" s="23"/>
      <c r="BH14" s="42"/>
      <c r="BI14" s="23" t="s">
        <v>2556</v>
      </c>
      <c r="BJ14" s="23" t="s">
        <v>69</v>
      </c>
      <c r="BK14" s="56"/>
      <c r="BL14" s="56"/>
      <c r="BM14" s="56"/>
      <c r="BN14" s="56"/>
      <c r="BO14" s="56"/>
      <c r="BP14" s="56"/>
      <c r="BQ14" s="56"/>
      <c r="BR14" s="56"/>
      <c r="BS14" s="56"/>
      <c r="BT14" s="56"/>
      <c r="BU14" s="56"/>
      <c r="BV14" s="56"/>
      <c r="BW14" s="56"/>
      <c r="BX14" s="42"/>
      <c r="BY14" s="42"/>
      <c r="BZ14" s="42"/>
      <c r="CA14" s="42"/>
      <c r="CB14" s="42"/>
      <c r="CC14" s="42"/>
      <c r="CD14" s="42"/>
      <c r="CE14" s="42"/>
      <c r="CF14" s="42"/>
      <c r="CG14" s="42"/>
      <c r="CH14" s="42"/>
      <c r="CI14" s="42"/>
      <c r="CJ14" s="42"/>
      <c r="CK14" s="42"/>
      <c r="CL14" s="42"/>
      <c r="CM14" s="42"/>
      <c r="CN14" s="42"/>
      <c r="CO14" s="42"/>
      <c r="CP14" s="42"/>
      <c r="CQ14" s="42"/>
      <c r="CR14" s="42"/>
      <c r="CS14" s="42"/>
    </row>
    <row r="15">
      <c r="A15" s="23" t="s">
        <v>563</v>
      </c>
      <c r="B15" s="23" t="s">
        <v>84</v>
      </c>
      <c r="C15" s="24" t="s">
        <v>1624</v>
      </c>
      <c r="D15" s="23" t="s">
        <v>100</v>
      </c>
      <c r="E15" s="56"/>
      <c r="F15" s="23">
        <v>92395.0</v>
      </c>
      <c r="G15" s="23" t="s">
        <v>101</v>
      </c>
      <c r="H15" s="37" t="s">
        <v>88</v>
      </c>
      <c r="I15" s="56"/>
      <c r="J15" s="56"/>
      <c r="K15" s="23" t="s">
        <v>52</v>
      </c>
      <c r="L15" s="50"/>
      <c r="M15" s="23" t="s">
        <v>54</v>
      </c>
      <c r="N15" s="56"/>
      <c r="O15" s="25" t="s">
        <v>1625</v>
      </c>
      <c r="P15" s="26" t="s">
        <v>1626</v>
      </c>
      <c r="Q15" s="26" t="s">
        <v>1627</v>
      </c>
      <c r="R15" s="27" t="s">
        <v>92</v>
      </c>
      <c r="S15" s="56"/>
      <c r="T15" s="56"/>
      <c r="U15" s="23" t="s">
        <v>1628</v>
      </c>
      <c r="V15" s="56"/>
      <c r="W15" s="56"/>
      <c r="X15" s="23" t="s">
        <v>60</v>
      </c>
      <c r="Y15" s="23" t="s">
        <v>132</v>
      </c>
      <c r="Z15" s="23" t="s">
        <v>94</v>
      </c>
      <c r="AA15" s="23" t="s">
        <v>2349</v>
      </c>
      <c r="AB15" s="23" t="s">
        <v>2350</v>
      </c>
      <c r="AC15" s="23" t="s">
        <v>64</v>
      </c>
      <c r="AD15" s="28">
        <v>46070.0</v>
      </c>
      <c r="AE15" s="28">
        <v>46100.0</v>
      </c>
      <c r="AF15" s="28">
        <v>46118.0</v>
      </c>
      <c r="AG15" s="28"/>
      <c r="AH15" s="56"/>
      <c r="AI15" s="56"/>
      <c r="AJ15" s="56"/>
      <c r="AK15" s="56"/>
      <c r="AL15" s="56"/>
      <c r="AM15" s="56"/>
      <c r="AN15" s="56"/>
      <c r="AO15" s="291"/>
      <c r="AP15" s="24" t="s">
        <v>65</v>
      </c>
      <c r="AQ15" s="23" t="s">
        <v>66</v>
      </c>
      <c r="AR15" s="30">
        <v>460000.0</v>
      </c>
      <c r="AS15" s="31">
        <v>0.045</v>
      </c>
      <c r="AT15" s="32">
        <f t="shared" si="1"/>
        <v>20700</v>
      </c>
      <c r="AU15" s="33">
        <v>595.0</v>
      </c>
      <c r="AV15" s="34">
        <v>500.0</v>
      </c>
      <c r="AW15" s="34" t="s">
        <v>82</v>
      </c>
      <c r="AX15" s="34">
        <v>1395.0</v>
      </c>
      <c r="AY15" s="34">
        <v>0.0</v>
      </c>
      <c r="AZ15" s="35">
        <f>sum(AT15,-AY15)*0.4</f>
        <v>8280</v>
      </c>
      <c r="BA15" s="36">
        <v>0.0</v>
      </c>
      <c r="BB15" s="37" t="s">
        <v>84</v>
      </c>
      <c r="BC15" s="38">
        <f t="shared" si="2"/>
        <v>13815</v>
      </c>
      <c r="BD15" s="39">
        <f t="shared" si="3"/>
        <v>6805</v>
      </c>
      <c r="BE15" s="40">
        <f t="shared" si="4"/>
        <v>6510</v>
      </c>
      <c r="BF15" s="111"/>
      <c r="BG15" s="23" t="s">
        <v>67</v>
      </c>
      <c r="BH15" s="42"/>
      <c r="BI15" s="52"/>
      <c r="BJ15" s="23"/>
      <c r="BK15" s="56"/>
      <c r="BL15" s="56"/>
      <c r="BM15" s="56"/>
      <c r="BN15" s="56"/>
      <c r="BO15" s="56"/>
      <c r="BP15" s="56"/>
      <c r="BQ15" s="56"/>
      <c r="BR15" s="56"/>
      <c r="BS15" s="56"/>
      <c r="BT15" s="56"/>
      <c r="BU15" s="56"/>
      <c r="BV15" s="56"/>
      <c r="BW15" s="56"/>
      <c r="BX15" s="42"/>
      <c r="BY15" s="42"/>
      <c r="BZ15" s="42"/>
      <c r="CA15" s="42"/>
      <c r="CB15" s="42"/>
      <c r="CC15" s="42"/>
      <c r="CD15" s="42"/>
      <c r="CE15" s="42"/>
      <c r="CF15" s="42"/>
      <c r="CG15" s="42"/>
      <c r="CH15" s="42"/>
      <c r="CI15" s="42"/>
      <c r="CJ15" s="42"/>
      <c r="CK15" s="42"/>
      <c r="CL15" s="42"/>
      <c r="CM15" s="42"/>
      <c r="CN15" s="42"/>
      <c r="CO15" s="42"/>
      <c r="CP15" s="42"/>
      <c r="CQ15" s="42"/>
      <c r="CR15" s="42"/>
      <c r="CS15" s="42"/>
    </row>
    <row r="16">
      <c r="A16" s="23" t="s">
        <v>563</v>
      </c>
      <c r="B16" s="23" t="s">
        <v>84</v>
      </c>
      <c r="C16" s="24" t="s">
        <v>1295</v>
      </c>
      <c r="D16" s="23" t="s">
        <v>270</v>
      </c>
      <c r="E16" s="56"/>
      <c r="F16" s="23">
        <v>91942.0</v>
      </c>
      <c r="G16" s="23" t="s">
        <v>87</v>
      </c>
      <c r="H16" s="23" t="s">
        <v>376</v>
      </c>
      <c r="I16" s="56"/>
      <c r="J16" s="56"/>
      <c r="K16" s="23" t="s">
        <v>52</v>
      </c>
      <c r="L16" s="50"/>
      <c r="M16" s="23" t="s">
        <v>103</v>
      </c>
      <c r="N16" s="56"/>
      <c r="O16" s="25" t="s">
        <v>786</v>
      </c>
      <c r="P16" s="26" t="s">
        <v>1296</v>
      </c>
      <c r="Q16" s="26" t="s">
        <v>1297</v>
      </c>
      <c r="R16" s="27" t="s">
        <v>92</v>
      </c>
      <c r="S16" s="56"/>
      <c r="T16" s="56"/>
      <c r="U16" s="23" t="s">
        <v>1298</v>
      </c>
      <c r="V16" s="56"/>
      <c r="W16" s="56"/>
      <c r="X16" s="23" t="s">
        <v>60</v>
      </c>
      <c r="Y16" s="23" t="s">
        <v>132</v>
      </c>
      <c r="Z16" s="23" t="s">
        <v>94</v>
      </c>
      <c r="AA16" s="23" t="s">
        <v>1299</v>
      </c>
      <c r="AB16" s="23" t="s">
        <v>1300</v>
      </c>
      <c r="AC16" s="23" t="s">
        <v>64</v>
      </c>
      <c r="AD16" s="28">
        <v>46071.0</v>
      </c>
      <c r="AE16" s="28">
        <v>46101.0</v>
      </c>
      <c r="AF16" s="28">
        <v>46100.0</v>
      </c>
      <c r="AG16" s="28"/>
      <c r="AH16" s="56"/>
      <c r="AI16" s="56"/>
      <c r="AJ16" s="56"/>
      <c r="AK16" s="56"/>
      <c r="AL16" s="56"/>
      <c r="AM16" s="56"/>
      <c r="AN16" s="56"/>
      <c r="AO16" s="291"/>
      <c r="AP16" s="24" t="s">
        <v>65</v>
      </c>
      <c r="AQ16" s="23" t="s">
        <v>262</v>
      </c>
      <c r="AR16" s="30">
        <v>712000.0</v>
      </c>
      <c r="AS16" s="51">
        <v>0.0</v>
      </c>
      <c r="AT16" s="62">
        <v>589.0</v>
      </c>
      <c r="AU16" s="33" t="s">
        <v>93</v>
      </c>
      <c r="AV16" s="34">
        <v>0.0</v>
      </c>
      <c r="AW16" s="34">
        <v>0.0</v>
      </c>
      <c r="AX16" s="34">
        <v>0.0</v>
      </c>
      <c r="AY16" s="34">
        <v>0.0</v>
      </c>
      <c r="AZ16" s="34">
        <v>0.0</v>
      </c>
      <c r="BA16" s="36">
        <v>0.0</v>
      </c>
      <c r="BB16" s="37" t="s">
        <v>84</v>
      </c>
      <c r="BC16" s="38">
        <f t="shared" si="2"/>
        <v>1184</v>
      </c>
      <c r="BD16" s="39">
        <f t="shared" si="3"/>
        <v>889.5</v>
      </c>
      <c r="BE16" s="40">
        <f t="shared" si="4"/>
        <v>294.5</v>
      </c>
      <c r="BF16" s="111"/>
      <c r="BG16" s="23" t="s">
        <v>67</v>
      </c>
      <c r="BH16" s="42"/>
      <c r="BI16" s="52"/>
      <c r="BJ16" s="23"/>
      <c r="BK16" s="56"/>
      <c r="BL16" s="56"/>
      <c r="BM16" s="56"/>
      <c r="BN16" s="56"/>
      <c r="BO16" s="56"/>
      <c r="BP16" s="56"/>
      <c r="BQ16" s="56"/>
      <c r="BR16" s="56"/>
      <c r="BS16" s="56"/>
      <c r="BT16" s="56"/>
      <c r="BU16" s="56"/>
      <c r="BV16" s="56"/>
      <c r="BW16" s="56"/>
      <c r="BX16" s="42"/>
      <c r="BY16" s="42"/>
      <c r="BZ16" s="42"/>
      <c r="CA16" s="42"/>
      <c r="CB16" s="42"/>
      <c r="CC16" s="42"/>
      <c r="CD16" s="42"/>
      <c r="CE16" s="42"/>
      <c r="CF16" s="42"/>
      <c r="CG16" s="42"/>
      <c r="CH16" s="42"/>
      <c r="CI16" s="42"/>
      <c r="CJ16" s="42"/>
      <c r="CK16" s="42"/>
      <c r="CL16" s="42"/>
      <c r="CM16" s="42"/>
      <c r="CN16" s="42"/>
      <c r="CO16" s="42"/>
      <c r="CP16" s="42"/>
      <c r="CQ16" s="42"/>
      <c r="CR16" s="42"/>
      <c r="CS16" s="42"/>
    </row>
    <row r="17">
      <c r="A17" s="23" t="s">
        <v>563</v>
      </c>
      <c r="B17" s="23" t="s">
        <v>47</v>
      </c>
      <c r="C17" s="24" t="s">
        <v>1631</v>
      </c>
      <c r="D17" s="23" t="s">
        <v>1632</v>
      </c>
      <c r="E17" s="56"/>
      <c r="F17" s="23">
        <v>92223.0</v>
      </c>
      <c r="G17" s="23" t="s">
        <v>50</v>
      </c>
      <c r="H17" s="23" t="s">
        <v>332</v>
      </c>
      <c r="I17" s="56"/>
      <c r="J17" s="56"/>
      <c r="K17" s="23" t="s">
        <v>73</v>
      </c>
      <c r="L17" s="50"/>
      <c r="M17" s="23" t="s">
        <v>103</v>
      </c>
      <c r="N17" s="56"/>
      <c r="O17" s="25" t="s">
        <v>1633</v>
      </c>
      <c r="P17" s="26" t="s">
        <v>1634</v>
      </c>
      <c r="Q17" s="27" t="s">
        <v>1635</v>
      </c>
      <c r="R17" s="27" t="s">
        <v>1636</v>
      </c>
      <c r="S17" s="56"/>
      <c r="T17" s="56"/>
      <c r="U17" s="23" t="s">
        <v>1637</v>
      </c>
      <c r="V17" s="56"/>
      <c r="W17" s="56"/>
      <c r="X17" s="23" t="s">
        <v>558</v>
      </c>
      <c r="Y17" s="23" t="s">
        <v>61</v>
      </c>
      <c r="Z17" s="23"/>
      <c r="AA17" s="23" t="s">
        <v>1638</v>
      </c>
      <c r="AB17" s="23" t="s">
        <v>1639</v>
      </c>
      <c r="AC17" s="23" t="s">
        <v>64</v>
      </c>
      <c r="AD17" s="28">
        <v>46072.0</v>
      </c>
      <c r="AE17" s="28">
        <v>46104.0</v>
      </c>
      <c r="AF17" s="28">
        <v>46104.0</v>
      </c>
      <c r="AG17" s="28"/>
      <c r="AH17" s="56"/>
      <c r="AI17" s="56"/>
      <c r="AJ17" s="56"/>
      <c r="AK17" s="56"/>
      <c r="AL17" s="56"/>
      <c r="AM17" s="56"/>
      <c r="AN17" s="56"/>
      <c r="AO17" s="291"/>
      <c r="AP17" s="24" t="s">
        <v>558</v>
      </c>
      <c r="AQ17" s="23" t="s">
        <v>145</v>
      </c>
      <c r="AR17" s="30">
        <v>237500.0</v>
      </c>
      <c r="AS17" s="31">
        <v>0.025</v>
      </c>
      <c r="AT17" s="32">
        <f t="shared" ref="AT17:AT20" si="6">SUM(AR17*AS17)</f>
        <v>5937.5</v>
      </c>
      <c r="AU17" s="33">
        <v>595.0</v>
      </c>
      <c r="AV17" s="34">
        <v>500.0</v>
      </c>
      <c r="AW17" s="34">
        <v>0.0</v>
      </c>
      <c r="AX17" s="34">
        <v>1095.0</v>
      </c>
      <c r="AY17" s="34">
        <v>0.0</v>
      </c>
      <c r="AZ17" s="35">
        <f t="shared" ref="AZ17:AZ19" si="7">sum(AT17,-AY17)*0.4</f>
        <v>2375</v>
      </c>
      <c r="BA17" s="36">
        <v>0.0</v>
      </c>
      <c r="BB17" s="37" t="s">
        <v>47</v>
      </c>
      <c r="BC17" s="38">
        <f t="shared" si="2"/>
        <v>4657.5</v>
      </c>
      <c r="BD17" s="39">
        <f t="shared" si="3"/>
        <v>2376.25</v>
      </c>
      <c r="BE17" s="40">
        <f t="shared" si="4"/>
        <v>1781.25</v>
      </c>
      <c r="BF17" s="111"/>
      <c r="BG17" s="23" t="s">
        <v>67</v>
      </c>
      <c r="BH17" s="42"/>
      <c r="BI17" s="52"/>
      <c r="BJ17" s="23"/>
      <c r="BK17" s="56"/>
      <c r="BL17" s="56"/>
      <c r="BM17" s="56"/>
      <c r="BN17" s="56"/>
      <c r="BO17" s="56"/>
      <c r="BP17" s="56"/>
      <c r="BQ17" s="56"/>
      <c r="BR17" s="56"/>
      <c r="BS17" s="56"/>
      <c r="BT17" s="56"/>
      <c r="BU17" s="56"/>
      <c r="BV17" s="56"/>
      <c r="BW17" s="56"/>
      <c r="BX17" s="42"/>
      <c r="BY17" s="42"/>
      <c r="BZ17" s="42"/>
      <c r="CA17" s="42"/>
      <c r="CB17" s="42"/>
      <c r="CC17" s="42"/>
      <c r="CD17" s="42"/>
      <c r="CE17" s="42"/>
      <c r="CF17" s="42"/>
      <c r="CG17" s="42"/>
      <c r="CH17" s="42"/>
      <c r="CI17" s="42"/>
      <c r="CJ17" s="42"/>
      <c r="CK17" s="42"/>
      <c r="CL17" s="42"/>
      <c r="CM17" s="42"/>
      <c r="CN17" s="42"/>
      <c r="CO17" s="42"/>
      <c r="CP17" s="42"/>
      <c r="CQ17" s="42"/>
      <c r="CR17" s="42"/>
      <c r="CS17" s="42"/>
    </row>
    <row r="18">
      <c r="A18" s="23" t="s">
        <v>563</v>
      </c>
      <c r="B18" s="23" t="s">
        <v>47</v>
      </c>
      <c r="C18" s="24" t="s">
        <v>1310</v>
      </c>
      <c r="D18" s="23" t="s">
        <v>49</v>
      </c>
      <c r="E18" s="56"/>
      <c r="F18" s="23">
        <v>92584.0</v>
      </c>
      <c r="G18" s="23" t="s">
        <v>50</v>
      </c>
      <c r="H18" s="23" t="s">
        <v>117</v>
      </c>
      <c r="I18" s="56"/>
      <c r="J18" s="56"/>
      <c r="K18" s="23" t="s">
        <v>172</v>
      </c>
      <c r="L18" s="50"/>
      <c r="M18" s="23" t="s">
        <v>103</v>
      </c>
      <c r="N18" s="56"/>
      <c r="O18" s="25" t="s">
        <v>1311</v>
      </c>
      <c r="P18" s="26" t="s">
        <v>1312</v>
      </c>
      <c r="Q18" s="27" t="s">
        <v>1313</v>
      </c>
      <c r="R18" s="27" t="s">
        <v>1314</v>
      </c>
      <c r="S18" s="56"/>
      <c r="T18" s="56"/>
      <c r="U18" s="23" t="s">
        <v>1315</v>
      </c>
      <c r="V18" s="56"/>
      <c r="W18" s="56"/>
      <c r="X18" s="23" t="s">
        <v>60</v>
      </c>
      <c r="Y18" s="23" t="s">
        <v>61</v>
      </c>
      <c r="Z18" s="23" t="s">
        <v>859</v>
      </c>
      <c r="AA18" s="23" t="s">
        <v>1316</v>
      </c>
      <c r="AB18" s="23" t="s">
        <v>1317</v>
      </c>
      <c r="AC18" s="23" t="s">
        <v>64</v>
      </c>
      <c r="AD18" s="28">
        <v>46073.0</v>
      </c>
      <c r="AE18" s="28">
        <v>46104.0</v>
      </c>
      <c r="AF18" s="28">
        <v>46104.0</v>
      </c>
      <c r="AG18" s="28"/>
      <c r="AH18" s="56"/>
      <c r="AI18" s="56"/>
      <c r="AJ18" s="56"/>
      <c r="AK18" s="56"/>
      <c r="AL18" s="56"/>
      <c r="AM18" s="56"/>
      <c r="AN18" s="56"/>
      <c r="AO18" s="291"/>
      <c r="AP18" s="24" t="s">
        <v>65</v>
      </c>
      <c r="AQ18" s="23" t="s">
        <v>66</v>
      </c>
      <c r="AR18" s="30">
        <v>577000.0</v>
      </c>
      <c r="AS18" s="31">
        <v>0.025</v>
      </c>
      <c r="AT18" s="32">
        <f t="shared" si="6"/>
        <v>14425</v>
      </c>
      <c r="AU18" s="33">
        <v>595.0</v>
      </c>
      <c r="AV18" s="34">
        <v>500.0</v>
      </c>
      <c r="AW18" s="34">
        <v>0.0</v>
      </c>
      <c r="AX18" s="34">
        <v>1095.0</v>
      </c>
      <c r="AY18" s="34">
        <v>0.0</v>
      </c>
      <c r="AZ18" s="35">
        <f t="shared" si="7"/>
        <v>5770</v>
      </c>
      <c r="BA18" s="36">
        <v>0.0</v>
      </c>
      <c r="BB18" s="37" t="s">
        <v>47</v>
      </c>
      <c r="BC18" s="38">
        <f t="shared" si="2"/>
        <v>9750</v>
      </c>
      <c r="BD18" s="39">
        <f t="shared" si="3"/>
        <v>4922.5</v>
      </c>
      <c r="BE18" s="40">
        <f t="shared" si="4"/>
        <v>4327.5</v>
      </c>
      <c r="BF18" s="111"/>
      <c r="BG18" s="23" t="s">
        <v>67</v>
      </c>
      <c r="BH18" s="42"/>
      <c r="BI18" s="52"/>
      <c r="BJ18" s="23"/>
      <c r="BK18" s="56"/>
      <c r="BL18" s="56"/>
      <c r="BM18" s="56"/>
      <c r="BN18" s="56"/>
      <c r="BO18" s="56"/>
      <c r="BP18" s="56"/>
      <c r="BQ18" s="56"/>
      <c r="BR18" s="56"/>
      <c r="BS18" s="56"/>
      <c r="BT18" s="56"/>
      <c r="BU18" s="56"/>
      <c r="BV18" s="56"/>
      <c r="BW18" s="56"/>
      <c r="BX18" s="42"/>
      <c r="BY18" s="42"/>
      <c r="BZ18" s="42"/>
      <c r="CA18" s="42"/>
      <c r="CB18" s="42"/>
      <c r="CC18" s="42"/>
      <c r="CD18" s="42"/>
      <c r="CE18" s="42"/>
      <c r="CF18" s="42"/>
      <c r="CG18" s="42"/>
      <c r="CH18" s="42"/>
      <c r="CI18" s="42"/>
      <c r="CJ18" s="42"/>
      <c r="CK18" s="42"/>
      <c r="CL18" s="42"/>
      <c r="CM18" s="42"/>
      <c r="CN18" s="42"/>
      <c r="CO18" s="42"/>
      <c r="CP18" s="42"/>
      <c r="CQ18" s="42"/>
      <c r="CR18" s="42"/>
      <c r="CS18" s="42"/>
    </row>
    <row r="19">
      <c r="A19" s="23" t="s">
        <v>1418</v>
      </c>
      <c r="B19" s="23" t="s">
        <v>47</v>
      </c>
      <c r="C19" s="24" t="s">
        <v>1530</v>
      </c>
      <c r="D19" s="23" t="s">
        <v>86</v>
      </c>
      <c r="E19" s="56"/>
      <c r="F19" s="23">
        <v>92057.0</v>
      </c>
      <c r="G19" s="23" t="s">
        <v>87</v>
      </c>
      <c r="H19" s="23" t="s">
        <v>390</v>
      </c>
      <c r="I19" s="56"/>
      <c r="J19" s="56"/>
      <c r="K19" s="23" t="s">
        <v>172</v>
      </c>
      <c r="L19" s="50"/>
      <c r="M19" s="23" t="s">
        <v>103</v>
      </c>
      <c r="N19" s="56"/>
      <c r="O19" s="25" t="s">
        <v>1531</v>
      </c>
      <c r="P19" s="26" t="s">
        <v>1532</v>
      </c>
      <c r="Q19" s="26" t="s">
        <v>1533</v>
      </c>
      <c r="R19" s="27" t="s">
        <v>1534</v>
      </c>
      <c r="S19" s="56"/>
      <c r="T19" s="56"/>
      <c r="U19" s="47" t="s">
        <v>143</v>
      </c>
      <c r="V19" s="56"/>
      <c r="W19" s="56"/>
      <c r="X19" s="23" t="s">
        <v>60</v>
      </c>
      <c r="Y19" s="23" t="s">
        <v>61</v>
      </c>
      <c r="Z19" s="23"/>
      <c r="AA19" s="23" t="s">
        <v>1535</v>
      </c>
      <c r="AB19" s="23" t="s">
        <v>1536</v>
      </c>
      <c r="AC19" s="23" t="s">
        <v>64</v>
      </c>
      <c r="AD19" s="28">
        <v>46073.0</v>
      </c>
      <c r="AE19" s="28">
        <v>46122.0</v>
      </c>
      <c r="AF19" s="28">
        <v>46122.0</v>
      </c>
      <c r="AG19" s="28"/>
      <c r="AH19" s="56"/>
      <c r="AI19" s="56"/>
      <c r="AJ19" s="56"/>
      <c r="AK19" s="56"/>
      <c r="AL19" s="56"/>
      <c r="AM19" s="56"/>
      <c r="AN19" s="56"/>
      <c r="AO19" s="291"/>
      <c r="AP19" s="24" t="s">
        <v>124</v>
      </c>
      <c r="AQ19" s="23" t="s">
        <v>66</v>
      </c>
      <c r="AR19" s="30">
        <v>269999.0</v>
      </c>
      <c r="AS19" s="31">
        <v>0.025</v>
      </c>
      <c r="AT19" s="32">
        <f t="shared" si="6"/>
        <v>6749.975</v>
      </c>
      <c r="AU19" s="33">
        <v>595.0</v>
      </c>
      <c r="AV19" s="34">
        <v>500.0</v>
      </c>
      <c r="AW19" s="34">
        <v>0.0</v>
      </c>
      <c r="AX19" s="34">
        <v>1095.0</v>
      </c>
      <c r="AY19" s="34">
        <v>0.0</v>
      </c>
      <c r="AZ19" s="35">
        <f t="shared" si="7"/>
        <v>2699.99</v>
      </c>
      <c r="BA19" s="36">
        <v>0.0</v>
      </c>
      <c r="BB19" s="37" t="s">
        <v>47</v>
      </c>
      <c r="BC19" s="38">
        <f t="shared" si="2"/>
        <v>5144.985</v>
      </c>
      <c r="BD19" s="39">
        <f t="shared" si="3"/>
        <v>2619.9925</v>
      </c>
      <c r="BE19" s="40">
        <f t="shared" si="4"/>
        <v>2024.9925</v>
      </c>
      <c r="BF19" s="111"/>
      <c r="BG19" s="23"/>
      <c r="BH19" s="42"/>
      <c r="BI19" s="52"/>
      <c r="BJ19" s="23"/>
      <c r="BK19" s="56"/>
      <c r="BL19" s="56"/>
      <c r="BM19" s="56"/>
      <c r="BN19" s="56"/>
      <c r="BO19" s="56"/>
      <c r="BP19" s="56"/>
      <c r="BQ19" s="56"/>
      <c r="BR19" s="56"/>
      <c r="BS19" s="56"/>
      <c r="BT19" s="56"/>
      <c r="BU19" s="56"/>
      <c r="BV19" s="56"/>
      <c r="BW19" s="56"/>
      <c r="BX19" s="42"/>
      <c r="BY19" s="42"/>
      <c r="BZ19" s="42"/>
      <c r="CA19" s="42"/>
      <c r="CB19" s="42"/>
      <c r="CC19" s="42"/>
      <c r="CD19" s="42"/>
      <c r="CE19" s="42"/>
      <c r="CF19" s="42"/>
      <c r="CG19" s="42"/>
      <c r="CH19" s="42"/>
      <c r="CI19" s="42"/>
      <c r="CJ19" s="42"/>
      <c r="CK19" s="42"/>
      <c r="CL19" s="42"/>
      <c r="CM19" s="42"/>
      <c r="CN19" s="42"/>
      <c r="CO19" s="42"/>
      <c r="CP19" s="42"/>
      <c r="CQ19" s="42"/>
      <c r="CR19" s="42"/>
      <c r="CS19" s="42"/>
    </row>
    <row r="20">
      <c r="A20" s="23" t="s">
        <v>563</v>
      </c>
      <c r="B20" s="23" t="s">
        <v>84</v>
      </c>
      <c r="C20" s="24" t="s">
        <v>1302</v>
      </c>
      <c r="D20" s="23" t="s">
        <v>49</v>
      </c>
      <c r="E20" s="56"/>
      <c r="F20" s="23">
        <v>92586.0</v>
      </c>
      <c r="G20" s="23" t="s">
        <v>50</v>
      </c>
      <c r="H20" s="23" t="s">
        <v>1303</v>
      </c>
      <c r="I20" s="56"/>
      <c r="J20" s="56"/>
      <c r="K20" s="23" t="s">
        <v>52</v>
      </c>
      <c r="L20" s="50"/>
      <c r="M20" s="23" t="s">
        <v>54</v>
      </c>
      <c r="N20" s="56"/>
      <c r="O20" s="25" t="s">
        <v>1304</v>
      </c>
      <c r="P20" s="26" t="s">
        <v>1305</v>
      </c>
      <c r="Q20" s="26" t="s">
        <v>1306</v>
      </c>
      <c r="R20" s="27" t="s">
        <v>92</v>
      </c>
      <c r="S20" s="56"/>
      <c r="T20" s="56"/>
      <c r="U20" s="23" t="s">
        <v>1307</v>
      </c>
      <c r="V20" s="56"/>
      <c r="W20" s="56"/>
      <c r="X20" s="23" t="s">
        <v>60</v>
      </c>
      <c r="Y20" s="23" t="s">
        <v>61</v>
      </c>
      <c r="Z20" s="23" t="s">
        <v>94</v>
      </c>
      <c r="AA20" s="23" t="s">
        <v>1308</v>
      </c>
      <c r="AB20" s="23" t="s">
        <v>1309</v>
      </c>
      <c r="AC20" s="23" t="s">
        <v>64</v>
      </c>
      <c r="AD20" s="28">
        <v>46074.0</v>
      </c>
      <c r="AE20" s="28">
        <v>46104.0</v>
      </c>
      <c r="AF20" s="28">
        <v>46104.0</v>
      </c>
      <c r="AG20" s="28"/>
      <c r="AH20" s="56"/>
      <c r="AI20" s="56"/>
      <c r="AJ20" s="56"/>
      <c r="AK20" s="56"/>
      <c r="AL20" s="56"/>
      <c r="AM20" s="56"/>
      <c r="AN20" s="56"/>
      <c r="AO20" s="291"/>
      <c r="AP20" s="24" t="s">
        <v>65</v>
      </c>
      <c r="AQ20" s="23" t="s">
        <v>485</v>
      </c>
      <c r="AR20" s="30">
        <v>360000.0</v>
      </c>
      <c r="AS20" s="31">
        <v>0.05</v>
      </c>
      <c r="AT20" s="32">
        <f t="shared" si="6"/>
        <v>18000</v>
      </c>
      <c r="AU20" s="33">
        <v>595.0</v>
      </c>
      <c r="AV20" s="34">
        <v>500.0</v>
      </c>
      <c r="AW20" s="34" t="s">
        <v>82</v>
      </c>
      <c r="AX20" s="34">
        <v>1195.0</v>
      </c>
      <c r="AY20" s="34">
        <v>740.0</v>
      </c>
      <c r="AZ20" s="34">
        <v>0.0</v>
      </c>
      <c r="BA20" s="36">
        <v>0.0</v>
      </c>
      <c r="BB20" s="37" t="s">
        <v>84</v>
      </c>
      <c r="BC20" s="38">
        <f t="shared" si="2"/>
        <v>18455</v>
      </c>
      <c r="BD20" s="39">
        <f t="shared" si="3"/>
        <v>9225</v>
      </c>
      <c r="BE20" s="40">
        <f t="shared" si="4"/>
        <v>8730</v>
      </c>
      <c r="BF20" s="111"/>
      <c r="BG20" s="23" t="s">
        <v>67</v>
      </c>
      <c r="BH20" s="42"/>
      <c r="BI20" s="52"/>
      <c r="BJ20" s="23"/>
      <c r="BK20" s="56"/>
      <c r="BL20" s="56"/>
      <c r="BM20" s="56"/>
      <c r="BN20" s="56"/>
      <c r="BO20" s="56"/>
      <c r="BP20" s="56"/>
      <c r="BQ20" s="56"/>
      <c r="BR20" s="56"/>
      <c r="BS20" s="56"/>
      <c r="BT20" s="56"/>
      <c r="BU20" s="56"/>
      <c r="BV20" s="56"/>
      <c r="BW20" s="56"/>
      <c r="BX20" s="42"/>
      <c r="BY20" s="42"/>
      <c r="BZ20" s="42"/>
      <c r="CA20" s="42"/>
      <c r="CB20" s="42"/>
      <c r="CC20" s="42"/>
      <c r="CD20" s="42"/>
      <c r="CE20" s="42"/>
      <c r="CF20" s="42"/>
      <c r="CG20" s="42"/>
      <c r="CH20" s="42"/>
      <c r="CI20" s="42"/>
      <c r="CJ20" s="42"/>
      <c r="CK20" s="42"/>
      <c r="CL20" s="42"/>
      <c r="CM20" s="42"/>
      <c r="CN20" s="42"/>
      <c r="CO20" s="42"/>
      <c r="CP20" s="42"/>
      <c r="CQ20" s="42"/>
      <c r="CR20" s="42"/>
      <c r="CS20" s="42"/>
    </row>
    <row r="21">
      <c r="A21" s="23" t="s">
        <v>563</v>
      </c>
      <c r="B21" s="23" t="s">
        <v>47</v>
      </c>
      <c r="C21" s="24" t="s">
        <v>1374</v>
      </c>
      <c r="D21" s="23" t="s">
        <v>71</v>
      </c>
      <c r="E21" s="56"/>
      <c r="F21" s="23">
        <v>92544.0</v>
      </c>
      <c r="G21" s="23" t="s">
        <v>50</v>
      </c>
      <c r="H21" s="23" t="s">
        <v>214</v>
      </c>
      <c r="I21" s="56"/>
      <c r="J21" s="56"/>
      <c r="K21" s="23" t="s">
        <v>172</v>
      </c>
      <c r="L21" s="50"/>
      <c r="M21" s="23" t="s">
        <v>54</v>
      </c>
      <c r="N21" s="56"/>
      <c r="O21" s="25" t="s">
        <v>1375</v>
      </c>
      <c r="P21" s="26" t="s">
        <v>1376</v>
      </c>
      <c r="Q21" s="26" t="s">
        <v>1377</v>
      </c>
      <c r="R21" s="27" t="s">
        <v>1378</v>
      </c>
      <c r="S21" s="56"/>
      <c r="T21" s="56"/>
      <c r="U21" s="23" t="s">
        <v>482</v>
      </c>
      <c r="V21" s="56"/>
      <c r="W21" s="56"/>
      <c r="X21" s="23" t="s">
        <v>60</v>
      </c>
      <c r="Y21" s="23" t="s">
        <v>61</v>
      </c>
      <c r="Z21" s="23" t="s">
        <v>859</v>
      </c>
      <c r="AA21" s="23" t="s">
        <v>1379</v>
      </c>
      <c r="AB21" s="23" t="s">
        <v>1380</v>
      </c>
      <c r="AC21" s="23" t="s">
        <v>64</v>
      </c>
      <c r="AD21" s="28">
        <v>46077.0</v>
      </c>
      <c r="AE21" s="28">
        <v>46104.0</v>
      </c>
      <c r="AF21" s="28">
        <v>46104.0</v>
      </c>
      <c r="AG21" s="28"/>
      <c r="AH21" s="56"/>
      <c r="AI21" s="56"/>
      <c r="AJ21" s="56"/>
      <c r="AK21" s="56"/>
      <c r="AL21" s="56"/>
      <c r="AM21" s="56"/>
      <c r="AN21" s="56"/>
      <c r="AO21" s="291"/>
      <c r="AP21" s="24" t="s">
        <v>65</v>
      </c>
      <c r="AQ21" s="23" t="s">
        <v>66</v>
      </c>
      <c r="AR21" s="30">
        <v>514000.0</v>
      </c>
      <c r="AS21" s="31">
        <v>0.0</v>
      </c>
      <c r="AT21" s="62">
        <v>11850.0</v>
      </c>
      <c r="AU21" s="33">
        <v>595.0</v>
      </c>
      <c r="AV21" s="34">
        <v>500.0</v>
      </c>
      <c r="AW21" s="34">
        <v>0.0</v>
      </c>
      <c r="AX21" s="34">
        <v>1095.0</v>
      </c>
      <c r="AY21" s="34">
        <v>0.0</v>
      </c>
      <c r="AZ21" s="35">
        <f>sum(AT21,-AY21)*0.4</f>
        <v>4740</v>
      </c>
      <c r="BA21" s="36">
        <v>0.0</v>
      </c>
      <c r="BB21" s="37" t="s">
        <v>47</v>
      </c>
      <c r="BC21" s="38">
        <f t="shared" si="2"/>
        <v>8205</v>
      </c>
      <c r="BD21" s="39">
        <f t="shared" si="3"/>
        <v>4150</v>
      </c>
      <c r="BE21" s="40">
        <f t="shared" si="4"/>
        <v>3555</v>
      </c>
      <c r="BF21" s="111"/>
      <c r="BG21" s="23" t="s">
        <v>67</v>
      </c>
      <c r="BH21" s="42"/>
      <c r="BI21" s="52"/>
      <c r="BJ21" s="23"/>
      <c r="BK21" s="56"/>
      <c r="BL21" s="56"/>
      <c r="BM21" s="56"/>
      <c r="BN21" s="56"/>
      <c r="BO21" s="56"/>
      <c r="BP21" s="56"/>
      <c r="BQ21" s="56"/>
      <c r="BR21" s="56"/>
      <c r="BS21" s="56"/>
      <c r="BT21" s="56"/>
      <c r="BU21" s="56"/>
      <c r="BV21" s="56"/>
      <c r="BW21" s="56"/>
      <c r="BX21" s="42"/>
      <c r="BY21" s="42"/>
      <c r="BZ21" s="42"/>
      <c r="CA21" s="42"/>
      <c r="CB21" s="42"/>
      <c r="CC21" s="42"/>
      <c r="CD21" s="42"/>
      <c r="CE21" s="42"/>
      <c r="CF21" s="42"/>
      <c r="CG21" s="42"/>
      <c r="CH21" s="42"/>
      <c r="CI21" s="42"/>
      <c r="CJ21" s="42"/>
      <c r="CK21" s="42"/>
      <c r="CL21" s="42"/>
      <c r="CM21" s="42"/>
      <c r="CN21" s="42"/>
      <c r="CO21" s="42"/>
      <c r="CP21" s="42"/>
      <c r="CQ21" s="42"/>
      <c r="CR21" s="42"/>
      <c r="CS21" s="42"/>
    </row>
    <row r="22">
      <c r="A22" s="23" t="s">
        <v>563</v>
      </c>
      <c r="B22" s="23" t="s">
        <v>84</v>
      </c>
      <c r="C22" s="24" t="s">
        <v>1514</v>
      </c>
      <c r="D22" s="23" t="s">
        <v>1515</v>
      </c>
      <c r="E22" s="56"/>
      <c r="F22" s="23">
        <v>91752.0</v>
      </c>
      <c r="G22" s="23" t="s">
        <v>50</v>
      </c>
      <c r="H22" s="23" t="s">
        <v>139</v>
      </c>
      <c r="I22" s="56"/>
      <c r="J22" s="56"/>
      <c r="K22" s="23" t="s">
        <v>73</v>
      </c>
      <c r="L22" s="23" t="s">
        <v>346</v>
      </c>
      <c r="M22" s="23" t="s">
        <v>103</v>
      </c>
      <c r="N22" s="56"/>
      <c r="O22" s="25" t="s">
        <v>1516</v>
      </c>
      <c r="P22" s="26" t="s">
        <v>1517</v>
      </c>
      <c r="Q22" s="27" t="s">
        <v>1518</v>
      </c>
      <c r="R22" s="27" t="s">
        <v>92</v>
      </c>
      <c r="S22" s="56"/>
      <c r="T22" s="56"/>
      <c r="U22" s="23" t="s">
        <v>2332</v>
      </c>
      <c r="V22" s="56"/>
      <c r="W22" s="56"/>
      <c r="X22" s="23" t="s">
        <v>60</v>
      </c>
      <c r="Y22" s="23" t="s">
        <v>132</v>
      </c>
      <c r="Z22" s="23" t="s">
        <v>94</v>
      </c>
      <c r="AA22" s="23" t="s">
        <v>1519</v>
      </c>
      <c r="AB22" s="23" t="s">
        <v>1520</v>
      </c>
      <c r="AC22" s="23" t="s">
        <v>64</v>
      </c>
      <c r="AD22" s="28">
        <v>46077.0</v>
      </c>
      <c r="AE22" s="28">
        <v>46107.0</v>
      </c>
      <c r="AF22" s="28">
        <v>46107.0</v>
      </c>
      <c r="AG22" s="28"/>
      <c r="AH22" s="56"/>
      <c r="AI22" s="56"/>
      <c r="AJ22" s="56"/>
      <c r="AK22" s="56"/>
      <c r="AL22" s="56"/>
      <c r="AM22" s="56"/>
      <c r="AN22" s="56"/>
      <c r="AO22" s="291"/>
      <c r="AP22" s="24" t="s">
        <v>65</v>
      </c>
      <c r="AQ22" s="23" t="s">
        <v>801</v>
      </c>
      <c r="AR22" s="30">
        <v>1005000.0</v>
      </c>
      <c r="AS22" s="31">
        <v>0.025</v>
      </c>
      <c r="AT22" s="32">
        <f t="shared" ref="AT22:AT25" si="8">SUM(AR22*AS22)</f>
        <v>25125</v>
      </c>
      <c r="AU22" s="33">
        <v>595.0</v>
      </c>
      <c r="AV22" s="34">
        <v>500.0</v>
      </c>
      <c r="AW22" s="34">
        <v>250.0</v>
      </c>
      <c r="AX22" s="34">
        <v>995.0</v>
      </c>
      <c r="AY22" s="34">
        <v>0.0</v>
      </c>
      <c r="AZ22" s="34">
        <v>0.0</v>
      </c>
      <c r="BA22" s="36">
        <v>0.0</v>
      </c>
      <c r="BB22" s="37" t="s">
        <v>84</v>
      </c>
      <c r="BC22" s="38">
        <f t="shared" si="2"/>
        <v>26120</v>
      </c>
      <c r="BD22" s="39">
        <f t="shared" si="3"/>
        <v>13157.5</v>
      </c>
      <c r="BE22" s="40">
        <f t="shared" si="4"/>
        <v>12212.5</v>
      </c>
      <c r="BF22" s="111"/>
      <c r="BG22" s="23" t="s">
        <v>67</v>
      </c>
      <c r="BH22" s="42"/>
      <c r="BI22" s="52"/>
      <c r="BJ22" s="23"/>
      <c r="BK22" s="56"/>
      <c r="BL22" s="56"/>
      <c r="BM22" s="56"/>
      <c r="BN22" s="56"/>
      <c r="BO22" s="56"/>
      <c r="BP22" s="56"/>
      <c r="BQ22" s="56"/>
      <c r="BR22" s="56"/>
      <c r="BS22" s="56"/>
      <c r="BT22" s="56"/>
      <c r="BU22" s="56"/>
      <c r="BV22" s="56"/>
      <c r="BW22" s="56"/>
      <c r="BX22" s="42"/>
      <c r="BY22" s="42"/>
      <c r="BZ22" s="42"/>
      <c r="CA22" s="42"/>
      <c r="CB22" s="42"/>
      <c r="CC22" s="42"/>
      <c r="CD22" s="42"/>
      <c r="CE22" s="42"/>
      <c r="CF22" s="42"/>
      <c r="CG22" s="42"/>
      <c r="CH22" s="42"/>
      <c r="CI22" s="42"/>
      <c r="CJ22" s="42"/>
      <c r="CK22" s="42"/>
      <c r="CL22" s="42"/>
      <c r="CM22" s="42"/>
      <c r="CN22" s="42"/>
      <c r="CO22" s="42"/>
      <c r="CP22" s="42"/>
      <c r="CQ22" s="42"/>
      <c r="CR22" s="42"/>
      <c r="CS22" s="42"/>
    </row>
    <row r="23">
      <c r="A23" s="23" t="s">
        <v>1418</v>
      </c>
      <c r="B23" s="23" t="s">
        <v>84</v>
      </c>
      <c r="C23" s="24" t="s">
        <v>1471</v>
      </c>
      <c r="D23" s="23" t="s">
        <v>1472</v>
      </c>
      <c r="E23" s="56"/>
      <c r="F23" s="23">
        <v>92394.0</v>
      </c>
      <c r="G23" s="23" t="s">
        <v>101</v>
      </c>
      <c r="H23" s="23" t="s">
        <v>102</v>
      </c>
      <c r="I23" s="56"/>
      <c r="J23" s="56"/>
      <c r="K23" s="23" t="s">
        <v>172</v>
      </c>
      <c r="L23" s="23" t="s">
        <v>346</v>
      </c>
      <c r="M23" s="23" t="s">
        <v>103</v>
      </c>
      <c r="N23" s="56"/>
      <c r="O23" s="49" t="s">
        <v>1473</v>
      </c>
      <c r="P23" s="49" t="s">
        <v>1474</v>
      </c>
      <c r="Q23" s="49" t="s">
        <v>1475</v>
      </c>
      <c r="R23" s="27" t="s">
        <v>1476</v>
      </c>
      <c r="S23" s="56"/>
      <c r="T23" s="56"/>
      <c r="U23" s="47" t="s">
        <v>143</v>
      </c>
      <c r="V23" s="56"/>
      <c r="W23" s="56"/>
      <c r="X23" s="23" t="s">
        <v>60</v>
      </c>
      <c r="Y23" s="23" t="s">
        <v>132</v>
      </c>
      <c r="Z23" s="23" t="s">
        <v>94</v>
      </c>
      <c r="AA23" s="23" t="s">
        <v>1477</v>
      </c>
      <c r="AB23" s="23" t="s">
        <v>1478</v>
      </c>
      <c r="AC23" s="23" t="s">
        <v>64</v>
      </c>
      <c r="AD23" s="28">
        <v>46077.0</v>
      </c>
      <c r="AE23" s="28">
        <v>46113.0</v>
      </c>
      <c r="AF23" s="28">
        <v>46113.0</v>
      </c>
      <c r="AG23" s="28"/>
      <c r="AH23" s="56"/>
      <c r="AI23" s="56"/>
      <c r="AJ23" s="56"/>
      <c r="AK23" s="56"/>
      <c r="AL23" s="56"/>
      <c r="AM23" s="56"/>
      <c r="AN23" s="56"/>
      <c r="AO23" s="291"/>
      <c r="AP23" s="24" t="s">
        <v>65</v>
      </c>
      <c r="AQ23" s="23" t="s">
        <v>145</v>
      </c>
      <c r="AR23" s="30">
        <v>410000.0</v>
      </c>
      <c r="AS23" s="31">
        <v>0.03</v>
      </c>
      <c r="AT23" s="32">
        <f t="shared" si="8"/>
        <v>12300</v>
      </c>
      <c r="AU23" s="33">
        <v>595.0</v>
      </c>
      <c r="AV23" s="34" t="s">
        <v>111</v>
      </c>
      <c r="AW23" s="34" t="s">
        <v>111</v>
      </c>
      <c r="AX23" s="34">
        <v>1250.0</v>
      </c>
      <c r="AY23" s="34">
        <v>0.0</v>
      </c>
      <c r="AZ23" s="35">
        <f>sum(AT23,-AY23)*0.4</f>
        <v>4920</v>
      </c>
      <c r="BA23" s="36">
        <v>0.0</v>
      </c>
      <c r="BB23" s="37" t="s">
        <v>84</v>
      </c>
      <c r="BC23" s="38">
        <f t="shared" si="2"/>
        <v>8630</v>
      </c>
      <c r="BD23" s="39">
        <f t="shared" si="3"/>
        <v>4285</v>
      </c>
      <c r="BE23" s="40">
        <f t="shared" si="4"/>
        <v>4345</v>
      </c>
      <c r="BF23" s="111"/>
      <c r="BG23" s="23" t="s">
        <v>67</v>
      </c>
      <c r="BH23" s="42"/>
      <c r="BI23" s="52"/>
      <c r="BJ23" s="23"/>
      <c r="BK23" s="56"/>
      <c r="BL23" s="56"/>
      <c r="BM23" s="56"/>
      <c r="BN23" s="56"/>
      <c r="BO23" s="56"/>
      <c r="BP23" s="56"/>
      <c r="BQ23" s="56"/>
      <c r="BR23" s="56"/>
      <c r="BS23" s="56"/>
      <c r="BT23" s="56"/>
      <c r="BU23" s="56"/>
      <c r="BV23" s="56"/>
      <c r="BW23" s="56"/>
      <c r="BX23" s="42"/>
      <c r="BY23" s="42"/>
      <c r="BZ23" s="42"/>
      <c r="CA23" s="42"/>
      <c r="CB23" s="42"/>
      <c r="CC23" s="42"/>
      <c r="CD23" s="42"/>
      <c r="CE23" s="42"/>
      <c r="CF23" s="42"/>
      <c r="CG23" s="42"/>
      <c r="CH23" s="42"/>
      <c r="CI23" s="42"/>
      <c r="CJ23" s="42"/>
      <c r="CK23" s="42"/>
      <c r="CL23" s="42"/>
      <c r="CM23" s="42"/>
      <c r="CN23" s="42"/>
      <c r="CO23" s="42"/>
      <c r="CP23" s="42"/>
      <c r="CQ23" s="42"/>
      <c r="CR23" s="42"/>
      <c r="CS23" s="42"/>
    </row>
    <row r="24">
      <c r="A24" s="23" t="s">
        <v>563</v>
      </c>
      <c r="B24" s="23" t="s">
        <v>47</v>
      </c>
      <c r="C24" s="24" t="s">
        <v>1387</v>
      </c>
      <c r="D24" s="23" t="s">
        <v>183</v>
      </c>
      <c r="E24" s="56"/>
      <c r="F24" s="23">
        <v>92551.0</v>
      </c>
      <c r="G24" s="23" t="s">
        <v>50</v>
      </c>
      <c r="H24" s="23" t="s">
        <v>341</v>
      </c>
      <c r="I24" s="56"/>
      <c r="J24" s="56"/>
      <c r="K24" s="23" t="s">
        <v>172</v>
      </c>
      <c r="L24" s="23" t="s">
        <v>53</v>
      </c>
      <c r="M24" s="23" t="s">
        <v>54</v>
      </c>
      <c r="N24" s="56"/>
      <c r="O24" s="25" t="s">
        <v>1388</v>
      </c>
      <c r="P24" s="26" t="s">
        <v>1389</v>
      </c>
      <c r="Q24" s="26" t="s">
        <v>1390</v>
      </c>
      <c r="R24" s="27" t="s">
        <v>1391</v>
      </c>
      <c r="S24" s="56"/>
      <c r="T24" s="56"/>
      <c r="U24" s="23" t="s">
        <v>1392</v>
      </c>
      <c r="V24" s="56"/>
      <c r="W24" s="56"/>
      <c r="X24" s="23" t="s">
        <v>60</v>
      </c>
      <c r="Y24" s="23" t="s">
        <v>61</v>
      </c>
      <c r="Z24" s="23" t="s">
        <v>1393</v>
      </c>
      <c r="AA24" s="23" t="s">
        <v>1394</v>
      </c>
      <c r="AB24" s="23" t="s">
        <v>1395</v>
      </c>
      <c r="AC24" s="23" t="s">
        <v>64</v>
      </c>
      <c r="AD24" s="28">
        <v>46077.0</v>
      </c>
      <c r="AE24" s="28">
        <v>46107.0</v>
      </c>
      <c r="AF24" s="28">
        <v>46107.0</v>
      </c>
      <c r="AG24" s="28"/>
      <c r="AH24" s="56"/>
      <c r="AI24" s="56"/>
      <c r="AJ24" s="56"/>
      <c r="AK24" s="56"/>
      <c r="AL24" s="56"/>
      <c r="AM24" s="56"/>
      <c r="AN24" s="56"/>
      <c r="AO24" s="291"/>
      <c r="AP24" s="24" t="s">
        <v>65</v>
      </c>
      <c r="AQ24" s="23" t="s">
        <v>167</v>
      </c>
      <c r="AR24" s="30">
        <v>393000.0</v>
      </c>
      <c r="AS24" s="31">
        <v>0.02</v>
      </c>
      <c r="AT24" s="32">
        <f t="shared" si="8"/>
        <v>7860</v>
      </c>
      <c r="AU24" s="33">
        <v>595.0</v>
      </c>
      <c r="AV24" s="34">
        <v>500.0</v>
      </c>
      <c r="AW24" s="34">
        <v>0.0</v>
      </c>
      <c r="AX24" s="34">
        <v>1095.0</v>
      </c>
      <c r="AY24" s="34">
        <v>0.0</v>
      </c>
      <c r="AZ24" s="34">
        <v>0.0</v>
      </c>
      <c r="BA24" s="36">
        <v>0.0</v>
      </c>
      <c r="BB24" s="36">
        <v>0.0</v>
      </c>
      <c r="BC24" s="38">
        <f t="shared" si="2"/>
        <v>8955</v>
      </c>
      <c r="BD24" s="39">
        <f t="shared" si="3"/>
        <v>8455</v>
      </c>
      <c r="BE24" s="40">
        <f t="shared" si="4"/>
        <v>0</v>
      </c>
      <c r="BF24" s="111"/>
      <c r="BG24" s="23" t="s">
        <v>67</v>
      </c>
      <c r="BH24" s="42"/>
      <c r="BI24" s="23" t="s">
        <v>2553</v>
      </c>
      <c r="BJ24" s="23" t="s">
        <v>69</v>
      </c>
      <c r="BK24" s="56"/>
      <c r="BL24" s="56"/>
      <c r="BM24" s="56"/>
      <c r="BN24" s="56"/>
      <c r="BO24" s="56"/>
      <c r="BP24" s="56"/>
      <c r="BQ24" s="56"/>
      <c r="BR24" s="56"/>
      <c r="BS24" s="56"/>
      <c r="BT24" s="56"/>
      <c r="BU24" s="56"/>
      <c r="BV24" s="56"/>
      <c r="BW24" s="56"/>
      <c r="BX24" s="42"/>
      <c r="BY24" s="42"/>
      <c r="BZ24" s="42"/>
      <c r="CA24" s="42"/>
      <c r="CB24" s="42"/>
      <c r="CC24" s="42"/>
      <c r="CD24" s="42"/>
      <c r="CE24" s="42"/>
      <c r="CF24" s="42"/>
      <c r="CG24" s="42"/>
      <c r="CH24" s="42"/>
      <c r="CI24" s="42"/>
      <c r="CJ24" s="42"/>
      <c r="CK24" s="42"/>
      <c r="CL24" s="42"/>
      <c r="CM24" s="42"/>
      <c r="CN24" s="42"/>
      <c r="CO24" s="42"/>
      <c r="CP24" s="42"/>
      <c r="CQ24" s="42"/>
      <c r="CR24" s="42"/>
      <c r="CS24" s="42"/>
    </row>
    <row r="25" ht="15.75" customHeight="1">
      <c r="A25" s="23" t="s">
        <v>1418</v>
      </c>
      <c r="B25" s="23" t="s">
        <v>47</v>
      </c>
      <c r="C25" s="66" t="s">
        <v>1640</v>
      </c>
      <c r="D25" s="23" t="s">
        <v>1641</v>
      </c>
      <c r="E25" s="56"/>
      <c r="F25" s="23">
        <v>92115.0</v>
      </c>
      <c r="G25" s="23" t="s">
        <v>87</v>
      </c>
      <c r="H25" s="23" t="s">
        <v>1642</v>
      </c>
      <c r="I25" s="56"/>
      <c r="J25" s="56"/>
      <c r="K25" s="23" t="s">
        <v>52</v>
      </c>
      <c r="L25" s="50"/>
      <c r="M25" s="23" t="s">
        <v>103</v>
      </c>
      <c r="N25" s="56"/>
      <c r="O25" s="25" t="s">
        <v>1643</v>
      </c>
      <c r="P25" s="26" t="s">
        <v>1644</v>
      </c>
      <c r="Q25" s="27" t="s">
        <v>1645</v>
      </c>
      <c r="R25" s="27" t="s">
        <v>1646</v>
      </c>
      <c r="S25" s="56"/>
      <c r="T25" s="56"/>
      <c r="U25" s="23" t="s">
        <v>1647</v>
      </c>
      <c r="V25" s="56"/>
      <c r="W25" s="56"/>
      <c r="X25" s="23" t="s">
        <v>60</v>
      </c>
      <c r="Y25" s="23" t="s">
        <v>61</v>
      </c>
      <c r="Z25" s="23"/>
      <c r="AA25" s="23" t="s">
        <v>1648</v>
      </c>
      <c r="AB25" s="23" t="s">
        <v>1649</v>
      </c>
      <c r="AC25" s="23" t="s">
        <v>64</v>
      </c>
      <c r="AD25" s="28">
        <v>46079.0</v>
      </c>
      <c r="AE25" s="28">
        <v>46125.0</v>
      </c>
      <c r="AF25" s="28">
        <v>46125.0</v>
      </c>
      <c r="AG25" s="28"/>
      <c r="AH25" s="56"/>
      <c r="AI25" s="56"/>
      <c r="AJ25" s="56"/>
      <c r="AK25" s="56"/>
      <c r="AL25" s="56"/>
      <c r="AM25" s="56"/>
      <c r="AN25" s="56"/>
      <c r="AO25" s="291"/>
      <c r="AP25" s="24" t="s">
        <v>65</v>
      </c>
      <c r="AQ25" s="23" t="s">
        <v>551</v>
      </c>
      <c r="AR25" s="30">
        <v>735000.0</v>
      </c>
      <c r="AS25" s="31">
        <v>0.025</v>
      </c>
      <c r="AT25" s="32">
        <f t="shared" si="8"/>
        <v>18375</v>
      </c>
      <c r="AU25" s="33">
        <v>595.0</v>
      </c>
      <c r="AV25" s="34">
        <v>500.0</v>
      </c>
      <c r="AW25" s="34">
        <v>0.0</v>
      </c>
      <c r="AX25" s="34">
        <v>1095.0</v>
      </c>
      <c r="AY25" s="34">
        <v>0.0</v>
      </c>
      <c r="AZ25" s="34">
        <v>0.0</v>
      </c>
      <c r="BA25" s="36">
        <v>0.0</v>
      </c>
      <c r="BB25" s="37" t="s">
        <v>202</v>
      </c>
      <c r="BC25" s="38">
        <f t="shared" si="2"/>
        <v>19470</v>
      </c>
      <c r="BD25" s="39">
        <f t="shared" si="3"/>
        <v>6107.5</v>
      </c>
      <c r="BE25" s="40">
        <f t="shared" si="4"/>
        <v>12862.5</v>
      </c>
      <c r="BF25" s="111"/>
      <c r="BG25" s="23"/>
      <c r="BH25" s="42"/>
      <c r="BI25" s="52"/>
      <c r="BJ25" s="23"/>
      <c r="BK25" s="56"/>
      <c r="BL25" s="56"/>
      <c r="BM25" s="56"/>
      <c r="BN25" s="56"/>
      <c r="BO25" s="56"/>
      <c r="BP25" s="56"/>
      <c r="BQ25" s="56"/>
      <c r="BR25" s="56"/>
      <c r="BS25" s="56"/>
      <c r="BT25" s="56"/>
      <c r="BU25" s="56"/>
      <c r="BV25" s="56"/>
      <c r="BW25" s="56"/>
      <c r="BX25" s="42"/>
      <c r="BY25" s="42"/>
      <c r="BZ25" s="42"/>
      <c r="CA25" s="42"/>
      <c r="CB25" s="42"/>
      <c r="CC25" s="42"/>
      <c r="CD25" s="42"/>
      <c r="CE25" s="42"/>
      <c r="CF25" s="42"/>
      <c r="CG25" s="42"/>
      <c r="CH25" s="42"/>
      <c r="CI25" s="42"/>
      <c r="CJ25" s="42"/>
      <c r="CK25" s="42"/>
      <c r="CL25" s="42"/>
      <c r="CM25" s="42"/>
      <c r="CN25" s="42"/>
      <c r="CO25" s="42"/>
      <c r="CP25" s="42"/>
      <c r="CQ25" s="42"/>
      <c r="CR25" s="42"/>
      <c r="CS25" s="42"/>
    </row>
    <row r="26">
      <c r="A26" s="158" t="s">
        <v>563</v>
      </c>
      <c r="B26" s="23" t="s">
        <v>47</v>
      </c>
      <c r="C26" s="24" t="s">
        <v>1381</v>
      </c>
      <c r="D26" s="23" t="s">
        <v>86</v>
      </c>
      <c r="E26" s="56"/>
      <c r="F26" s="23">
        <v>92057.0</v>
      </c>
      <c r="G26" s="23" t="s">
        <v>87</v>
      </c>
      <c r="H26" s="158" t="s">
        <v>226</v>
      </c>
      <c r="I26" s="56"/>
      <c r="J26" s="56"/>
      <c r="K26" s="158" t="s">
        <v>52</v>
      </c>
      <c r="L26" s="50"/>
      <c r="M26" s="158" t="s">
        <v>54</v>
      </c>
      <c r="N26" s="56"/>
      <c r="O26" s="25" t="s">
        <v>1382</v>
      </c>
      <c r="P26" s="26" t="s">
        <v>1383</v>
      </c>
      <c r="Q26" s="26" t="s">
        <v>1384</v>
      </c>
      <c r="R26" s="27" t="s">
        <v>1385</v>
      </c>
      <c r="S26" s="56"/>
      <c r="T26" s="56"/>
      <c r="U26" s="23" t="s">
        <v>1386</v>
      </c>
      <c r="V26" s="56"/>
      <c r="W26" s="56"/>
      <c r="X26" s="23" t="s">
        <v>343</v>
      </c>
      <c r="Y26" s="23" t="s">
        <v>343</v>
      </c>
      <c r="Z26" s="23"/>
      <c r="AA26" s="47" t="s">
        <v>343</v>
      </c>
      <c r="AB26" s="47" t="s">
        <v>343</v>
      </c>
      <c r="AC26" s="158" t="s">
        <v>64</v>
      </c>
      <c r="AD26" s="165">
        <v>46079.0</v>
      </c>
      <c r="AE26" s="165">
        <v>46108.0</v>
      </c>
      <c r="AF26" s="165">
        <v>46108.0</v>
      </c>
      <c r="AG26" s="28"/>
      <c r="AH26" s="56"/>
      <c r="AI26" s="56"/>
      <c r="AJ26" s="56"/>
      <c r="AK26" s="56"/>
      <c r="AL26" s="56"/>
      <c r="AM26" s="56"/>
      <c r="AN26" s="56"/>
      <c r="AO26" s="291"/>
      <c r="AP26" s="24" t="s">
        <v>343</v>
      </c>
      <c r="AQ26" s="37" t="s">
        <v>66</v>
      </c>
      <c r="AR26" s="30">
        <v>1092879.0</v>
      </c>
      <c r="AS26" s="51">
        <v>0.0</v>
      </c>
      <c r="AT26" s="62">
        <v>15000.0</v>
      </c>
      <c r="AU26" s="33">
        <v>595.0</v>
      </c>
      <c r="AV26" s="34">
        <v>500.0</v>
      </c>
      <c r="AW26" s="34" t="s">
        <v>82</v>
      </c>
      <c r="AX26" s="34">
        <v>1095.0</v>
      </c>
      <c r="AY26" s="34">
        <v>0.0</v>
      </c>
      <c r="AZ26" s="35">
        <f t="shared" ref="AZ26:AZ27" si="9">sum(AT26,-AY26)*0.4</f>
        <v>6000</v>
      </c>
      <c r="BA26" s="36">
        <v>0.0</v>
      </c>
      <c r="BB26" s="37" t="s">
        <v>47</v>
      </c>
      <c r="BC26" s="38">
        <f t="shared" si="2"/>
        <v>10095</v>
      </c>
      <c r="BD26" s="39">
        <f t="shared" si="3"/>
        <v>5095</v>
      </c>
      <c r="BE26" s="40">
        <f t="shared" si="4"/>
        <v>4500</v>
      </c>
      <c r="BF26" s="111"/>
      <c r="BG26" s="23"/>
      <c r="BH26" s="42"/>
      <c r="BI26" s="52"/>
      <c r="BJ26" s="23"/>
      <c r="BK26" s="56"/>
      <c r="BL26" s="56"/>
      <c r="BM26" s="56"/>
      <c r="BN26" s="56"/>
      <c r="BO26" s="56"/>
      <c r="BP26" s="56"/>
      <c r="BQ26" s="56"/>
      <c r="BR26" s="56"/>
      <c r="BS26" s="56"/>
      <c r="BT26" s="56"/>
      <c r="BU26" s="56"/>
      <c r="BV26" s="56"/>
      <c r="BW26" s="56"/>
      <c r="BX26" s="42"/>
      <c r="BY26" s="42"/>
      <c r="BZ26" s="42"/>
      <c r="CA26" s="42"/>
      <c r="CB26" s="42"/>
      <c r="CC26" s="42"/>
      <c r="CD26" s="42"/>
      <c r="CE26" s="42"/>
      <c r="CF26" s="42"/>
      <c r="CG26" s="42"/>
      <c r="CH26" s="42"/>
      <c r="CI26" s="42"/>
      <c r="CJ26" s="42"/>
      <c r="CK26" s="42"/>
      <c r="CL26" s="42"/>
      <c r="CM26" s="42"/>
      <c r="CN26" s="42"/>
      <c r="CO26" s="42"/>
      <c r="CP26" s="42"/>
      <c r="CQ26" s="42"/>
      <c r="CR26" s="42"/>
      <c r="CS26" s="42"/>
    </row>
    <row r="27">
      <c r="A27" s="23" t="s">
        <v>1418</v>
      </c>
      <c r="B27" s="23" t="s">
        <v>47</v>
      </c>
      <c r="C27" s="293" t="s">
        <v>1441</v>
      </c>
      <c r="D27" s="23" t="s">
        <v>71</v>
      </c>
      <c r="E27" s="56"/>
      <c r="F27" s="23">
        <v>92545.0</v>
      </c>
      <c r="G27" s="23" t="s">
        <v>50</v>
      </c>
      <c r="H27" s="23" t="s">
        <v>944</v>
      </c>
      <c r="I27" s="56"/>
      <c r="J27" s="56"/>
      <c r="K27" s="23" t="s">
        <v>52</v>
      </c>
      <c r="L27" s="50"/>
      <c r="M27" s="23" t="s">
        <v>185</v>
      </c>
      <c r="N27" s="56"/>
      <c r="O27" s="25" t="s">
        <v>1442</v>
      </c>
      <c r="P27" s="66" t="s">
        <v>1443</v>
      </c>
      <c r="Q27" s="26" t="s">
        <v>1444</v>
      </c>
      <c r="R27" s="27" t="s">
        <v>1445</v>
      </c>
      <c r="S27" s="56"/>
      <c r="T27" s="56"/>
      <c r="U27" s="23" t="s">
        <v>1446</v>
      </c>
      <c r="V27" s="56"/>
      <c r="W27" s="56"/>
      <c r="X27" s="23" t="s">
        <v>60</v>
      </c>
      <c r="Y27" s="23" t="s">
        <v>1447</v>
      </c>
      <c r="Z27" s="23" t="s">
        <v>1448</v>
      </c>
      <c r="AA27" s="23" t="s">
        <v>1449</v>
      </c>
      <c r="AB27" s="23" t="s">
        <v>1450</v>
      </c>
      <c r="AC27" s="23" t="s">
        <v>64</v>
      </c>
      <c r="AD27" s="28">
        <v>46080.0</v>
      </c>
      <c r="AE27" s="28">
        <v>46114.0</v>
      </c>
      <c r="AF27" s="28">
        <v>46114.0</v>
      </c>
      <c r="AG27" s="28"/>
      <c r="AH27" s="56"/>
      <c r="AI27" s="56"/>
      <c r="AJ27" s="56"/>
      <c r="AK27" s="56"/>
      <c r="AL27" s="56"/>
      <c r="AM27" s="56"/>
      <c r="AN27" s="56"/>
      <c r="AO27" s="291"/>
      <c r="AP27" s="24" t="s">
        <v>65</v>
      </c>
      <c r="AQ27" s="23" t="s">
        <v>66</v>
      </c>
      <c r="AR27" s="30">
        <v>410000.0</v>
      </c>
      <c r="AS27" s="31">
        <v>0.025</v>
      </c>
      <c r="AT27" s="32">
        <f t="shared" ref="AT27:AT42" si="10">SUM(AR27*AS27)</f>
        <v>10250</v>
      </c>
      <c r="AU27" s="33">
        <v>595.0</v>
      </c>
      <c r="AV27" s="34">
        <v>0.0</v>
      </c>
      <c r="AW27" s="34" t="s">
        <v>82</v>
      </c>
      <c r="AX27" s="34">
        <v>595.0</v>
      </c>
      <c r="AY27" s="34">
        <v>0.0</v>
      </c>
      <c r="AZ27" s="35">
        <f t="shared" si="9"/>
        <v>4100</v>
      </c>
      <c r="BA27" s="36">
        <v>0.0</v>
      </c>
      <c r="BB27" s="37" t="s">
        <v>47</v>
      </c>
      <c r="BC27" s="38">
        <f t="shared" si="2"/>
        <v>6745</v>
      </c>
      <c r="BD27" s="39">
        <f t="shared" si="3"/>
        <v>3670</v>
      </c>
      <c r="BE27" s="40">
        <f t="shared" si="4"/>
        <v>3075</v>
      </c>
      <c r="BF27" s="111"/>
      <c r="BG27" s="23"/>
      <c r="BH27" s="42"/>
      <c r="BI27" s="52"/>
      <c r="BJ27" s="23"/>
      <c r="BK27" s="56"/>
      <c r="BL27" s="56"/>
      <c r="BM27" s="56"/>
      <c r="BN27" s="56"/>
      <c r="BO27" s="56"/>
      <c r="BP27" s="56"/>
      <c r="BQ27" s="56"/>
      <c r="BR27" s="56"/>
      <c r="BS27" s="56"/>
      <c r="BT27" s="56"/>
      <c r="BU27" s="56"/>
      <c r="BV27" s="56"/>
      <c r="BW27" s="56"/>
      <c r="BX27" s="42"/>
      <c r="BY27" s="42"/>
      <c r="BZ27" s="42"/>
      <c r="CA27" s="42"/>
      <c r="CB27" s="42"/>
      <c r="CC27" s="42"/>
      <c r="CD27" s="42"/>
      <c r="CE27" s="42"/>
      <c r="CF27" s="42"/>
      <c r="CG27" s="42"/>
      <c r="CH27" s="42"/>
      <c r="CI27" s="42"/>
      <c r="CJ27" s="42"/>
      <c r="CK27" s="42"/>
      <c r="CL27" s="42"/>
      <c r="CM27" s="42"/>
      <c r="CN27" s="42"/>
      <c r="CO27" s="42"/>
      <c r="CP27" s="42"/>
      <c r="CQ27" s="42"/>
      <c r="CR27" s="42"/>
      <c r="CS27" s="42"/>
    </row>
    <row r="28">
      <c r="A28" s="158" t="s">
        <v>563</v>
      </c>
      <c r="B28" s="158" t="s">
        <v>84</v>
      </c>
      <c r="C28" s="167" t="s">
        <v>1326</v>
      </c>
      <c r="D28" s="158" t="s">
        <v>1327</v>
      </c>
      <c r="E28" s="56"/>
      <c r="F28" s="158">
        <v>90744.0</v>
      </c>
      <c r="G28" s="158" t="s">
        <v>726</v>
      </c>
      <c r="H28" s="158" t="s">
        <v>226</v>
      </c>
      <c r="I28" s="56"/>
      <c r="J28" s="56"/>
      <c r="K28" s="158" t="s">
        <v>52</v>
      </c>
      <c r="L28" s="159" t="s">
        <v>53</v>
      </c>
      <c r="M28" s="158" t="s">
        <v>54</v>
      </c>
      <c r="N28" s="56"/>
      <c r="O28" s="160" t="s">
        <v>1328</v>
      </c>
      <c r="P28" s="167" t="s">
        <v>1329</v>
      </c>
      <c r="Q28" s="167" t="s">
        <v>1330</v>
      </c>
      <c r="R28" s="160" t="s">
        <v>1331</v>
      </c>
      <c r="S28" s="56"/>
      <c r="T28" s="56"/>
      <c r="U28" s="159" t="s">
        <v>1332</v>
      </c>
      <c r="V28" s="56"/>
      <c r="W28" s="56"/>
      <c r="X28" s="158"/>
      <c r="Y28" s="158" t="s">
        <v>132</v>
      </c>
      <c r="Z28" s="158" t="s">
        <v>94</v>
      </c>
      <c r="AA28" s="159" t="s">
        <v>1333</v>
      </c>
      <c r="AB28" s="159" t="s">
        <v>1334</v>
      </c>
      <c r="AC28" s="158" t="s">
        <v>64</v>
      </c>
      <c r="AD28" s="165">
        <v>46083.0</v>
      </c>
      <c r="AE28" s="165">
        <v>46108.0</v>
      </c>
      <c r="AF28" s="165">
        <v>46108.0</v>
      </c>
      <c r="AG28" s="279"/>
      <c r="AH28" s="56"/>
      <c r="AI28" s="56"/>
      <c r="AJ28" s="56"/>
      <c r="AK28" s="56"/>
      <c r="AL28" s="56"/>
      <c r="AM28" s="56"/>
      <c r="AN28" s="56"/>
      <c r="AO28" s="291"/>
      <c r="AP28" s="167" t="s">
        <v>65</v>
      </c>
      <c r="AQ28" s="159" t="s">
        <v>167</v>
      </c>
      <c r="AR28" s="30">
        <v>435000.0</v>
      </c>
      <c r="AS28" s="31">
        <v>0.05</v>
      </c>
      <c r="AT28" s="32">
        <f t="shared" si="10"/>
        <v>21750</v>
      </c>
      <c r="AU28" s="168">
        <v>595.0</v>
      </c>
      <c r="AV28" s="38">
        <v>500.0</v>
      </c>
      <c r="AW28" s="38" t="s">
        <v>82</v>
      </c>
      <c r="AX28" s="38">
        <v>1345.0</v>
      </c>
      <c r="AY28" s="38">
        <v>0.0</v>
      </c>
      <c r="AZ28" s="38">
        <v>0.0</v>
      </c>
      <c r="BA28" s="38">
        <v>0.0</v>
      </c>
      <c r="BB28" s="118" t="s">
        <v>168</v>
      </c>
      <c r="BC28" s="38">
        <f t="shared" si="2"/>
        <v>23095</v>
      </c>
      <c r="BD28" s="38">
        <f t="shared" si="3"/>
        <v>2770</v>
      </c>
      <c r="BE28" s="40">
        <f t="shared" si="4"/>
        <v>19825</v>
      </c>
      <c r="BF28" s="169"/>
      <c r="BG28" s="159" t="s">
        <v>67</v>
      </c>
      <c r="BH28" s="145"/>
      <c r="BI28" s="170" t="s">
        <v>2556</v>
      </c>
      <c r="BJ28" s="170" t="s">
        <v>69</v>
      </c>
      <c r="BK28" s="56"/>
      <c r="BL28" s="56"/>
      <c r="BM28" s="56"/>
      <c r="BN28" s="56"/>
      <c r="BO28" s="56"/>
      <c r="BP28" s="56"/>
      <c r="BQ28" s="56"/>
      <c r="BR28" s="56"/>
      <c r="BS28" s="56"/>
      <c r="BT28" s="56"/>
      <c r="BU28" s="56"/>
      <c r="BV28" s="56"/>
      <c r="BW28" s="56"/>
      <c r="BX28" s="42"/>
      <c r="BY28" s="42"/>
      <c r="BZ28" s="42"/>
      <c r="CA28" s="42"/>
      <c r="CB28" s="42"/>
      <c r="CC28" s="42"/>
      <c r="CD28" s="42"/>
      <c r="CE28" s="42"/>
      <c r="CF28" s="42"/>
      <c r="CG28" s="42"/>
      <c r="CH28" s="42"/>
      <c r="CI28" s="42"/>
      <c r="CJ28" s="42"/>
      <c r="CK28" s="42"/>
      <c r="CL28" s="42"/>
      <c r="CM28" s="42"/>
      <c r="CN28" s="42"/>
      <c r="CO28" s="42"/>
      <c r="CP28" s="42"/>
      <c r="CQ28" s="42"/>
      <c r="CR28" s="42"/>
      <c r="CS28" s="42"/>
    </row>
    <row r="29">
      <c r="A29" s="23" t="s">
        <v>1418</v>
      </c>
      <c r="B29" s="23" t="s">
        <v>84</v>
      </c>
      <c r="C29" s="24" t="s">
        <v>1680</v>
      </c>
      <c r="D29" s="23" t="s">
        <v>71</v>
      </c>
      <c r="E29" s="56"/>
      <c r="F29" s="23">
        <v>92544.0</v>
      </c>
      <c r="G29" s="23" t="s">
        <v>50</v>
      </c>
      <c r="H29" s="23" t="s">
        <v>102</v>
      </c>
      <c r="I29" s="56"/>
      <c r="J29" s="56"/>
      <c r="K29" s="23" t="s">
        <v>172</v>
      </c>
      <c r="L29" s="50"/>
      <c r="M29" s="23" t="s">
        <v>103</v>
      </c>
      <c r="N29" s="56"/>
      <c r="O29" s="25" t="s">
        <v>2328</v>
      </c>
      <c r="P29" s="49" t="s">
        <v>1682</v>
      </c>
      <c r="Q29" s="49" t="s">
        <v>1683</v>
      </c>
      <c r="R29" s="24" t="s">
        <v>1167</v>
      </c>
      <c r="S29" s="56"/>
      <c r="T29" s="56"/>
      <c r="U29" s="23" t="s">
        <v>436</v>
      </c>
      <c r="V29" s="56"/>
      <c r="W29" s="56"/>
      <c r="X29" s="23" t="s">
        <v>60</v>
      </c>
      <c r="Y29" s="23" t="s">
        <v>132</v>
      </c>
      <c r="Z29" s="23" t="s">
        <v>94</v>
      </c>
      <c r="AA29" s="23" t="s">
        <v>2329</v>
      </c>
      <c r="AB29" s="23" t="s">
        <v>2330</v>
      </c>
      <c r="AC29" s="23" t="s">
        <v>64</v>
      </c>
      <c r="AD29" s="28">
        <v>46083.0</v>
      </c>
      <c r="AE29" s="28">
        <v>46083.0</v>
      </c>
      <c r="AF29" s="28">
        <v>46083.0</v>
      </c>
      <c r="AG29" s="28"/>
      <c r="AH29" s="56"/>
      <c r="AI29" s="56"/>
      <c r="AJ29" s="56"/>
      <c r="AK29" s="56"/>
      <c r="AL29" s="56"/>
      <c r="AM29" s="56"/>
      <c r="AN29" s="56"/>
      <c r="AO29" s="291"/>
      <c r="AP29" s="24" t="s">
        <v>124</v>
      </c>
      <c r="AQ29" s="23" t="s">
        <v>66</v>
      </c>
      <c r="AR29" s="30">
        <v>240000.0</v>
      </c>
      <c r="AS29" s="31">
        <v>0.03</v>
      </c>
      <c r="AT29" s="32">
        <f t="shared" si="10"/>
        <v>7200</v>
      </c>
      <c r="AU29" s="33">
        <v>595.0</v>
      </c>
      <c r="AV29" s="34" t="s">
        <v>111</v>
      </c>
      <c r="AW29" s="34" t="s">
        <v>111</v>
      </c>
      <c r="AX29" s="34">
        <v>1250.0</v>
      </c>
      <c r="AY29" s="34">
        <v>0.0</v>
      </c>
      <c r="AZ29" s="35">
        <f>sum(AT29,-AY29)*0.4</f>
        <v>2880</v>
      </c>
      <c r="BA29" s="36">
        <v>0.0</v>
      </c>
      <c r="BB29" s="37" t="s">
        <v>84</v>
      </c>
      <c r="BC29" s="38">
        <f t="shared" si="2"/>
        <v>5570</v>
      </c>
      <c r="BD29" s="39">
        <f t="shared" si="3"/>
        <v>2755</v>
      </c>
      <c r="BE29" s="40">
        <f t="shared" si="4"/>
        <v>2815</v>
      </c>
      <c r="BF29" s="111"/>
      <c r="BG29" s="23"/>
      <c r="BH29" s="42"/>
      <c r="BI29" s="52"/>
      <c r="BJ29" s="23"/>
      <c r="BK29" s="56"/>
      <c r="BL29" s="56"/>
      <c r="BM29" s="56"/>
      <c r="BN29" s="56"/>
      <c r="BO29" s="56"/>
      <c r="BP29" s="56"/>
      <c r="BQ29" s="56"/>
      <c r="BR29" s="56"/>
      <c r="BS29" s="56"/>
      <c r="BT29" s="56"/>
      <c r="BU29" s="56"/>
      <c r="BV29" s="56"/>
      <c r="BW29" s="56"/>
      <c r="BX29" s="42"/>
      <c r="BY29" s="42"/>
      <c r="BZ29" s="42"/>
      <c r="CA29" s="42"/>
      <c r="CB29" s="42"/>
      <c r="CC29" s="42"/>
      <c r="CD29" s="42"/>
      <c r="CE29" s="42"/>
      <c r="CF29" s="42"/>
      <c r="CG29" s="42"/>
      <c r="CH29" s="42"/>
      <c r="CI29" s="42"/>
      <c r="CJ29" s="42"/>
      <c r="CK29" s="42"/>
      <c r="CL29" s="42"/>
      <c r="CM29" s="42"/>
      <c r="CN29" s="42"/>
      <c r="CO29" s="42"/>
      <c r="CP29" s="42"/>
      <c r="CQ29" s="42"/>
      <c r="CR29" s="42"/>
      <c r="CS29" s="42"/>
    </row>
    <row r="30">
      <c r="A30" s="23" t="s">
        <v>1418</v>
      </c>
      <c r="B30" s="23" t="s">
        <v>84</v>
      </c>
      <c r="C30" s="54" t="s">
        <v>1521</v>
      </c>
      <c r="D30" s="23" t="s">
        <v>1336</v>
      </c>
      <c r="E30" s="56"/>
      <c r="F30" s="23">
        <v>92567.0</v>
      </c>
      <c r="G30" s="23" t="s">
        <v>50</v>
      </c>
      <c r="H30" s="23" t="s">
        <v>159</v>
      </c>
      <c r="I30" s="56"/>
      <c r="J30" s="56"/>
      <c r="K30" s="23" t="s">
        <v>73</v>
      </c>
      <c r="L30" s="50"/>
      <c r="M30" s="23" t="s">
        <v>54</v>
      </c>
      <c r="N30" s="56"/>
      <c r="O30" s="25" t="s">
        <v>1523</v>
      </c>
      <c r="P30" s="26" t="s">
        <v>1524</v>
      </c>
      <c r="Q30" s="26" t="s">
        <v>1525</v>
      </c>
      <c r="R30" s="24" t="s">
        <v>1167</v>
      </c>
      <c r="S30" s="56"/>
      <c r="T30" s="56"/>
      <c r="U30" s="23" t="s">
        <v>177</v>
      </c>
      <c r="V30" s="56"/>
      <c r="W30" s="56"/>
      <c r="X30" s="23" t="s">
        <v>60</v>
      </c>
      <c r="Y30" s="23" t="s">
        <v>132</v>
      </c>
      <c r="Z30" s="23" t="s">
        <v>94</v>
      </c>
      <c r="AA30" s="23" t="s">
        <v>1526</v>
      </c>
      <c r="AB30" s="23" t="s">
        <v>1527</v>
      </c>
      <c r="AC30" s="23" t="s">
        <v>64</v>
      </c>
      <c r="AD30" s="28">
        <v>46085.0</v>
      </c>
      <c r="AE30" s="28">
        <v>46115.0</v>
      </c>
      <c r="AF30" s="28">
        <v>46115.0</v>
      </c>
      <c r="AG30" s="28"/>
      <c r="AH30" s="56"/>
      <c r="AI30" s="56"/>
      <c r="AJ30" s="56"/>
      <c r="AK30" s="56"/>
      <c r="AL30" s="56"/>
      <c r="AM30" s="56"/>
      <c r="AN30" s="56"/>
      <c r="AO30" s="291"/>
      <c r="AP30" s="24" t="s">
        <v>65</v>
      </c>
      <c r="AQ30" s="23" t="s">
        <v>485</v>
      </c>
      <c r="AR30" s="30">
        <v>440000.0</v>
      </c>
      <c r="AS30" s="31">
        <v>0.04</v>
      </c>
      <c r="AT30" s="32">
        <f t="shared" si="10"/>
        <v>17600</v>
      </c>
      <c r="AU30" s="33">
        <v>595.0</v>
      </c>
      <c r="AV30" s="34">
        <v>500.0</v>
      </c>
      <c r="AW30" s="34" t="s">
        <v>82</v>
      </c>
      <c r="AX30" s="34">
        <v>1500.0</v>
      </c>
      <c r="AY30" s="34">
        <v>0.0</v>
      </c>
      <c r="AZ30" s="34">
        <v>0.0</v>
      </c>
      <c r="BA30" s="36">
        <v>0.0</v>
      </c>
      <c r="BB30" s="37" t="s">
        <v>84</v>
      </c>
      <c r="BC30" s="38">
        <f t="shared" si="2"/>
        <v>19100</v>
      </c>
      <c r="BD30" s="39">
        <f t="shared" si="3"/>
        <v>9395</v>
      </c>
      <c r="BE30" s="40">
        <f t="shared" si="4"/>
        <v>9205</v>
      </c>
      <c r="BF30" s="111"/>
      <c r="BG30" s="23"/>
      <c r="BH30" s="42"/>
      <c r="BI30" s="52"/>
      <c r="BJ30" s="23"/>
      <c r="BK30" s="56"/>
      <c r="BL30" s="56"/>
      <c r="BM30" s="56"/>
      <c r="BN30" s="56"/>
      <c r="BO30" s="56"/>
      <c r="BP30" s="56"/>
      <c r="BQ30" s="56"/>
      <c r="BR30" s="56"/>
      <c r="BS30" s="56"/>
      <c r="BT30" s="56"/>
      <c r="BU30" s="56"/>
      <c r="BV30" s="56"/>
      <c r="BW30" s="56"/>
      <c r="BX30" s="145"/>
      <c r="BY30" s="145"/>
      <c r="BZ30" s="145"/>
      <c r="CA30" s="145"/>
      <c r="CB30" s="145"/>
      <c r="CC30" s="145"/>
      <c r="CD30" s="145"/>
      <c r="CE30" s="145"/>
      <c r="CF30" s="145"/>
      <c r="CG30" s="145"/>
      <c r="CH30" s="145"/>
      <c r="CI30" s="145"/>
      <c r="CJ30" s="145"/>
      <c r="CK30" s="145"/>
      <c r="CL30" s="145"/>
      <c r="CM30" s="145"/>
      <c r="CN30" s="145"/>
      <c r="CO30" s="145"/>
      <c r="CP30" s="145"/>
      <c r="CQ30" s="145"/>
      <c r="CR30" s="145"/>
      <c r="CS30" s="145"/>
    </row>
    <row r="31">
      <c r="A31" s="23" t="s">
        <v>563</v>
      </c>
      <c r="B31" s="23" t="s">
        <v>47</v>
      </c>
      <c r="C31" s="24" t="s">
        <v>1335</v>
      </c>
      <c r="D31" s="23" t="s">
        <v>1336</v>
      </c>
      <c r="E31" s="56"/>
      <c r="F31" s="23">
        <v>92567.0</v>
      </c>
      <c r="G31" s="23" t="s">
        <v>50</v>
      </c>
      <c r="H31" s="23" t="s">
        <v>1337</v>
      </c>
      <c r="I31" s="56"/>
      <c r="J31" s="56"/>
      <c r="K31" s="23" t="s">
        <v>52</v>
      </c>
      <c r="L31" s="50"/>
      <c r="M31" s="23" t="s">
        <v>54</v>
      </c>
      <c r="N31" s="56"/>
      <c r="O31" s="25" t="s">
        <v>1338</v>
      </c>
      <c r="P31" s="26" t="s">
        <v>1339</v>
      </c>
      <c r="Q31" s="26" t="s">
        <v>1340</v>
      </c>
      <c r="R31" s="27" t="s">
        <v>1341</v>
      </c>
      <c r="S31" s="56"/>
      <c r="T31" s="56"/>
      <c r="U31" s="23" t="s">
        <v>1342</v>
      </c>
      <c r="V31" s="56"/>
      <c r="W31" s="56"/>
      <c r="X31" s="23" t="s">
        <v>60</v>
      </c>
      <c r="Y31" s="23" t="s">
        <v>61</v>
      </c>
      <c r="Z31" s="23" t="s">
        <v>746</v>
      </c>
      <c r="AA31" s="23" t="s">
        <v>1106</v>
      </c>
      <c r="AB31" s="23" t="s">
        <v>1343</v>
      </c>
      <c r="AC31" s="23" t="s">
        <v>64</v>
      </c>
      <c r="AD31" s="28">
        <v>46085.0</v>
      </c>
      <c r="AE31" s="28">
        <v>46101.0</v>
      </c>
      <c r="AF31" s="28">
        <v>46101.0</v>
      </c>
      <c r="AG31" s="28"/>
      <c r="AH31" s="56"/>
      <c r="AI31" s="56"/>
      <c r="AJ31" s="56"/>
      <c r="AK31" s="56"/>
      <c r="AL31" s="56"/>
      <c r="AM31" s="56"/>
      <c r="AN31" s="56"/>
      <c r="AO31" s="291"/>
      <c r="AP31" s="24" t="s">
        <v>65</v>
      </c>
      <c r="AQ31" s="23" t="s">
        <v>167</v>
      </c>
      <c r="AR31" s="30">
        <v>485000.0</v>
      </c>
      <c r="AS31" s="31">
        <v>0.02</v>
      </c>
      <c r="AT31" s="32">
        <f t="shared" si="10"/>
        <v>9700</v>
      </c>
      <c r="AU31" s="33">
        <v>595.0</v>
      </c>
      <c r="AV31" s="34">
        <v>500.0</v>
      </c>
      <c r="AW31" s="34" t="s">
        <v>82</v>
      </c>
      <c r="AX31" s="34">
        <v>1095.0</v>
      </c>
      <c r="AY31" s="34">
        <v>0.0</v>
      </c>
      <c r="AZ31" s="34">
        <v>0.0</v>
      </c>
      <c r="BA31" s="36">
        <v>0.0</v>
      </c>
      <c r="BB31" s="37" t="s">
        <v>202</v>
      </c>
      <c r="BC31" s="38">
        <f t="shared" si="2"/>
        <v>10795</v>
      </c>
      <c r="BD31" s="39">
        <f t="shared" si="3"/>
        <v>3505</v>
      </c>
      <c r="BE31" s="40">
        <f t="shared" si="4"/>
        <v>6790</v>
      </c>
      <c r="BF31" s="111"/>
      <c r="BG31" s="23" t="s">
        <v>67</v>
      </c>
      <c r="BH31" s="42"/>
      <c r="BI31" s="52"/>
      <c r="BJ31" s="23"/>
      <c r="BK31" s="56"/>
      <c r="BL31" s="56"/>
      <c r="BM31" s="56"/>
      <c r="BN31" s="56"/>
      <c r="BO31" s="56"/>
      <c r="BP31" s="56"/>
      <c r="BQ31" s="56"/>
      <c r="BR31" s="56"/>
      <c r="BS31" s="56"/>
      <c r="BT31" s="56"/>
      <c r="BU31" s="56"/>
      <c r="BV31" s="56"/>
      <c r="BW31" s="56"/>
      <c r="BX31" s="42"/>
      <c r="BY31" s="42"/>
      <c r="BZ31" s="42"/>
      <c r="CA31" s="42"/>
      <c r="CB31" s="42"/>
      <c r="CC31" s="42"/>
      <c r="CD31" s="42"/>
      <c r="CE31" s="42"/>
      <c r="CF31" s="42"/>
      <c r="CG31" s="42"/>
      <c r="CH31" s="42"/>
      <c r="CI31" s="42"/>
      <c r="CJ31" s="42"/>
      <c r="CK31" s="42"/>
      <c r="CL31" s="42"/>
      <c r="CM31" s="42"/>
      <c r="CN31" s="42"/>
      <c r="CO31" s="42"/>
      <c r="CP31" s="42"/>
      <c r="CQ31" s="42"/>
      <c r="CR31" s="42"/>
      <c r="CS31" s="42"/>
    </row>
    <row r="32">
      <c r="A32" s="23" t="s">
        <v>1418</v>
      </c>
      <c r="B32" s="23" t="s">
        <v>47</v>
      </c>
      <c r="C32" s="24" t="s">
        <v>1397</v>
      </c>
      <c r="D32" s="23" t="s">
        <v>49</v>
      </c>
      <c r="E32" s="56"/>
      <c r="F32" s="23">
        <v>92586.0</v>
      </c>
      <c r="G32" s="23" t="s">
        <v>50</v>
      </c>
      <c r="H32" s="23" t="s">
        <v>742</v>
      </c>
      <c r="I32" s="56"/>
      <c r="J32" s="56"/>
      <c r="K32" s="23" t="s">
        <v>172</v>
      </c>
      <c r="L32" s="23" t="s">
        <v>53</v>
      </c>
      <c r="M32" s="23" t="s">
        <v>103</v>
      </c>
      <c r="N32" s="56"/>
      <c r="O32" s="25" t="s">
        <v>1398</v>
      </c>
      <c r="P32" s="26" t="s">
        <v>1399</v>
      </c>
      <c r="Q32" s="27" t="s">
        <v>1400</v>
      </c>
      <c r="R32" s="27" t="s">
        <v>1401</v>
      </c>
      <c r="S32" s="56"/>
      <c r="T32" s="56"/>
      <c r="U32" s="23" t="s">
        <v>1402</v>
      </c>
      <c r="V32" s="56"/>
      <c r="W32" s="56"/>
      <c r="X32" s="23" t="s">
        <v>60</v>
      </c>
      <c r="Y32" s="23" t="s">
        <v>61</v>
      </c>
      <c r="Z32" s="23"/>
      <c r="AA32" s="23" t="s">
        <v>1403</v>
      </c>
      <c r="AB32" s="23" t="s">
        <v>1404</v>
      </c>
      <c r="AC32" s="23" t="s">
        <v>64</v>
      </c>
      <c r="AD32" s="28">
        <v>46085.0</v>
      </c>
      <c r="AE32" s="28">
        <v>46115.0</v>
      </c>
      <c r="AF32" s="28">
        <v>46115.0</v>
      </c>
      <c r="AG32" s="28"/>
      <c r="AH32" s="56"/>
      <c r="AI32" s="56"/>
      <c r="AJ32" s="56"/>
      <c r="AK32" s="56"/>
      <c r="AL32" s="56"/>
      <c r="AM32" s="56"/>
      <c r="AN32" s="56"/>
      <c r="AO32" s="291"/>
      <c r="AP32" s="24" t="s">
        <v>65</v>
      </c>
      <c r="AQ32" s="23" t="s">
        <v>66</v>
      </c>
      <c r="AR32" s="30">
        <v>330000.0</v>
      </c>
      <c r="AS32" s="31">
        <v>0.02</v>
      </c>
      <c r="AT32" s="32">
        <f t="shared" si="10"/>
        <v>6600</v>
      </c>
      <c r="AU32" s="33">
        <v>595.0</v>
      </c>
      <c r="AV32" s="34" t="s">
        <v>111</v>
      </c>
      <c r="AW32" s="34">
        <v>0.0</v>
      </c>
      <c r="AX32" s="34">
        <v>995.0</v>
      </c>
      <c r="AY32" s="34">
        <v>0.0</v>
      </c>
      <c r="AZ32" s="35">
        <f>sum(AT32,-AY32)*0.4</f>
        <v>2640</v>
      </c>
      <c r="BA32" s="36">
        <v>0.0</v>
      </c>
      <c r="BB32" s="37" t="s">
        <v>47</v>
      </c>
      <c r="BC32" s="38">
        <f t="shared" si="2"/>
        <v>4955</v>
      </c>
      <c r="BD32" s="39">
        <f t="shared" si="3"/>
        <v>2575</v>
      </c>
      <c r="BE32" s="40">
        <f t="shared" si="4"/>
        <v>2380</v>
      </c>
      <c r="BF32" s="111"/>
      <c r="BG32" s="23" t="s">
        <v>67</v>
      </c>
      <c r="BH32" s="42"/>
      <c r="BI32" s="23" t="s">
        <v>2557</v>
      </c>
      <c r="BJ32" s="23" t="s">
        <v>69</v>
      </c>
      <c r="BK32" s="56"/>
      <c r="BL32" s="56"/>
      <c r="BM32" s="56"/>
      <c r="BN32" s="56"/>
      <c r="BO32" s="56"/>
      <c r="BP32" s="56"/>
      <c r="BQ32" s="56"/>
      <c r="BR32" s="56"/>
      <c r="BS32" s="56"/>
      <c r="BT32" s="56"/>
      <c r="BU32" s="56"/>
      <c r="BV32" s="56"/>
      <c r="BW32" s="56"/>
      <c r="BX32" s="42"/>
      <c r="BY32" s="42"/>
      <c r="BZ32" s="42"/>
      <c r="CA32" s="42"/>
      <c r="CB32" s="42"/>
      <c r="CC32" s="42"/>
      <c r="CD32" s="42"/>
      <c r="CE32" s="42"/>
      <c r="CF32" s="42"/>
      <c r="CG32" s="42"/>
      <c r="CH32" s="42"/>
      <c r="CI32" s="42"/>
      <c r="CJ32" s="42"/>
      <c r="CK32" s="42"/>
      <c r="CL32" s="42"/>
      <c r="CM32" s="42"/>
      <c r="CN32" s="42"/>
      <c r="CO32" s="42"/>
      <c r="CP32" s="42"/>
      <c r="CQ32" s="42"/>
      <c r="CR32" s="42"/>
      <c r="CS32" s="42"/>
    </row>
    <row r="33">
      <c r="A33" s="23" t="s">
        <v>1418</v>
      </c>
      <c r="B33" s="23" t="s">
        <v>84</v>
      </c>
      <c r="C33" s="24" t="s">
        <v>2238</v>
      </c>
      <c r="D33" s="23" t="s">
        <v>138</v>
      </c>
      <c r="E33" s="56"/>
      <c r="F33" s="23">
        <v>92582.0</v>
      </c>
      <c r="G33" s="23" t="s">
        <v>50</v>
      </c>
      <c r="H33" s="23" t="s">
        <v>424</v>
      </c>
      <c r="I33" s="56"/>
      <c r="J33" s="56"/>
      <c r="K33" s="23" t="s">
        <v>172</v>
      </c>
      <c r="L33" s="50"/>
      <c r="M33" s="23" t="s">
        <v>54</v>
      </c>
      <c r="N33" s="56"/>
      <c r="O33" s="25" t="s">
        <v>2239</v>
      </c>
      <c r="P33" s="26" t="s">
        <v>2240</v>
      </c>
      <c r="Q33" s="26" t="s">
        <v>2241</v>
      </c>
      <c r="R33" s="24" t="s">
        <v>1167</v>
      </c>
      <c r="S33" s="56"/>
      <c r="T33" s="56"/>
      <c r="U33" s="23" t="s">
        <v>420</v>
      </c>
      <c r="V33" s="56"/>
      <c r="W33" s="56"/>
      <c r="X33" s="23" t="s">
        <v>249</v>
      </c>
      <c r="Y33" s="23" t="s">
        <v>132</v>
      </c>
      <c r="Z33" s="23" t="s">
        <v>94</v>
      </c>
      <c r="AA33" s="23" t="s">
        <v>2334</v>
      </c>
      <c r="AB33" s="23" t="s">
        <v>2335</v>
      </c>
      <c r="AC33" s="23" t="s">
        <v>64</v>
      </c>
      <c r="AD33" s="28">
        <v>46085.0</v>
      </c>
      <c r="AE33" s="28">
        <v>46115.0</v>
      </c>
      <c r="AF33" s="28">
        <v>46115.0</v>
      </c>
      <c r="AG33" s="28"/>
      <c r="AH33" s="56"/>
      <c r="AI33" s="56"/>
      <c r="AJ33" s="56"/>
      <c r="AK33" s="56"/>
      <c r="AL33" s="56"/>
      <c r="AM33" s="56"/>
      <c r="AN33" s="56"/>
      <c r="AO33" s="291"/>
      <c r="AP33" s="24" t="s">
        <v>124</v>
      </c>
      <c r="AQ33" s="23" t="s">
        <v>167</v>
      </c>
      <c r="AR33" s="30">
        <v>115000.0</v>
      </c>
      <c r="AS33" s="31">
        <v>0.04</v>
      </c>
      <c r="AT33" s="32">
        <f t="shared" si="10"/>
        <v>4600</v>
      </c>
      <c r="AU33" s="33" t="s">
        <v>82</v>
      </c>
      <c r="AV33" s="34">
        <v>0.0</v>
      </c>
      <c r="AW33" s="34" t="s">
        <v>82</v>
      </c>
      <c r="AX33" s="34">
        <v>695.0</v>
      </c>
      <c r="AY33" s="34">
        <v>0.0</v>
      </c>
      <c r="AZ33" s="34">
        <v>0.0</v>
      </c>
      <c r="BA33" s="36">
        <v>0.0</v>
      </c>
      <c r="BB33" s="37" t="s">
        <v>202</v>
      </c>
      <c r="BC33" s="38">
        <f t="shared" si="2"/>
        <v>5195</v>
      </c>
      <c r="BD33" s="39">
        <f t="shared" si="3"/>
        <v>1975</v>
      </c>
      <c r="BE33" s="40">
        <f t="shared" si="4"/>
        <v>3220</v>
      </c>
      <c r="BF33" s="111"/>
      <c r="BG33" s="23"/>
      <c r="BH33" s="42"/>
      <c r="BI33" s="52"/>
      <c r="BJ33" s="23"/>
      <c r="BK33" s="56"/>
      <c r="BL33" s="56"/>
      <c r="BM33" s="56"/>
      <c r="BN33" s="56"/>
      <c r="BO33" s="56"/>
      <c r="BP33" s="56"/>
      <c r="BQ33" s="56"/>
      <c r="BR33" s="56"/>
      <c r="BS33" s="56"/>
      <c r="BT33" s="56"/>
      <c r="BU33" s="56"/>
      <c r="BV33" s="56"/>
      <c r="BW33" s="56"/>
      <c r="BX33" s="42"/>
      <c r="BY33" s="42"/>
      <c r="BZ33" s="42"/>
      <c r="CA33" s="42"/>
      <c r="CB33" s="42"/>
      <c r="CC33" s="42"/>
      <c r="CD33" s="42"/>
      <c r="CE33" s="42"/>
      <c r="CF33" s="42"/>
      <c r="CG33" s="42"/>
      <c r="CH33" s="42"/>
      <c r="CI33" s="42"/>
      <c r="CJ33" s="42"/>
      <c r="CK33" s="42"/>
      <c r="CL33" s="42"/>
      <c r="CM33" s="42"/>
      <c r="CN33" s="42"/>
      <c r="CO33" s="42"/>
      <c r="CP33" s="42"/>
      <c r="CQ33" s="42"/>
      <c r="CR33" s="42"/>
      <c r="CS33" s="42"/>
    </row>
    <row r="34">
      <c r="A34" s="23" t="s">
        <v>1418</v>
      </c>
      <c r="B34" s="23" t="s">
        <v>84</v>
      </c>
      <c r="C34" s="24" t="s">
        <v>1367</v>
      </c>
      <c r="D34" s="23" t="s">
        <v>148</v>
      </c>
      <c r="E34" s="56"/>
      <c r="F34" s="23">
        <v>92883.0</v>
      </c>
      <c r="G34" s="23" t="s">
        <v>50</v>
      </c>
      <c r="H34" s="23" t="s">
        <v>341</v>
      </c>
      <c r="I34" s="56"/>
      <c r="J34" s="56"/>
      <c r="K34" s="23" t="s">
        <v>172</v>
      </c>
      <c r="L34" s="50"/>
      <c r="M34" s="23" t="s">
        <v>54</v>
      </c>
      <c r="N34" s="56"/>
      <c r="O34" s="25" t="s">
        <v>1368</v>
      </c>
      <c r="P34" s="26" t="s">
        <v>1369</v>
      </c>
      <c r="Q34" s="26" t="s">
        <v>1370</v>
      </c>
      <c r="R34" s="27" t="s">
        <v>92</v>
      </c>
      <c r="S34" s="56"/>
      <c r="T34" s="56"/>
      <c r="U34" s="23" t="s">
        <v>1371</v>
      </c>
      <c r="V34" s="56"/>
      <c r="W34" s="56"/>
      <c r="X34" s="23" t="s">
        <v>898</v>
      </c>
      <c r="Y34" s="23" t="s">
        <v>132</v>
      </c>
      <c r="Z34" s="23" t="s">
        <v>94</v>
      </c>
      <c r="AA34" s="23" t="s">
        <v>1372</v>
      </c>
      <c r="AB34" s="23" t="s">
        <v>1373</v>
      </c>
      <c r="AC34" s="23" t="s">
        <v>64</v>
      </c>
      <c r="AD34" s="28">
        <v>46086.0</v>
      </c>
      <c r="AE34" s="28">
        <v>46118.0</v>
      </c>
      <c r="AF34" s="28">
        <v>46108.0</v>
      </c>
      <c r="AG34" s="28"/>
      <c r="AH34" s="56"/>
      <c r="AI34" s="56"/>
      <c r="AJ34" s="56"/>
      <c r="AK34" s="56"/>
      <c r="AL34" s="56"/>
      <c r="AM34" s="56"/>
      <c r="AN34" s="56"/>
      <c r="AO34" s="291"/>
      <c r="AP34" s="24" t="s">
        <v>65</v>
      </c>
      <c r="AQ34" s="23" t="s">
        <v>66</v>
      </c>
      <c r="AR34" s="30">
        <v>615000.0</v>
      </c>
      <c r="AS34" s="31">
        <v>0.025</v>
      </c>
      <c r="AT34" s="32">
        <f t="shared" si="10"/>
        <v>15375</v>
      </c>
      <c r="AU34" s="33">
        <v>595.0</v>
      </c>
      <c r="AV34" s="34">
        <v>500.0</v>
      </c>
      <c r="AW34" s="34" t="s">
        <v>82</v>
      </c>
      <c r="AX34" s="34">
        <v>1345.0</v>
      </c>
      <c r="AY34" s="34">
        <v>0.0</v>
      </c>
      <c r="AZ34" s="35">
        <f t="shared" ref="AZ34:AZ35" si="11">sum(AT34,-AY34)*0.4</f>
        <v>6150</v>
      </c>
      <c r="BA34" s="36">
        <v>0.0</v>
      </c>
      <c r="BB34" s="37" t="s">
        <v>84</v>
      </c>
      <c r="BC34" s="38">
        <f t="shared" si="2"/>
        <v>10570</v>
      </c>
      <c r="BD34" s="39">
        <f t="shared" si="3"/>
        <v>5207.5</v>
      </c>
      <c r="BE34" s="40">
        <f t="shared" si="4"/>
        <v>4862.5</v>
      </c>
      <c r="BF34" s="111"/>
      <c r="BG34" s="23" t="s">
        <v>67</v>
      </c>
      <c r="BH34" s="42"/>
      <c r="BI34" s="52"/>
      <c r="BJ34" s="23"/>
      <c r="BK34" s="56"/>
      <c r="BL34" s="56"/>
      <c r="BM34" s="56"/>
      <c r="BN34" s="56"/>
      <c r="BO34" s="56"/>
      <c r="BP34" s="56"/>
      <c r="BQ34" s="56"/>
      <c r="BR34" s="56"/>
      <c r="BS34" s="56"/>
      <c r="BT34" s="56"/>
      <c r="BU34" s="56"/>
      <c r="BV34" s="56"/>
      <c r="BW34" s="56"/>
      <c r="BX34" s="42"/>
      <c r="BY34" s="42"/>
      <c r="BZ34" s="42"/>
      <c r="CA34" s="42"/>
      <c r="CB34" s="42"/>
      <c r="CC34" s="42"/>
      <c r="CD34" s="42"/>
      <c r="CE34" s="42"/>
      <c r="CF34" s="42"/>
      <c r="CG34" s="42"/>
      <c r="CH34" s="42"/>
      <c r="CI34" s="42"/>
      <c r="CJ34" s="42"/>
      <c r="CK34" s="42"/>
      <c r="CL34" s="42"/>
      <c r="CM34" s="42"/>
      <c r="CN34" s="42"/>
      <c r="CO34" s="42"/>
      <c r="CP34" s="42"/>
      <c r="CQ34" s="42"/>
      <c r="CR34" s="42"/>
      <c r="CS34" s="42"/>
    </row>
    <row r="35">
      <c r="A35" s="23" t="s">
        <v>563</v>
      </c>
      <c r="B35" s="23" t="s">
        <v>84</v>
      </c>
      <c r="C35" s="24" t="s">
        <v>1357</v>
      </c>
      <c r="D35" s="23" t="s">
        <v>1358</v>
      </c>
      <c r="E35" s="56"/>
      <c r="F35" s="23">
        <v>91730.0</v>
      </c>
      <c r="G35" s="23" t="s">
        <v>101</v>
      </c>
      <c r="H35" s="23" t="s">
        <v>184</v>
      </c>
      <c r="I35" s="56"/>
      <c r="J35" s="56"/>
      <c r="K35" s="23" t="s">
        <v>73</v>
      </c>
      <c r="L35" s="50"/>
      <c r="M35" s="23" t="s">
        <v>185</v>
      </c>
      <c r="N35" s="56"/>
      <c r="O35" s="25" t="s">
        <v>1359</v>
      </c>
      <c r="P35" s="26" t="s">
        <v>1360</v>
      </c>
      <c r="Q35" s="26" t="s">
        <v>1361</v>
      </c>
      <c r="R35" s="27" t="s">
        <v>92</v>
      </c>
      <c r="S35" s="56"/>
      <c r="T35" s="56"/>
      <c r="U35" s="23"/>
      <c r="V35" s="56"/>
      <c r="W35" s="56"/>
      <c r="X35" s="23" t="s">
        <v>60</v>
      </c>
      <c r="Y35" s="23" t="s">
        <v>132</v>
      </c>
      <c r="Z35" s="23" t="s">
        <v>94</v>
      </c>
      <c r="AA35" s="47" t="s">
        <v>680</v>
      </c>
      <c r="AB35" s="47" t="s">
        <v>680</v>
      </c>
      <c r="AC35" s="23" t="s">
        <v>64</v>
      </c>
      <c r="AD35" s="28">
        <v>46080.0</v>
      </c>
      <c r="AE35" s="28">
        <v>46108.0</v>
      </c>
      <c r="AF35" s="28">
        <v>46108.0</v>
      </c>
      <c r="AG35" s="28"/>
      <c r="AH35" s="56"/>
      <c r="AI35" s="56"/>
      <c r="AJ35" s="56"/>
      <c r="AK35" s="56"/>
      <c r="AL35" s="56"/>
      <c r="AM35" s="56"/>
      <c r="AN35" s="56"/>
      <c r="AO35" s="291"/>
      <c r="AP35" s="24" t="s">
        <v>65</v>
      </c>
      <c r="AQ35" s="23" t="s">
        <v>66</v>
      </c>
      <c r="AR35" s="30">
        <v>599999.0</v>
      </c>
      <c r="AS35" s="31">
        <v>0.03</v>
      </c>
      <c r="AT35" s="32">
        <f t="shared" si="10"/>
        <v>17999.97</v>
      </c>
      <c r="AU35" s="33">
        <v>595.0</v>
      </c>
      <c r="AV35" s="34">
        <v>0.0</v>
      </c>
      <c r="AW35" s="34" t="s">
        <v>82</v>
      </c>
      <c r="AX35" s="34">
        <v>595.0</v>
      </c>
      <c r="AY35" s="34">
        <v>0.0</v>
      </c>
      <c r="AZ35" s="35">
        <f t="shared" si="11"/>
        <v>7199.988</v>
      </c>
      <c r="BA35" s="36">
        <v>0.0</v>
      </c>
      <c r="BB35" s="37" t="s">
        <v>84</v>
      </c>
      <c r="BC35" s="38">
        <f t="shared" si="2"/>
        <v>11394.982</v>
      </c>
      <c r="BD35" s="39">
        <f t="shared" si="3"/>
        <v>5994.991</v>
      </c>
      <c r="BE35" s="40">
        <f t="shared" si="4"/>
        <v>5399.991</v>
      </c>
      <c r="BF35" s="111"/>
      <c r="BG35" s="23"/>
      <c r="BH35" s="42"/>
      <c r="BI35" s="52"/>
      <c r="BJ35" s="23"/>
      <c r="BK35" s="56"/>
      <c r="BL35" s="56"/>
      <c r="BM35" s="56"/>
      <c r="BN35" s="56"/>
      <c r="BO35" s="56"/>
      <c r="BP35" s="56"/>
      <c r="BQ35" s="56"/>
      <c r="BR35" s="56"/>
      <c r="BS35" s="56"/>
      <c r="BT35" s="56"/>
      <c r="BU35" s="56"/>
      <c r="BV35" s="56"/>
      <c r="BW35" s="56"/>
      <c r="BX35" s="42"/>
      <c r="BY35" s="42"/>
      <c r="BZ35" s="42"/>
      <c r="CA35" s="42"/>
      <c r="CB35" s="42"/>
      <c r="CC35" s="42"/>
      <c r="CD35" s="42"/>
      <c r="CE35" s="42"/>
      <c r="CF35" s="42"/>
      <c r="CG35" s="42"/>
      <c r="CH35" s="42"/>
      <c r="CI35" s="42"/>
      <c r="CJ35" s="42"/>
      <c r="CK35" s="42"/>
      <c r="CL35" s="42"/>
      <c r="CM35" s="42"/>
      <c r="CN35" s="42"/>
      <c r="CO35" s="42"/>
      <c r="CP35" s="42"/>
      <c r="CQ35" s="42"/>
      <c r="CR35" s="42"/>
      <c r="CS35" s="42"/>
    </row>
    <row r="36">
      <c r="A36" s="23" t="s">
        <v>563</v>
      </c>
      <c r="B36" s="23" t="s">
        <v>47</v>
      </c>
      <c r="C36" s="24" t="s">
        <v>1357</v>
      </c>
      <c r="D36" s="23" t="s">
        <v>1358</v>
      </c>
      <c r="E36" s="56"/>
      <c r="F36" s="23">
        <v>91730.0</v>
      </c>
      <c r="G36" s="23" t="s">
        <v>101</v>
      </c>
      <c r="H36" s="23" t="s">
        <v>184</v>
      </c>
      <c r="I36" s="56"/>
      <c r="J36" s="56"/>
      <c r="K36" s="23" t="s">
        <v>73</v>
      </c>
      <c r="L36" s="50"/>
      <c r="M36" s="23" t="s">
        <v>185</v>
      </c>
      <c r="N36" s="56"/>
      <c r="O36" s="25" t="s">
        <v>1364</v>
      </c>
      <c r="P36" s="26" t="s">
        <v>1365</v>
      </c>
      <c r="Q36" s="26"/>
      <c r="R36" s="27" t="s">
        <v>92</v>
      </c>
      <c r="S36" s="56"/>
      <c r="T36" s="56"/>
      <c r="U36" s="23" t="s">
        <v>1366</v>
      </c>
      <c r="V36" s="56"/>
      <c r="W36" s="56"/>
      <c r="X36" s="23" t="s">
        <v>60</v>
      </c>
      <c r="Y36" s="23" t="s">
        <v>132</v>
      </c>
      <c r="Z36" s="23" t="s">
        <v>94</v>
      </c>
      <c r="AA36" s="47" t="s">
        <v>680</v>
      </c>
      <c r="AB36" s="47" t="s">
        <v>680</v>
      </c>
      <c r="AC36" s="23" t="s">
        <v>64</v>
      </c>
      <c r="AD36" s="28">
        <v>46080.0</v>
      </c>
      <c r="AE36" s="28">
        <v>46108.0</v>
      </c>
      <c r="AF36" s="28">
        <v>46108.0</v>
      </c>
      <c r="AG36" s="28"/>
      <c r="AH36" s="56"/>
      <c r="AI36" s="56"/>
      <c r="AJ36" s="56"/>
      <c r="AK36" s="56"/>
      <c r="AL36" s="56"/>
      <c r="AM36" s="56"/>
      <c r="AN36" s="56"/>
      <c r="AO36" s="291"/>
      <c r="AP36" s="24" t="s">
        <v>65</v>
      </c>
      <c r="AQ36" s="23"/>
      <c r="AR36" s="30">
        <v>599999.0</v>
      </c>
      <c r="AS36" s="31">
        <v>0.02</v>
      </c>
      <c r="AT36" s="32">
        <f t="shared" si="10"/>
        <v>11999.98</v>
      </c>
      <c r="AU36" s="33">
        <v>595.0</v>
      </c>
      <c r="AV36" s="34">
        <v>0.0</v>
      </c>
      <c r="AW36" s="34" t="s">
        <v>82</v>
      </c>
      <c r="AX36" s="34">
        <v>0.0</v>
      </c>
      <c r="AY36" s="34">
        <v>0.0</v>
      </c>
      <c r="AZ36" s="34">
        <v>0.0</v>
      </c>
      <c r="BA36" s="36">
        <v>0.0</v>
      </c>
      <c r="BB36" s="37" t="s">
        <v>47</v>
      </c>
      <c r="BC36" s="38">
        <f t="shared" si="2"/>
        <v>11999.98</v>
      </c>
      <c r="BD36" s="39">
        <f t="shared" si="3"/>
        <v>6594.99</v>
      </c>
      <c r="BE36" s="40">
        <f t="shared" si="4"/>
        <v>5404.99</v>
      </c>
      <c r="BF36" s="111"/>
      <c r="BG36" s="23"/>
      <c r="BH36" s="42"/>
      <c r="BI36" s="52"/>
      <c r="BJ36" s="23"/>
      <c r="BK36" s="56"/>
      <c r="BL36" s="56"/>
      <c r="BM36" s="56"/>
      <c r="BN36" s="56"/>
      <c r="BO36" s="56"/>
      <c r="BP36" s="56"/>
      <c r="BQ36" s="56"/>
      <c r="BR36" s="56"/>
      <c r="BS36" s="56"/>
      <c r="BT36" s="56"/>
      <c r="BU36" s="56"/>
      <c r="BV36" s="56"/>
      <c r="BW36" s="56"/>
      <c r="BX36" s="42"/>
      <c r="BY36" s="42"/>
      <c r="BZ36" s="42"/>
      <c r="CA36" s="42"/>
      <c r="CB36" s="42"/>
      <c r="CC36" s="42"/>
      <c r="CD36" s="42"/>
      <c r="CE36" s="42"/>
      <c r="CF36" s="42"/>
      <c r="CG36" s="42"/>
      <c r="CH36" s="42"/>
      <c r="CI36" s="42"/>
      <c r="CJ36" s="42"/>
      <c r="CK36" s="42"/>
      <c r="CL36" s="42"/>
      <c r="CM36" s="42"/>
      <c r="CN36" s="42"/>
      <c r="CO36" s="42"/>
      <c r="CP36" s="42"/>
      <c r="CQ36" s="42"/>
      <c r="CR36" s="42"/>
      <c r="CS36" s="42"/>
    </row>
    <row r="37">
      <c r="A37" s="23" t="s">
        <v>563</v>
      </c>
      <c r="B37" s="23" t="s">
        <v>84</v>
      </c>
      <c r="C37" s="24" t="s">
        <v>1349</v>
      </c>
      <c r="D37" s="23" t="s">
        <v>49</v>
      </c>
      <c r="E37" s="56"/>
      <c r="F37" s="23">
        <v>92584.0</v>
      </c>
      <c r="G37" s="23" t="s">
        <v>50</v>
      </c>
      <c r="H37" s="23" t="s">
        <v>102</v>
      </c>
      <c r="I37" s="56"/>
      <c r="J37" s="56"/>
      <c r="K37" s="23" t="s">
        <v>172</v>
      </c>
      <c r="L37" s="50"/>
      <c r="M37" s="23" t="s">
        <v>103</v>
      </c>
      <c r="N37" s="56"/>
      <c r="O37" s="25" t="s">
        <v>1350</v>
      </c>
      <c r="P37" s="26" t="s">
        <v>1351</v>
      </c>
      <c r="Q37" s="27" t="s">
        <v>1352</v>
      </c>
      <c r="R37" s="27" t="s">
        <v>92</v>
      </c>
      <c r="S37" s="56"/>
      <c r="T37" s="56"/>
      <c r="U37" s="23" t="s">
        <v>1353</v>
      </c>
      <c r="V37" s="56"/>
      <c r="W37" s="56"/>
      <c r="X37" s="23" t="s">
        <v>737</v>
      </c>
      <c r="Y37" s="23" t="s">
        <v>132</v>
      </c>
      <c r="Z37" s="23" t="s">
        <v>94</v>
      </c>
      <c r="AA37" s="23" t="s">
        <v>1354</v>
      </c>
      <c r="AB37" s="23" t="s">
        <v>1355</v>
      </c>
      <c r="AC37" s="23" t="s">
        <v>64</v>
      </c>
      <c r="AD37" s="28">
        <v>46089.0</v>
      </c>
      <c r="AE37" s="28">
        <v>46104.0</v>
      </c>
      <c r="AF37" s="28">
        <v>46104.0</v>
      </c>
      <c r="AG37" s="28"/>
      <c r="AH37" s="56"/>
      <c r="AI37" s="56"/>
      <c r="AJ37" s="56"/>
      <c r="AK37" s="56"/>
      <c r="AL37" s="56"/>
      <c r="AM37" s="56"/>
      <c r="AN37" s="56"/>
      <c r="AO37" s="291"/>
      <c r="AP37" s="24" t="s">
        <v>65</v>
      </c>
      <c r="AQ37" s="23" t="s">
        <v>167</v>
      </c>
      <c r="AR37" s="30">
        <v>615000.0</v>
      </c>
      <c r="AS37" s="31">
        <v>0.03</v>
      </c>
      <c r="AT37" s="32">
        <f t="shared" si="10"/>
        <v>18450</v>
      </c>
      <c r="AU37" s="33">
        <v>595.0</v>
      </c>
      <c r="AV37" s="34" t="s">
        <v>111</v>
      </c>
      <c r="AW37" s="34" t="s">
        <v>111</v>
      </c>
      <c r="AX37" s="34">
        <v>0.0</v>
      </c>
      <c r="AY37" s="34">
        <v>0.0</v>
      </c>
      <c r="AZ37" s="34">
        <v>0.0</v>
      </c>
      <c r="BA37" s="36">
        <v>0.0</v>
      </c>
      <c r="BB37" s="37" t="s">
        <v>202</v>
      </c>
      <c r="BC37" s="38">
        <f t="shared" si="2"/>
        <v>18450</v>
      </c>
      <c r="BD37" s="39">
        <f t="shared" si="3"/>
        <v>6130</v>
      </c>
      <c r="BE37" s="40">
        <f t="shared" si="4"/>
        <v>12320</v>
      </c>
      <c r="BF37" s="111"/>
      <c r="BG37" s="23"/>
      <c r="BH37" s="42"/>
      <c r="BI37" s="52"/>
      <c r="BJ37" s="23"/>
      <c r="BK37" s="56"/>
      <c r="BL37" s="56"/>
      <c r="BM37" s="56"/>
      <c r="BN37" s="56"/>
      <c r="BO37" s="56"/>
      <c r="BP37" s="56"/>
      <c r="BQ37" s="56"/>
      <c r="BR37" s="56"/>
      <c r="BS37" s="56"/>
      <c r="BT37" s="56"/>
      <c r="BU37" s="56"/>
      <c r="BV37" s="56"/>
      <c r="BW37" s="56"/>
      <c r="BX37" s="42"/>
      <c r="BY37" s="42"/>
      <c r="BZ37" s="42"/>
      <c r="CA37" s="42"/>
      <c r="CB37" s="42"/>
      <c r="CC37" s="42"/>
      <c r="CD37" s="42"/>
      <c r="CE37" s="42"/>
      <c r="CF37" s="42"/>
      <c r="CG37" s="42"/>
      <c r="CH37" s="42"/>
      <c r="CI37" s="42"/>
      <c r="CJ37" s="42"/>
      <c r="CK37" s="42"/>
      <c r="CL37" s="42"/>
      <c r="CM37" s="42"/>
      <c r="CN37" s="42"/>
      <c r="CO37" s="42"/>
      <c r="CP37" s="42"/>
      <c r="CQ37" s="42"/>
      <c r="CR37" s="42"/>
      <c r="CS37" s="42"/>
    </row>
    <row r="38">
      <c r="A38" s="23" t="s">
        <v>563</v>
      </c>
      <c r="B38" s="23" t="s">
        <v>84</v>
      </c>
      <c r="C38" s="24" t="s">
        <v>1575</v>
      </c>
      <c r="D38" s="138" t="s">
        <v>1576</v>
      </c>
      <c r="E38" s="56"/>
      <c r="F38" s="23">
        <v>91709.0</v>
      </c>
      <c r="G38" s="23" t="s">
        <v>101</v>
      </c>
      <c r="H38" s="37" t="s">
        <v>88</v>
      </c>
      <c r="I38" s="56"/>
      <c r="J38" s="56"/>
      <c r="K38" s="23" t="s">
        <v>52</v>
      </c>
      <c r="L38" s="50"/>
      <c r="M38" s="23" t="s">
        <v>54</v>
      </c>
      <c r="N38" s="56"/>
      <c r="O38" s="25" t="s">
        <v>1577</v>
      </c>
      <c r="P38" s="26" t="s">
        <v>1578</v>
      </c>
      <c r="Q38" s="26" t="s">
        <v>1579</v>
      </c>
      <c r="R38" s="27" t="s">
        <v>92</v>
      </c>
      <c r="S38" s="56"/>
      <c r="T38" s="56"/>
      <c r="U38" s="23" t="s">
        <v>1580</v>
      </c>
      <c r="V38" s="56"/>
      <c r="W38" s="56"/>
      <c r="X38" s="23" t="s">
        <v>60</v>
      </c>
      <c r="Y38" s="23" t="s">
        <v>132</v>
      </c>
      <c r="Z38" s="23" t="s">
        <v>94</v>
      </c>
      <c r="AA38" s="23" t="s">
        <v>1581</v>
      </c>
      <c r="AB38" s="23" t="s">
        <v>1582</v>
      </c>
      <c r="AC38" s="23" t="s">
        <v>64</v>
      </c>
      <c r="AD38" s="28">
        <v>46090.0</v>
      </c>
      <c r="AE38" s="28">
        <v>46111.0</v>
      </c>
      <c r="AF38" s="28">
        <v>46111.0</v>
      </c>
      <c r="AG38" s="28"/>
      <c r="AH38" s="56"/>
      <c r="AI38" s="56"/>
      <c r="AJ38" s="56"/>
      <c r="AK38" s="56"/>
      <c r="AL38" s="56"/>
      <c r="AM38" s="56"/>
      <c r="AN38" s="56"/>
      <c r="AO38" s="291"/>
      <c r="AP38" s="24" t="s">
        <v>65</v>
      </c>
      <c r="AQ38" s="23" t="s">
        <v>156</v>
      </c>
      <c r="AR38" s="30">
        <v>618000.0</v>
      </c>
      <c r="AS38" s="31">
        <v>0.04</v>
      </c>
      <c r="AT38" s="32">
        <f t="shared" si="10"/>
        <v>24720</v>
      </c>
      <c r="AU38" s="33">
        <v>595.0</v>
      </c>
      <c r="AV38" s="34">
        <v>500.0</v>
      </c>
      <c r="AW38" s="34" t="s">
        <v>82</v>
      </c>
      <c r="AX38" s="34">
        <v>1395.0</v>
      </c>
      <c r="AY38" s="34">
        <v>0.0</v>
      </c>
      <c r="AZ38" s="34">
        <v>0.0</v>
      </c>
      <c r="BA38" s="36">
        <v>0.0</v>
      </c>
      <c r="BB38" s="37" t="s">
        <v>84</v>
      </c>
      <c r="BC38" s="38">
        <f t="shared" si="2"/>
        <v>26115</v>
      </c>
      <c r="BD38" s="39">
        <f t="shared" si="3"/>
        <v>12955</v>
      </c>
      <c r="BE38" s="40">
        <f t="shared" si="4"/>
        <v>12660</v>
      </c>
      <c r="BF38" s="111"/>
      <c r="BG38" s="23" t="s">
        <v>67</v>
      </c>
      <c r="BH38" s="42"/>
      <c r="BI38" s="52"/>
      <c r="BJ38" s="23"/>
      <c r="BK38" s="56"/>
      <c r="BL38" s="56"/>
      <c r="BM38" s="56"/>
      <c r="BN38" s="56"/>
      <c r="BO38" s="56"/>
      <c r="BP38" s="56"/>
      <c r="BQ38" s="56"/>
      <c r="BR38" s="56"/>
      <c r="BS38" s="56"/>
      <c r="BT38" s="56"/>
      <c r="BU38" s="56"/>
      <c r="BV38" s="56"/>
      <c r="BW38" s="56"/>
      <c r="BX38" s="42"/>
      <c r="BY38" s="42"/>
      <c r="BZ38" s="42"/>
      <c r="CA38" s="42"/>
      <c r="CB38" s="42"/>
      <c r="CC38" s="42"/>
      <c r="CD38" s="42"/>
      <c r="CE38" s="42"/>
      <c r="CF38" s="42"/>
      <c r="CG38" s="42"/>
      <c r="CH38" s="42"/>
      <c r="CI38" s="42"/>
      <c r="CJ38" s="42"/>
      <c r="CK38" s="42"/>
      <c r="CL38" s="42"/>
      <c r="CM38" s="42"/>
      <c r="CN38" s="42"/>
      <c r="CO38" s="42"/>
      <c r="CP38" s="42"/>
      <c r="CQ38" s="42"/>
      <c r="CR38" s="42"/>
      <c r="CS38" s="42"/>
    </row>
    <row r="39">
      <c r="A39" s="23" t="s">
        <v>1418</v>
      </c>
      <c r="B39" s="23" t="s">
        <v>47</v>
      </c>
      <c r="C39" s="24" t="s">
        <v>2360</v>
      </c>
      <c r="D39" s="23" t="s">
        <v>497</v>
      </c>
      <c r="E39" s="56"/>
      <c r="F39" s="23">
        <v>92592.0</v>
      </c>
      <c r="G39" s="23" t="s">
        <v>50</v>
      </c>
      <c r="H39" s="23" t="s">
        <v>742</v>
      </c>
      <c r="I39" s="56"/>
      <c r="J39" s="56"/>
      <c r="K39" s="23" t="s">
        <v>172</v>
      </c>
      <c r="L39" s="23" t="s">
        <v>53</v>
      </c>
      <c r="M39" s="23" t="s">
        <v>103</v>
      </c>
      <c r="N39" s="56"/>
      <c r="O39" s="25" t="s">
        <v>2361</v>
      </c>
      <c r="P39" s="26" t="s">
        <v>2362</v>
      </c>
      <c r="Q39" s="26" t="s">
        <v>2363</v>
      </c>
      <c r="R39" s="27" t="s">
        <v>208</v>
      </c>
      <c r="S39" s="56"/>
      <c r="T39" s="56"/>
      <c r="U39" s="23" t="s">
        <v>2364</v>
      </c>
      <c r="V39" s="56"/>
      <c r="W39" s="56"/>
      <c r="X39" s="23"/>
      <c r="Y39" s="23" t="s">
        <v>61</v>
      </c>
      <c r="Z39" s="23"/>
      <c r="AA39" s="23" t="s">
        <v>2365</v>
      </c>
      <c r="AB39" s="23" t="s">
        <v>2366</v>
      </c>
      <c r="AC39" s="23" t="s">
        <v>64</v>
      </c>
      <c r="AD39" s="28">
        <v>46090.0</v>
      </c>
      <c r="AE39" s="28">
        <v>46118.0</v>
      </c>
      <c r="AF39" s="28">
        <v>46118.0</v>
      </c>
      <c r="AG39" s="28"/>
      <c r="AH39" s="56"/>
      <c r="AI39" s="56"/>
      <c r="AJ39" s="56"/>
      <c r="AK39" s="56"/>
      <c r="AL39" s="56"/>
      <c r="AM39" s="56"/>
      <c r="AN39" s="56"/>
      <c r="AO39" s="291"/>
      <c r="AP39" s="24" t="s">
        <v>414</v>
      </c>
      <c r="AQ39" s="23" t="s">
        <v>167</v>
      </c>
      <c r="AR39" s="30">
        <v>400000.0</v>
      </c>
      <c r="AS39" s="31">
        <v>0.02</v>
      </c>
      <c r="AT39" s="32">
        <f t="shared" si="10"/>
        <v>8000</v>
      </c>
      <c r="AU39" s="33">
        <v>595.0</v>
      </c>
      <c r="AV39" s="34" t="s">
        <v>111</v>
      </c>
      <c r="AW39" s="34" t="s">
        <v>111</v>
      </c>
      <c r="AX39" s="34">
        <v>595.0</v>
      </c>
      <c r="AY39" s="34">
        <v>0.0</v>
      </c>
      <c r="AZ39" s="34">
        <v>0.0</v>
      </c>
      <c r="BA39" s="36">
        <v>0.0</v>
      </c>
      <c r="BB39" s="37" t="s">
        <v>202</v>
      </c>
      <c r="BC39" s="38">
        <f t="shared" si="2"/>
        <v>8595</v>
      </c>
      <c r="BD39" s="39">
        <f t="shared" si="3"/>
        <v>2995</v>
      </c>
      <c r="BE39" s="40">
        <f t="shared" si="4"/>
        <v>5600</v>
      </c>
      <c r="BF39" s="111"/>
      <c r="BG39" s="23"/>
      <c r="BH39" s="42"/>
      <c r="BI39" s="52"/>
      <c r="BJ39" s="23"/>
      <c r="BK39" s="56"/>
      <c r="BL39" s="56"/>
      <c r="BM39" s="56"/>
      <c r="BN39" s="56"/>
      <c r="BO39" s="56"/>
      <c r="BP39" s="56"/>
      <c r="BQ39" s="56"/>
      <c r="BR39" s="56"/>
      <c r="BS39" s="56"/>
      <c r="BT39" s="56"/>
      <c r="BU39" s="56"/>
      <c r="BV39" s="56"/>
      <c r="BW39" s="56"/>
      <c r="BX39" s="42"/>
      <c r="BY39" s="42"/>
      <c r="BZ39" s="42"/>
      <c r="CA39" s="42"/>
      <c r="CB39" s="42"/>
      <c r="CC39" s="42"/>
      <c r="CD39" s="42"/>
      <c r="CE39" s="42"/>
      <c r="CF39" s="42"/>
      <c r="CG39" s="42"/>
      <c r="CH39" s="42"/>
      <c r="CI39" s="42"/>
      <c r="CJ39" s="42"/>
      <c r="CK39" s="42"/>
      <c r="CL39" s="42"/>
      <c r="CM39" s="42"/>
      <c r="CN39" s="42"/>
      <c r="CO39" s="42"/>
      <c r="CP39" s="42"/>
      <c r="CQ39" s="42"/>
      <c r="CR39" s="42"/>
      <c r="CS39" s="42"/>
    </row>
    <row r="40">
      <c r="A40" s="23" t="s">
        <v>563</v>
      </c>
      <c r="B40" s="23" t="s">
        <v>84</v>
      </c>
      <c r="C40" s="24" t="s">
        <v>1434</v>
      </c>
      <c r="D40" s="23" t="s">
        <v>71</v>
      </c>
      <c r="E40" s="56"/>
      <c r="F40" s="23">
        <v>92545.0</v>
      </c>
      <c r="G40" s="23" t="s">
        <v>50</v>
      </c>
      <c r="H40" s="23" t="s">
        <v>812</v>
      </c>
      <c r="I40" s="56"/>
      <c r="J40" s="56"/>
      <c r="K40" s="23" t="s">
        <v>73</v>
      </c>
      <c r="L40" s="50"/>
      <c r="M40" s="23" t="s">
        <v>103</v>
      </c>
      <c r="N40" s="56"/>
      <c r="O40" s="54" t="s">
        <v>1435</v>
      </c>
      <c r="P40" s="54" t="s">
        <v>1436</v>
      </c>
      <c r="Q40" s="54" t="s">
        <v>1437</v>
      </c>
      <c r="R40" s="27" t="s">
        <v>92</v>
      </c>
      <c r="S40" s="56"/>
      <c r="T40" s="56"/>
      <c r="U40" s="23" t="s">
        <v>1438</v>
      </c>
      <c r="V40" s="56"/>
      <c r="W40" s="56"/>
      <c r="X40" s="23" t="s">
        <v>60</v>
      </c>
      <c r="Y40" s="23" t="s">
        <v>132</v>
      </c>
      <c r="Z40" s="23" t="s">
        <v>94</v>
      </c>
      <c r="AA40" s="23" t="s">
        <v>1439</v>
      </c>
      <c r="AB40" s="23" t="s">
        <v>1440</v>
      </c>
      <c r="AC40" s="23" t="s">
        <v>64</v>
      </c>
      <c r="AD40" s="28">
        <v>46091.0</v>
      </c>
      <c r="AE40" s="28">
        <v>46112.0</v>
      </c>
      <c r="AF40" s="28">
        <v>46112.0</v>
      </c>
      <c r="AG40" s="28"/>
      <c r="AH40" s="56"/>
      <c r="AI40" s="56"/>
      <c r="AJ40" s="56"/>
      <c r="AK40" s="56"/>
      <c r="AL40" s="56"/>
      <c r="AM40" s="56"/>
      <c r="AN40" s="56"/>
      <c r="AO40" s="291"/>
      <c r="AP40" s="24" t="s">
        <v>65</v>
      </c>
      <c r="AQ40" s="23" t="s">
        <v>167</v>
      </c>
      <c r="AR40" s="30">
        <v>420000.0</v>
      </c>
      <c r="AS40" s="31">
        <v>0.04</v>
      </c>
      <c r="AT40" s="32">
        <f t="shared" si="10"/>
        <v>16800</v>
      </c>
      <c r="AU40" s="33">
        <v>595.0</v>
      </c>
      <c r="AV40" s="34">
        <v>500.0</v>
      </c>
      <c r="AW40" s="34">
        <v>250.0</v>
      </c>
      <c r="AX40" s="34">
        <v>1345.0</v>
      </c>
      <c r="AY40" s="34">
        <v>0.0</v>
      </c>
      <c r="AZ40" s="34">
        <v>0.0</v>
      </c>
      <c r="BA40" s="36">
        <v>0.0</v>
      </c>
      <c r="BB40" s="37" t="s">
        <v>168</v>
      </c>
      <c r="BC40" s="38">
        <f t="shared" si="2"/>
        <v>18145</v>
      </c>
      <c r="BD40" s="39">
        <f t="shared" si="3"/>
        <v>2275</v>
      </c>
      <c r="BE40" s="40">
        <f t="shared" si="4"/>
        <v>15120</v>
      </c>
      <c r="BF40" s="111"/>
      <c r="BG40" s="23" t="s">
        <v>67</v>
      </c>
      <c r="BH40" s="42"/>
      <c r="BI40" s="52"/>
      <c r="BJ40" s="23"/>
      <c r="BK40" s="56"/>
      <c r="BL40" s="56"/>
      <c r="BM40" s="56"/>
      <c r="BN40" s="56"/>
      <c r="BO40" s="56"/>
      <c r="BP40" s="56"/>
      <c r="BQ40" s="56"/>
      <c r="BR40" s="56"/>
      <c r="BS40" s="56"/>
      <c r="BT40" s="56"/>
      <c r="BU40" s="56"/>
      <c r="BV40" s="56"/>
      <c r="BW40" s="56"/>
      <c r="BX40" s="42"/>
      <c r="BY40" s="42"/>
      <c r="BZ40" s="42"/>
      <c r="CA40" s="42"/>
      <c r="CB40" s="42"/>
      <c r="CC40" s="42"/>
      <c r="CD40" s="42"/>
      <c r="CE40" s="42"/>
      <c r="CF40" s="42"/>
      <c r="CG40" s="42"/>
      <c r="CH40" s="42"/>
      <c r="CI40" s="42"/>
      <c r="CJ40" s="42"/>
      <c r="CK40" s="42"/>
      <c r="CL40" s="42"/>
      <c r="CM40" s="42"/>
      <c r="CN40" s="42"/>
      <c r="CO40" s="42"/>
      <c r="CP40" s="42"/>
      <c r="CQ40" s="42"/>
      <c r="CR40" s="42"/>
      <c r="CS40" s="42"/>
    </row>
    <row r="41">
      <c r="A41" s="23" t="s">
        <v>1418</v>
      </c>
      <c r="B41" s="23" t="s">
        <v>47</v>
      </c>
      <c r="C41" s="24" t="s">
        <v>1458</v>
      </c>
      <c r="D41" s="23" t="s">
        <v>71</v>
      </c>
      <c r="E41" s="56"/>
      <c r="F41" s="37">
        <v>92545.0</v>
      </c>
      <c r="G41" s="23" t="s">
        <v>50</v>
      </c>
      <c r="H41" s="23" t="s">
        <v>742</v>
      </c>
      <c r="I41" s="56"/>
      <c r="J41" s="56"/>
      <c r="K41" s="23" t="s">
        <v>172</v>
      </c>
      <c r="L41" s="23" t="s">
        <v>53</v>
      </c>
      <c r="M41" s="23" t="s">
        <v>103</v>
      </c>
      <c r="N41" s="56"/>
      <c r="O41" s="66" t="s">
        <v>1459</v>
      </c>
      <c r="P41" s="26" t="s">
        <v>1460</v>
      </c>
      <c r="Q41" s="26" t="s">
        <v>1461</v>
      </c>
      <c r="R41" s="27" t="s">
        <v>1462</v>
      </c>
      <c r="S41" s="56"/>
      <c r="T41" s="56"/>
      <c r="U41" s="23" t="s">
        <v>482</v>
      </c>
      <c r="V41" s="56"/>
      <c r="W41" s="56"/>
      <c r="X41" s="23" t="s">
        <v>60</v>
      </c>
      <c r="Y41" s="23" t="s">
        <v>61</v>
      </c>
      <c r="Z41" s="37" t="s">
        <v>548</v>
      </c>
      <c r="AA41" s="23" t="s">
        <v>1463</v>
      </c>
      <c r="AB41" s="23" t="s">
        <v>1464</v>
      </c>
      <c r="AC41" s="23" t="s">
        <v>64</v>
      </c>
      <c r="AD41" s="28">
        <v>46091.0</v>
      </c>
      <c r="AE41" s="28">
        <v>46121.0</v>
      </c>
      <c r="AF41" s="28">
        <v>46121.0</v>
      </c>
      <c r="AG41" s="28"/>
      <c r="AH41" s="56"/>
      <c r="AI41" s="56"/>
      <c r="AJ41" s="56"/>
      <c r="AK41" s="56"/>
      <c r="AL41" s="56"/>
      <c r="AM41" s="56"/>
      <c r="AN41" s="56"/>
      <c r="AO41" s="291"/>
      <c r="AP41" s="24" t="s">
        <v>65</v>
      </c>
      <c r="AQ41" s="23" t="s">
        <v>167</v>
      </c>
      <c r="AR41" s="30">
        <v>495000.0</v>
      </c>
      <c r="AS41" s="31">
        <v>0.02</v>
      </c>
      <c r="AT41" s="32">
        <f t="shared" si="10"/>
        <v>9900</v>
      </c>
      <c r="AU41" s="33">
        <v>595.0</v>
      </c>
      <c r="AV41" s="34" t="s">
        <v>111</v>
      </c>
      <c r="AW41" s="34" t="s">
        <v>111</v>
      </c>
      <c r="AX41" s="34">
        <v>595.0</v>
      </c>
      <c r="AY41" s="34">
        <v>0.0</v>
      </c>
      <c r="AZ41" s="34">
        <v>0.0</v>
      </c>
      <c r="BA41" s="36">
        <v>0.0</v>
      </c>
      <c r="BB41" s="37" t="s">
        <v>202</v>
      </c>
      <c r="BC41" s="38">
        <f t="shared" si="2"/>
        <v>10495</v>
      </c>
      <c r="BD41" s="39">
        <f t="shared" si="3"/>
        <v>3565</v>
      </c>
      <c r="BE41" s="40">
        <f t="shared" si="4"/>
        <v>6930</v>
      </c>
      <c r="BF41" s="111"/>
      <c r="BG41" s="23"/>
      <c r="BH41" s="42"/>
      <c r="BI41" s="23" t="s">
        <v>2557</v>
      </c>
      <c r="BJ41" s="23" t="s">
        <v>69</v>
      </c>
      <c r="BK41" s="56"/>
      <c r="BL41" s="56"/>
      <c r="BM41" s="56"/>
      <c r="BN41" s="56"/>
      <c r="BO41" s="56"/>
      <c r="BP41" s="56"/>
      <c r="BQ41" s="56"/>
      <c r="BR41" s="56"/>
      <c r="BS41" s="56"/>
      <c r="BT41" s="56"/>
      <c r="BU41" s="56"/>
      <c r="BV41" s="56"/>
      <c r="BW41" s="56"/>
      <c r="BX41" s="42"/>
      <c r="BY41" s="42"/>
      <c r="BZ41" s="42"/>
      <c r="CA41" s="42"/>
      <c r="CB41" s="42"/>
      <c r="CC41" s="42"/>
      <c r="CD41" s="42"/>
      <c r="CE41" s="42"/>
      <c r="CF41" s="42"/>
      <c r="CG41" s="42"/>
      <c r="CH41" s="42"/>
      <c r="CI41" s="42"/>
      <c r="CJ41" s="42"/>
      <c r="CK41" s="42"/>
      <c r="CL41" s="42"/>
      <c r="CM41" s="42"/>
      <c r="CN41" s="42"/>
      <c r="CO41" s="42"/>
      <c r="CP41" s="42"/>
      <c r="CQ41" s="42"/>
      <c r="CR41" s="42"/>
      <c r="CS41" s="42"/>
    </row>
    <row r="42">
      <c r="A42" s="23" t="s">
        <v>1418</v>
      </c>
      <c r="B42" s="23" t="s">
        <v>47</v>
      </c>
      <c r="C42" s="24" t="s">
        <v>1547</v>
      </c>
      <c r="D42" s="23" t="s">
        <v>659</v>
      </c>
      <c r="E42" s="56"/>
      <c r="F42" s="23">
        <v>92410.0</v>
      </c>
      <c r="G42" s="23" t="s">
        <v>101</v>
      </c>
      <c r="H42" s="23" t="s">
        <v>1539</v>
      </c>
      <c r="I42" s="56"/>
      <c r="J42" s="56"/>
      <c r="K42" s="23" t="s">
        <v>52</v>
      </c>
      <c r="L42" s="50"/>
      <c r="M42" s="23" t="s">
        <v>54</v>
      </c>
      <c r="N42" s="56"/>
      <c r="O42" s="25" t="s">
        <v>1548</v>
      </c>
      <c r="P42" s="26" t="s">
        <v>1549</v>
      </c>
      <c r="Q42" s="26" t="s">
        <v>1550</v>
      </c>
      <c r="R42" s="27" t="s">
        <v>1551</v>
      </c>
      <c r="S42" s="56"/>
      <c r="T42" s="56"/>
      <c r="U42" s="23" t="s">
        <v>1552</v>
      </c>
      <c r="V42" s="56"/>
      <c r="W42" s="56"/>
      <c r="X42" s="23" t="s">
        <v>60</v>
      </c>
      <c r="Y42" s="23" t="s">
        <v>1553</v>
      </c>
      <c r="Z42" s="23"/>
      <c r="AA42" s="23" t="s">
        <v>1554</v>
      </c>
      <c r="AB42" s="23" t="s">
        <v>1555</v>
      </c>
      <c r="AC42" s="23" t="s">
        <v>64</v>
      </c>
      <c r="AD42" s="28">
        <v>46091.0</v>
      </c>
      <c r="AE42" s="28">
        <v>46121.0</v>
      </c>
      <c r="AF42" s="28">
        <v>46121.0</v>
      </c>
      <c r="AG42" s="28"/>
      <c r="AH42" s="56"/>
      <c r="AI42" s="56"/>
      <c r="AJ42" s="56"/>
      <c r="AK42" s="56"/>
      <c r="AL42" s="56"/>
      <c r="AM42" s="56"/>
      <c r="AN42" s="56"/>
      <c r="AO42" s="291"/>
      <c r="AP42" s="24" t="s">
        <v>124</v>
      </c>
      <c r="AQ42" s="23" t="s">
        <v>790</v>
      </c>
      <c r="AR42" s="30">
        <v>123450.0</v>
      </c>
      <c r="AS42" s="31">
        <v>0.03</v>
      </c>
      <c r="AT42" s="32">
        <f t="shared" si="10"/>
        <v>3703.5</v>
      </c>
      <c r="AU42" s="33">
        <v>595.0</v>
      </c>
      <c r="AV42" s="34">
        <v>500.0</v>
      </c>
      <c r="AW42" s="34" t="s">
        <v>82</v>
      </c>
      <c r="AX42" s="34">
        <v>1095.0</v>
      </c>
      <c r="AY42" s="34">
        <v>0.0</v>
      </c>
      <c r="AZ42" s="34">
        <v>0.0</v>
      </c>
      <c r="BA42" s="36">
        <v>0.0</v>
      </c>
      <c r="BB42" s="37" t="s">
        <v>47</v>
      </c>
      <c r="BC42" s="38">
        <f t="shared" si="2"/>
        <v>4798.5</v>
      </c>
      <c r="BD42" s="39">
        <f t="shared" si="3"/>
        <v>2446.75</v>
      </c>
      <c r="BE42" s="40">
        <f t="shared" si="4"/>
        <v>1851.75</v>
      </c>
      <c r="BF42" s="111"/>
      <c r="BG42" s="23"/>
      <c r="BH42" s="42"/>
      <c r="BI42" s="52"/>
      <c r="BJ42" s="23"/>
      <c r="BK42" s="56"/>
      <c r="BL42" s="56"/>
      <c r="BM42" s="56"/>
      <c r="BN42" s="56"/>
      <c r="BO42" s="56"/>
      <c r="BP42" s="56"/>
      <c r="BQ42" s="56"/>
      <c r="BR42" s="56"/>
      <c r="BS42" s="56"/>
      <c r="BT42" s="56"/>
      <c r="BU42" s="56"/>
      <c r="BV42" s="56"/>
      <c r="BW42" s="56"/>
      <c r="BX42" s="42"/>
      <c r="BY42" s="42"/>
      <c r="BZ42" s="42"/>
      <c r="CA42" s="42"/>
      <c r="CB42" s="42"/>
      <c r="CC42" s="42"/>
      <c r="CD42" s="42"/>
      <c r="CE42" s="42"/>
      <c r="CF42" s="42"/>
      <c r="CG42" s="42"/>
      <c r="CH42" s="42"/>
      <c r="CI42" s="42"/>
      <c r="CJ42" s="42"/>
      <c r="CK42" s="42"/>
      <c r="CL42" s="42"/>
      <c r="CM42" s="42"/>
      <c r="CN42" s="42"/>
      <c r="CO42" s="42"/>
      <c r="CP42" s="42"/>
      <c r="CQ42" s="42"/>
      <c r="CR42" s="42"/>
      <c r="CS42" s="42"/>
    </row>
    <row r="43">
      <c r="A43" s="23" t="s">
        <v>563</v>
      </c>
      <c r="B43" s="23" t="s">
        <v>84</v>
      </c>
      <c r="C43" s="24" t="s">
        <v>1503</v>
      </c>
      <c r="D43" s="23" t="s">
        <v>71</v>
      </c>
      <c r="E43" s="56"/>
      <c r="F43" s="23">
        <v>92545.0</v>
      </c>
      <c r="G43" s="23" t="s">
        <v>50</v>
      </c>
      <c r="H43" s="23" t="s">
        <v>376</v>
      </c>
      <c r="I43" s="56"/>
      <c r="J43" s="56"/>
      <c r="K43" s="23" t="s">
        <v>52</v>
      </c>
      <c r="L43" s="50"/>
      <c r="M43" s="23" t="s">
        <v>103</v>
      </c>
      <c r="N43" s="56"/>
      <c r="O43" s="25" t="s">
        <v>1500</v>
      </c>
      <c r="P43" s="43"/>
      <c r="Q43" s="26" t="s">
        <v>1297</v>
      </c>
      <c r="R43" s="27" t="s">
        <v>92</v>
      </c>
      <c r="S43" s="56"/>
      <c r="T43" s="56"/>
      <c r="U43" s="23" t="s">
        <v>482</v>
      </c>
      <c r="V43" s="56"/>
      <c r="W43" s="56"/>
      <c r="X43" s="23" t="s">
        <v>60</v>
      </c>
      <c r="Y43" s="23" t="s">
        <v>132</v>
      </c>
      <c r="Z43" s="23" t="s">
        <v>94</v>
      </c>
      <c r="AA43" s="47" t="s">
        <v>680</v>
      </c>
      <c r="AB43" s="47" t="s">
        <v>680</v>
      </c>
      <c r="AC43" s="23" t="s">
        <v>64</v>
      </c>
      <c r="AD43" s="28">
        <v>46091.0</v>
      </c>
      <c r="AE43" s="28">
        <v>46108.0</v>
      </c>
      <c r="AF43" s="28">
        <v>46108.0</v>
      </c>
      <c r="AG43" s="28"/>
      <c r="AH43" s="56"/>
      <c r="AI43" s="56"/>
      <c r="AJ43" s="56"/>
      <c r="AK43" s="56"/>
      <c r="AL43" s="56"/>
      <c r="AM43" s="56"/>
      <c r="AN43" s="56"/>
      <c r="AO43" s="291"/>
      <c r="AP43" s="24" t="s">
        <v>65</v>
      </c>
      <c r="AQ43" s="23" t="s">
        <v>262</v>
      </c>
      <c r="AR43" s="30">
        <v>377000.0</v>
      </c>
      <c r="AS43" s="51">
        <v>0.0</v>
      </c>
      <c r="AT43" s="62">
        <v>589.0</v>
      </c>
      <c r="AU43" s="33" t="s">
        <v>93</v>
      </c>
      <c r="AV43" s="34">
        <v>0.0</v>
      </c>
      <c r="AW43" s="34">
        <v>0.0</v>
      </c>
      <c r="AX43" s="34">
        <v>0.0</v>
      </c>
      <c r="AY43" s="34">
        <v>0.0</v>
      </c>
      <c r="AZ43" s="34">
        <v>0.0</v>
      </c>
      <c r="BA43" s="36">
        <v>0.0</v>
      </c>
      <c r="BB43" s="37" t="s">
        <v>84</v>
      </c>
      <c r="BC43" s="30">
        <v>589.0</v>
      </c>
      <c r="BD43" s="110">
        <v>589.0</v>
      </c>
      <c r="BE43" s="40">
        <f t="shared" si="4"/>
        <v>0</v>
      </c>
      <c r="BF43" s="111"/>
      <c r="BG43" s="23"/>
      <c r="BH43" s="42"/>
      <c r="BI43" s="52"/>
      <c r="BJ43" s="23"/>
      <c r="BK43" s="56"/>
      <c r="BL43" s="56"/>
      <c r="BM43" s="56"/>
      <c r="BN43" s="56"/>
      <c r="BO43" s="56"/>
      <c r="BP43" s="56"/>
      <c r="BQ43" s="56"/>
      <c r="BR43" s="56"/>
      <c r="BS43" s="56"/>
      <c r="BT43" s="56"/>
      <c r="BU43" s="56"/>
      <c r="BV43" s="56"/>
      <c r="BW43" s="56"/>
      <c r="BX43" s="42"/>
      <c r="BY43" s="42"/>
      <c r="BZ43" s="42"/>
      <c r="CA43" s="42"/>
      <c r="CB43" s="42"/>
      <c r="CC43" s="42"/>
      <c r="CD43" s="42"/>
      <c r="CE43" s="42"/>
      <c r="CF43" s="42"/>
      <c r="CG43" s="42"/>
      <c r="CH43" s="42"/>
      <c r="CI43" s="42"/>
      <c r="CJ43" s="42"/>
      <c r="CK43" s="42"/>
      <c r="CL43" s="42"/>
      <c r="CM43" s="42"/>
      <c r="CN43" s="42"/>
      <c r="CO43" s="42"/>
      <c r="CP43" s="42"/>
      <c r="CQ43" s="42"/>
      <c r="CR43" s="42"/>
      <c r="CS43" s="42"/>
    </row>
    <row r="44">
      <c r="A44" s="23" t="s">
        <v>563</v>
      </c>
      <c r="B44" s="23" t="s">
        <v>47</v>
      </c>
      <c r="C44" s="24" t="s">
        <v>1503</v>
      </c>
      <c r="D44" s="23" t="s">
        <v>71</v>
      </c>
      <c r="E44" s="56"/>
      <c r="F44" s="23">
        <v>92545.0</v>
      </c>
      <c r="G44" s="23" t="s">
        <v>50</v>
      </c>
      <c r="H44" s="23" t="s">
        <v>399</v>
      </c>
      <c r="I44" s="56"/>
      <c r="J44" s="56"/>
      <c r="K44" s="23" t="s">
        <v>73</v>
      </c>
      <c r="L44" s="50"/>
      <c r="M44" s="23" t="s">
        <v>103</v>
      </c>
      <c r="N44" s="56"/>
      <c r="O44" s="25" t="s">
        <v>1504</v>
      </c>
      <c r="P44" s="26" t="s">
        <v>1505</v>
      </c>
      <c r="Q44" s="27" t="s">
        <v>1506</v>
      </c>
      <c r="R44" s="59"/>
      <c r="S44" s="56"/>
      <c r="T44" s="56"/>
      <c r="U44" s="23" t="s">
        <v>482</v>
      </c>
      <c r="V44" s="56"/>
      <c r="W44" s="56"/>
      <c r="X44" s="23" t="s">
        <v>60</v>
      </c>
      <c r="Y44" s="23" t="s">
        <v>132</v>
      </c>
      <c r="Z44" s="23" t="s">
        <v>94</v>
      </c>
      <c r="AA44" s="47" t="s">
        <v>680</v>
      </c>
      <c r="AB44" s="47" t="s">
        <v>680</v>
      </c>
      <c r="AC44" s="23" t="s">
        <v>64</v>
      </c>
      <c r="AD44" s="28">
        <v>46091.0</v>
      </c>
      <c r="AE44" s="28">
        <v>46108.0</v>
      </c>
      <c r="AF44" s="28">
        <v>46108.0</v>
      </c>
      <c r="AG44" s="28"/>
      <c r="AH44" s="56"/>
      <c r="AI44" s="56"/>
      <c r="AJ44" s="56"/>
      <c r="AK44" s="56"/>
      <c r="AL44" s="56"/>
      <c r="AM44" s="56"/>
      <c r="AN44" s="56"/>
      <c r="AO44" s="291"/>
      <c r="AP44" s="24" t="s">
        <v>65</v>
      </c>
      <c r="AQ44" s="23" t="s">
        <v>66</v>
      </c>
      <c r="AR44" s="30">
        <v>377000.0</v>
      </c>
      <c r="AS44" s="31">
        <v>0.03</v>
      </c>
      <c r="AT44" s="32">
        <f t="shared" ref="AT44:AT56" si="12">SUM(AR44*AS44)</f>
        <v>11310</v>
      </c>
      <c r="AU44" s="33">
        <v>595.0</v>
      </c>
      <c r="AV44" s="34" t="s">
        <v>111</v>
      </c>
      <c r="AW44" s="34">
        <v>0.0</v>
      </c>
      <c r="AX44" s="34">
        <v>0.0</v>
      </c>
      <c r="AY44" s="34">
        <v>0.0</v>
      </c>
      <c r="AZ44" s="35">
        <f t="shared" ref="AZ44:AZ46" si="13">sum(AT44,-AY44)*0.4</f>
        <v>4524</v>
      </c>
      <c r="BA44" s="36">
        <v>0.0</v>
      </c>
      <c r="BB44" s="37" t="s">
        <v>47</v>
      </c>
      <c r="BC44" s="38">
        <f t="shared" ref="BC44:BC56" si="14">if(AU44=595, SUM(AT44+AX44-AZ44-AY44),sum(AT44-AY44-AZ44,595))</f>
        <v>6786</v>
      </c>
      <c r="BD44" s="39">
        <f t="shared" ref="BD44:BD56" si="15">if(BB44="Buyer",-sum((-AT44+AZ44+AY44)*50%),if(BB44="Seller",-sum((-AT44+AZ44+AY44)*50%),-sum(((-AT44+AZ44+AY44)*((100-right(BB44,2))/100)))))+if(AU44&lt;&gt;595,595, sum(AU44))</f>
        <v>3988</v>
      </c>
      <c r="BE44" s="40">
        <f t="shared" si="4"/>
        <v>2798</v>
      </c>
      <c r="BF44" s="111"/>
      <c r="BG44" s="23"/>
      <c r="BH44" s="42"/>
      <c r="BI44" s="52"/>
      <c r="BJ44" s="23"/>
      <c r="BK44" s="56"/>
      <c r="BL44" s="56"/>
      <c r="BM44" s="56"/>
      <c r="BN44" s="56"/>
      <c r="BO44" s="56"/>
      <c r="BP44" s="56"/>
      <c r="BQ44" s="56"/>
      <c r="BR44" s="56"/>
      <c r="BS44" s="56"/>
      <c r="BT44" s="56"/>
      <c r="BU44" s="56"/>
      <c r="BV44" s="56"/>
      <c r="BW44" s="56"/>
      <c r="BX44" s="42"/>
      <c r="BY44" s="42"/>
      <c r="BZ44" s="42"/>
      <c r="CA44" s="42"/>
      <c r="CB44" s="42"/>
      <c r="CC44" s="42"/>
      <c r="CD44" s="42"/>
      <c r="CE44" s="42"/>
      <c r="CF44" s="42"/>
      <c r="CG44" s="42"/>
      <c r="CH44" s="42"/>
      <c r="CI44" s="42"/>
      <c r="CJ44" s="42"/>
      <c r="CK44" s="42"/>
      <c r="CL44" s="42"/>
      <c r="CM44" s="42"/>
      <c r="CN44" s="42"/>
      <c r="CO44" s="42"/>
      <c r="CP44" s="42"/>
      <c r="CQ44" s="42"/>
      <c r="CR44" s="42"/>
      <c r="CS44" s="42"/>
    </row>
    <row r="45">
      <c r="A45" s="50"/>
      <c r="B45" s="23" t="s">
        <v>84</v>
      </c>
      <c r="C45" s="24" t="s">
        <v>2418</v>
      </c>
      <c r="D45" s="23" t="s">
        <v>702</v>
      </c>
      <c r="E45" s="56"/>
      <c r="F45" s="23">
        <v>92880.0</v>
      </c>
      <c r="G45" s="23" t="s">
        <v>50</v>
      </c>
      <c r="H45" s="23" t="s">
        <v>102</v>
      </c>
      <c r="I45" s="56"/>
      <c r="J45" s="56"/>
      <c r="K45" s="23" t="s">
        <v>172</v>
      </c>
      <c r="L45" s="23" t="s">
        <v>346</v>
      </c>
      <c r="M45" s="23" t="s">
        <v>103</v>
      </c>
      <c r="N45" s="56"/>
      <c r="O45" s="66" t="s">
        <v>2419</v>
      </c>
      <c r="P45" s="26" t="s">
        <v>2420</v>
      </c>
      <c r="Q45" s="27" t="s">
        <v>2421</v>
      </c>
      <c r="R45" s="27" t="s">
        <v>92</v>
      </c>
      <c r="S45" s="56"/>
      <c r="T45" s="56"/>
      <c r="U45" s="23" t="s">
        <v>350</v>
      </c>
      <c r="V45" s="56"/>
      <c r="W45" s="56"/>
      <c r="X45" s="23" t="s">
        <v>93</v>
      </c>
      <c r="Y45" s="23" t="s">
        <v>132</v>
      </c>
      <c r="Z45" s="23" t="s">
        <v>94</v>
      </c>
      <c r="AA45" s="240" t="s">
        <v>2422</v>
      </c>
      <c r="AB45" s="23" t="s">
        <v>2423</v>
      </c>
      <c r="AC45" s="23" t="s">
        <v>64</v>
      </c>
      <c r="AD45" s="28">
        <v>46093.0</v>
      </c>
      <c r="AE45" s="61"/>
      <c r="AF45" s="61"/>
      <c r="AG45" s="28"/>
      <c r="AH45" s="56"/>
      <c r="AI45" s="56"/>
      <c r="AJ45" s="56"/>
      <c r="AK45" s="56"/>
      <c r="AL45" s="56"/>
      <c r="AM45" s="56"/>
      <c r="AN45" s="56"/>
      <c r="AO45" s="291"/>
      <c r="AP45" s="24" t="s">
        <v>65</v>
      </c>
      <c r="AQ45" s="23" t="s">
        <v>145</v>
      </c>
      <c r="AR45" s="30">
        <v>410000.0</v>
      </c>
      <c r="AS45" s="31">
        <v>0.03</v>
      </c>
      <c r="AT45" s="32">
        <f t="shared" si="12"/>
        <v>12300</v>
      </c>
      <c r="AU45" s="33">
        <v>595.0</v>
      </c>
      <c r="AV45" s="34" t="s">
        <v>111</v>
      </c>
      <c r="AW45" s="34" t="s">
        <v>111</v>
      </c>
      <c r="AX45" s="34">
        <v>695.0</v>
      </c>
      <c r="AY45" s="34">
        <v>0.0</v>
      </c>
      <c r="AZ45" s="35">
        <f t="shared" si="13"/>
        <v>4920</v>
      </c>
      <c r="BA45" s="36">
        <v>0.0</v>
      </c>
      <c r="BB45" s="37" t="s">
        <v>84</v>
      </c>
      <c r="BC45" s="38">
        <f t="shared" si="14"/>
        <v>8075</v>
      </c>
      <c r="BD45" s="39">
        <f t="shared" si="15"/>
        <v>4285</v>
      </c>
      <c r="BE45" s="40">
        <f t="shared" si="4"/>
        <v>3790</v>
      </c>
      <c r="BF45" s="111"/>
      <c r="BG45" s="23"/>
      <c r="BH45" s="42"/>
      <c r="BI45" s="52"/>
      <c r="BJ45" s="23"/>
      <c r="BK45" s="56"/>
      <c r="BL45" s="56"/>
      <c r="BM45" s="56"/>
      <c r="BN45" s="56"/>
      <c r="BO45" s="56"/>
      <c r="BP45" s="56"/>
      <c r="BQ45" s="56"/>
      <c r="BR45" s="56"/>
      <c r="BS45" s="56"/>
      <c r="BT45" s="56"/>
      <c r="BU45" s="56"/>
      <c r="BV45" s="56"/>
      <c r="BW45" s="56"/>
      <c r="BX45" s="42"/>
      <c r="BY45" s="42"/>
      <c r="BZ45" s="42"/>
      <c r="CA45" s="42"/>
      <c r="CB45" s="42"/>
      <c r="CC45" s="42"/>
      <c r="CD45" s="42"/>
      <c r="CE45" s="42"/>
      <c r="CF45" s="42"/>
      <c r="CG45" s="42"/>
      <c r="CH45" s="42"/>
      <c r="CI45" s="42"/>
      <c r="CJ45" s="42"/>
      <c r="CK45" s="42"/>
      <c r="CL45" s="42"/>
      <c r="CM45" s="42"/>
      <c r="CN45" s="42"/>
      <c r="CO45" s="42"/>
      <c r="CP45" s="42"/>
      <c r="CQ45" s="42"/>
      <c r="CR45" s="42"/>
      <c r="CS45" s="42"/>
    </row>
    <row r="46">
      <c r="A46" s="23" t="s">
        <v>1418</v>
      </c>
      <c r="B46" s="23" t="s">
        <v>47</v>
      </c>
      <c r="C46" s="24" t="s">
        <v>1610</v>
      </c>
      <c r="D46" s="23" t="s">
        <v>148</v>
      </c>
      <c r="E46" s="56"/>
      <c r="F46" s="23">
        <v>92883.0</v>
      </c>
      <c r="G46" s="23"/>
      <c r="H46" s="37" t="s">
        <v>88</v>
      </c>
      <c r="I46" s="56"/>
      <c r="J46" s="56"/>
      <c r="K46" s="23" t="s">
        <v>52</v>
      </c>
      <c r="L46" s="50"/>
      <c r="M46" s="23" t="s">
        <v>54</v>
      </c>
      <c r="N46" s="56"/>
      <c r="O46" s="25" t="s">
        <v>1611</v>
      </c>
      <c r="P46" s="26" t="s">
        <v>1612</v>
      </c>
      <c r="Q46" s="26" t="s">
        <v>1613</v>
      </c>
      <c r="R46" s="27" t="s">
        <v>1614</v>
      </c>
      <c r="S46" s="56"/>
      <c r="T46" s="56"/>
      <c r="U46" s="23" t="s">
        <v>59</v>
      </c>
      <c r="V46" s="56"/>
      <c r="W46" s="56"/>
      <c r="X46" s="23" t="s">
        <v>60</v>
      </c>
      <c r="Y46" s="23" t="s">
        <v>61</v>
      </c>
      <c r="Z46" s="23" t="s">
        <v>79</v>
      </c>
      <c r="AA46" s="23" t="s">
        <v>1615</v>
      </c>
      <c r="AB46" s="23" t="s">
        <v>1616</v>
      </c>
      <c r="AC46" s="23" t="s">
        <v>64</v>
      </c>
      <c r="AD46" s="28">
        <v>46093.0</v>
      </c>
      <c r="AE46" s="28">
        <v>46133.0</v>
      </c>
      <c r="AF46" s="28">
        <v>46133.0</v>
      </c>
      <c r="AG46" s="28"/>
      <c r="AH46" s="56"/>
      <c r="AI46" s="56"/>
      <c r="AJ46" s="56"/>
      <c r="AK46" s="56"/>
      <c r="AL46" s="56"/>
      <c r="AM46" s="56"/>
      <c r="AN46" s="56"/>
      <c r="AO46" s="291"/>
      <c r="AP46" s="24" t="s">
        <v>65</v>
      </c>
      <c r="AQ46" s="23" t="s">
        <v>66</v>
      </c>
      <c r="AR46" s="30">
        <v>600000.0</v>
      </c>
      <c r="AS46" s="31">
        <v>0.03</v>
      </c>
      <c r="AT46" s="32">
        <f t="shared" si="12"/>
        <v>18000</v>
      </c>
      <c r="AU46" s="33">
        <v>595.0</v>
      </c>
      <c r="AV46" s="34">
        <v>500.0</v>
      </c>
      <c r="AW46" s="34" t="s">
        <v>82</v>
      </c>
      <c r="AX46" s="34">
        <v>1395.0</v>
      </c>
      <c r="AY46" s="34">
        <v>0.0</v>
      </c>
      <c r="AZ46" s="35">
        <f t="shared" si="13"/>
        <v>7200</v>
      </c>
      <c r="BA46" s="36">
        <v>0.0</v>
      </c>
      <c r="BB46" s="37" t="s">
        <v>47</v>
      </c>
      <c r="BC46" s="38">
        <f t="shared" si="14"/>
        <v>12195</v>
      </c>
      <c r="BD46" s="39">
        <f t="shared" si="15"/>
        <v>5995</v>
      </c>
      <c r="BE46" s="40">
        <f t="shared" si="4"/>
        <v>5700</v>
      </c>
      <c r="BF46" s="111"/>
      <c r="BG46" s="23" t="s">
        <v>67</v>
      </c>
      <c r="BH46" s="42"/>
      <c r="BI46" s="52"/>
      <c r="BJ46" s="23"/>
      <c r="BK46" s="56"/>
      <c r="BL46" s="56"/>
      <c r="BM46" s="56"/>
      <c r="BN46" s="56"/>
      <c r="BO46" s="56"/>
      <c r="BP46" s="56"/>
      <c r="BQ46" s="56"/>
      <c r="BR46" s="56"/>
      <c r="BS46" s="56"/>
      <c r="BT46" s="56"/>
      <c r="BU46" s="56"/>
      <c r="BV46" s="56"/>
      <c r="BW46" s="56"/>
      <c r="BX46" s="42"/>
      <c r="BY46" s="42"/>
      <c r="BZ46" s="42"/>
      <c r="CA46" s="42"/>
      <c r="CB46" s="42"/>
      <c r="CC46" s="42"/>
      <c r="CD46" s="42"/>
      <c r="CE46" s="42"/>
      <c r="CF46" s="42"/>
      <c r="CG46" s="42"/>
      <c r="CH46" s="42"/>
      <c r="CI46" s="42"/>
      <c r="CJ46" s="42"/>
      <c r="CK46" s="42"/>
      <c r="CL46" s="42"/>
      <c r="CM46" s="42"/>
      <c r="CN46" s="42"/>
      <c r="CO46" s="42"/>
      <c r="CP46" s="42"/>
      <c r="CQ46" s="42"/>
      <c r="CR46" s="42"/>
      <c r="CS46" s="42"/>
    </row>
    <row r="47">
      <c r="A47" s="23" t="s">
        <v>1418</v>
      </c>
      <c r="B47" s="23" t="s">
        <v>47</v>
      </c>
      <c r="C47" s="24" t="s">
        <v>2342</v>
      </c>
      <c r="D47" s="23" t="s">
        <v>49</v>
      </c>
      <c r="E47" s="56"/>
      <c r="F47" s="23">
        <v>92586.0</v>
      </c>
      <c r="G47" s="23" t="s">
        <v>50</v>
      </c>
      <c r="H47" s="23" t="s">
        <v>1337</v>
      </c>
      <c r="I47" s="56"/>
      <c r="J47" s="56"/>
      <c r="K47" s="23" t="s">
        <v>52</v>
      </c>
      <c r="L47" s="50"/>
      <c r="M47" s="23" t="s">
        <v>54</v>
      </c>
      <c r="N47" s="56"/>
      <c r="O47" s="25" t="s">
        <v>2343</v>
      </c>
      <c r="P47" s="26" t="s">
        <v>1524</v>
      </c>
      <c r="Q47" s="26" t="s">
        <v>2344</v>
      </c>
      <c r="R47" s="27" t="s">
        <v>2345</v>
      </c>
      <c r="S47" s="56"/>
      <c r="T47" s="56"/>
      <c r="U47" s="47" t="s">
        <v>143</v>
      </c>
      <c r="V47" s="56"/>
      <c r="W47" s="56"/>
      <c r="X47" s="23" t="s">
        <v>60</v>
      </c>
      <c r="Y47" s="23" t="s">
        <v>61</v>
      </c>
      <c r="Z47" s="23"/>
      <c r="AA47" s="23" t="s">
        <v>2346</v>
      </c>
      <c r="AB47" s="23" t="s">
        <v>2347</v>
      </c>
      <c r="AC47" s="23" t="s">
        <v>64</v>
      </c>
      <c r="AD47" s="28">
        <v>46093.0</v>
      </c>
      <c r="AE47" s="28">
        <v>46120.0</v>
      </c>
      <c r="AF47" s="28">
        <v>46120.0</v>
      </c>
      <c r="AG47" s="28"/>
      <c r="AH47" s="56"/>
      <c r="AI47" s="56"/>
      <c r="AJ47" s="56"/>
      <c r="AK47" s="56"/>
      <c r="AL47" s="56"/>
      <c r="AM47" s="56"/>
      <c r="AN47" s="56"/>
      <c r="AO47" s="291"/>
      <c r="AP47" s="24" t="s">
        <v>65</v>
      </c>
      <c r="AQ47" s="23" t="s">
        <v>485</v>
      </c>
      <c r="AR47" s="30">
        <v>355000.0</v>
      </c>
      <c r="AS47" s="31">
        <v>0.025</v>
      </c>
      <c r="AT47" s="32">
        <f t="shared" si="12"/>
        <v>8875</v>
      </c>
      <c r="AU47" s="33">
        <v>595.0</v>
      </c>
      <c r="AV47" s="34">
        <v>500.0</v>
      </c>
      <c r="AW47" s="34" t="s">
        <v>82</v>
      </c>
      <c r="AX47" s="34">
        <v>1095.0</v>
      </c>
      <c r="AY47" s="34">
        <v>0.0</v>
      </c>
      <c r="AZ47" s="34">
        <v>0.0</v>
      </c>
      <c r="BA47" s="36">
        <v>0.0</v>
      </c>
      <c r="BB47" s="37" t="s">
        <v>47</v>
      </c>
      <c r="BC47" s="38">
        <f t="shared" si="14"/>
        <v>9970</v>
      </c>
      <c r="BD47" s="39">
        <f t="shared" si="15"/>
        <v>5032.5</v>
      </c>
      <c r="BE47" s="40">
        <f t="shared" si="4"/>
        <v>4437.5</v>
      </c>
      <c r="BF47" s="111"/>
      <c r="BG47" s="23"/>
      <c r="BH47" s="42"/>
      <c r="BI47" s="52"/>
      <c r="BJ47" s="23"/>
      <c r="BK47" s="56"/>
      <c r="BL47" s="56"/>
      <c r="BM47" s="56"/>
      <c r="BN47" s="56"/>
      <c r="BO47" s="56"/>
      <c r="BP47" s="56"/>
      <c r="BQ47" s="56"/>
      <c r="BR47" s="56"/>
      <c r="BS47" s="56"/>
      <c r="BT47" s="56"/>
      <c r="BU47" s="56"/>
      <c r="BV47" s="56"/>
      <c r="BW47" s="56"/>
      <c r="BX47" s="42"/>
      <c r="BY47" s="42"/>
      <c r="BZ47" s="42"/>
      <c r="CA47" s="42"/>
      <c r="CB47" s="42"/>
      <c r="CC47" s="42"/>
      <c r="CD47" s="42"/>
      <c r="CE47" s="42"/>
      <c r="CF47" s="42"/>
      <c r="CG47" s="42"/>
      <c r="CH47" s="42"/>
      <c r="CI47" s="42"/>
      <c r="CJ47" s="42"/>
      <c r="CK47" s="42"/>
      <c r="CL47" s="42"/>
      <c r="CM47" s="42"/>
      <c r="CN47" s="42"/>
      <c r="CO47" s="42"/>
      <c r="CP47" s="42"/>
      <c r="CQ47" s="42"/>
      <c r="CR47" s="42"/>
      <c r="CS47" s="42"/>
    </row>
    <row r="48">
      <c r="A48" s="23" t="s">
        <v>1418</v>
      </c>
      <c r="B48" s="23" t="s">
        <v>84</v>
      </c>
      <c r="C48" s="24" t="s">
        <v>1451</v>
      </c>
      <c r="D48" s="23" t="s">
        <v>1452</v>
      </c>
      <c r="E48" s="56"/>
      <c r="F48" s="23">
        <v>92346.0</v>
      </c>
      <c r="G48" s="23" t="s">
        <v>101</v>
      </c>
      <c r="H48" s="23" t="s">
        <v>332</v>
      </c>
      <c r="I48" s="56"/>
      <c r="J48" s="56"/>
      <c r="K48" s="23" t="s">
        <v>73</v>
      </c>
      <c r="L48" s="50"/>
      <c r="M48" s="23" t="s">
        <v>103</v>
      </c>
      <c r="N48" s="56"/>
      <c r="O48" s="25" t="s">
        <v>1453</v>
      </c>
      <c r="P48" s="26" t="s">
        <v>1454</v>
      </c>
      <c r="Q48" s="26" t="s">
        <v>1455</v>
      </c>
      <c r="R48" s="27" t="s">
        <v>108</v>
      </c>
      <c r="S48" s="56"/>
      <c r="T48" s="56"/>
      <c r="U48" s="47" t="s">
        <v>143</v>
      </c>
      <c r="V48" s="56"/>
      <c r="W48" s="56"/>
      <c r="X48" s="23" t="s">
        <v>93</v>
      </c>
      <c r="Y48" s="23" t="s">
        <v>107</v>
      </c>
      <c r="Z48" s="23" t="s">
        <v>1456</v>
      </c>
      <c r="AA48" s="47" t="s">
        <v>680</v>
      </c>
      <c r="AB48" s="47" t="s">
        <v>680</v>
      </c>
      <c r="AC48" s="23" t="s">
        <v>64</v>
      </c>
      <c r="AD48" s="28">
        <v>46096.0</v>
      </c>
      <c r="AE48" s="28">
        <v>46115.0</v>
      </c>
      <c r="AF48" s="28">
        <v>46115.0</v>
      </c>
      <c r="AG48" s="28"/>
      <c r="AH48" s="56"/>
      <c r="AI48" s="56"/>
      <c r="AJ48" s="56"/>
      <c r="AK48" s="56"/>
      <c r="AL48" s="56"/>
      <c r="AM48" s="56"/>
      <c r="AN48" s="56"/>
      <c r="AO48" s="291"/>
      <c r="AP48" s="24" t="s">
        <v>106</v>
      </c>
      <c r="AQ48" s="23" t="s">
        <v>156</v>
      </c>
      <c r="AR48" s="30">
        <v>523400.0</v>
      </c>
      <c r="AS48" s="31">
        <v>0.025</v>
      </c>
      <c r="AT48" s="32">
        <f t="shared" si="12"/>
        <v>13085</v>
      </c>
      <c r="AU48" s="33">
        <v>595.0</v>
      </c>
      <c r="AV48" s="34" t="s">
        <v>111</v>
      </c>
      <c r="AW48" s="34" t="s">
        <v>111</v>
      </c>
      <c r="AX48" s="34">
        <v>1345.0</v>
      </c>
      <c r="AY48" s="34">
        <v>0.0</v>
      </c>
      <c r="AZ48" s="34">
        <v>0.0</v>
      </c>
      <c r="BA48" s="36">
        <v>0.0</v>
      </c>
      <c r="BB48" s="37" t="s">
        <v>84</v>
      </c>
      <c r="BC48" s="38">
        <f t="shared" si="14"/>
        <v>14430</v>
      </c>
      <c r="BD48" s="39">
        <f t="shared" si="15"/>
        <v>7137.5</v>
      </c>
      <c r="BE48" s="40">
        <f t="shared" si="4"/>
        <v>7292.5</v>
      </c>
      <c r="BF48" s="111"/>
      <c r="BG48" s="23"/>
      <c r="BH48" s="42"/>
      <c r="BI48" s="52"/>
      <c r="BJ48" s="23"/>
      <c r="BK48" s="56"/>
      <c r="BL48" s="56"/>
      <c r="BM48" s="56"/>
      <c r="BN48" s="56"/>
      <c r="BO48" s="56"/>
      <c r="BP48" s="56"/>
      <c r="BQ48" s="56"/>
      <c r="BR48" s="56"/>
      <c r="BS48" s="56"/>
      <c r="BT48" s="56"/>
      <c r="BU48" s="56"/>
      <c r="BV48" s="56"/>
      <c r="BW48" s="56"/>
      <c r="BX48" s="42"/>
      <c r="BY48" s="42"/>
      <c r="BZ48" s="42"/>
      <c r="CA48" s="42"/>
      <c r="CB48" s="42"/>
      <c r="CC48" s="42"/>
      <c r="CD48" s="42"/>
      <c r="CE48" s="42"/>
      <c r="CF48" s="42"/>
      <c r="CG48" s="42"/>
      <c r="CH48" s="42"/>
      <c r="CI48" s="42"/>
      <c r="CJ48" s="42"/>
      <c r="CK48" s="42"/>
      <c r="CL48" s="42"/>
      <c r="CM48" s="42"/>
      <c r="CN48" s="42"/>
      <c r="CO48" s="42"/>
      <c r="CP48" s="42"/>
      <c r="CQ48" s="42"/>
      <c r="CR48" s="42"/>
      <c r="CS48" s="42"/>
    </row>
    <row r="49">
      <c r="A49" s="23" t="s">
        <v>46</v>
      </c>
      <c r="B49" s="23" t="s">
        <v>47</v>
      </c>
      <c r="C49" s="24" t="s">
        <v>1715</v>
      </c>
      <c r="D49" s="23" t="s">
        <v>1243</v>
      </c>
      <c r="E49" s="56"/>
      <c r="F49" s="23">
        <v>92028.0</v>
      </c>
      <c r="G49" s="23" t="s">
        <v>87</v>
      </c>
      <c r="H49" s="23" t="s">
        <v>332</v>
      </c>
      <c r="I49" s="56"/>
      <c r="J49" s="56"/>
      <c r="K49" s="23" t="s">
        <v>73</v>
      </c>
      <c r="L49" s="50"/>
      <c r="M49" s="23" t="s">
        <v>103</v>
      </c>
      <c r="N49" s="56"/>
      <c r="O49" s="25" t="s">
        <v>1716</v>
      </c>
      <c r="P49" s="26" t="s">
        <v>1717</v>
      </c>
      <c r="Q49" s="26" t="s">
        <v>1718</v>
      </c>
      <c r="R49" s="27" t="s">
        <v>1719</v>
      </c>
      <c r="S49" s="56"/>
      <c r="T49" s="56"/>
      <c r="U49" s="23"/>
      <c r="V49" s="56"/>
      <c r="W49" s="56"/>
      <c r="X49" s="23" t="s">
        <v>343</v>
      </c>
      <c r="Y49" s="23" t="s">
        <v>343</v>
      </c>
      <c r="Z49" s="23" t="s">
        <v>1719</v>
      </c>
      <c r="AA49" s="23" t="s">
        <v>1721</v>
      </c>
      <c r="AB49" s="23" t="s">
        <v>1722</v>
      </c>
      <c r="AC49" s="23" t="s">
        <v>64</v>
      </c>
      <c r="AD49" s="28">
        <v>46095.0</v>
      </c>
      <c r="AE49" s="28">
        <v>46157.0</v>
      </c>
      <c r="AF49" s="28">
        <v>46157.0</v>
      </c>
      <c r="AG49" s="28"/>
      <c r="AH49" s="56"/>
      <c r="AI49" s="56"/>
      <c r="AJ49" s="56"/>
      <c r="AK49" s="56"/>
      <c r="AL49" s="56"/>
      <c r="AM49" s="56"/>
      <c r="AN49" s="56"/>
      <c r="AO49" s="291"/>
      <c r="AP49" s="24" t="s">
        <v>343</v>
      </c>
      <c r="AQ49" s="23"/>
      <c r="AR49" s="30">
        <v>945000.0</v>
      </c>
      <c r="AS49" s="31">
        <v>0.025</v>
      </c>
      <c r="AT49" s="32">
        <f t="shared" si="12"/>
        <v>23625</v>
      </c>
      <c r="AU49" s="33">
        <v>595.0</v>
      </c>
      <c r="AV49" s="34" t="s">
        <v>111</v>
      </c>
      <c r="AW49" s="34">
        <v>0.0</v>
      </c>
      <c r="AX49" s="34">
        <v>595.0</v>
      </c>
      <c r="AY49" s="34">
        <v>0.0</v>
      </c>
      <c r="AZ49" s="34">
        <v>0.0</v>
      </c>
      <c r="BA49" s="36">
        <v>0.0</v>
      </c>
      <c r="BB49" s="37" t="s">
        <v>47</v>
      </c>
      <c r="BC49" s="38">
        <f t="shared" si="14"/>
        <v>24220</v>
      </c>
      <c r="BD49" s="39">
        <f t="shared" si="15"/>
        <v>12407.5</v>
      </c>
      <c r="BE49" s="40">
        <f t="shared" si="4"/>
        <v>11812.5</v>
      </c>
      <c r="BF49" s="111"/>
      <c r="BG49" s="23"/>
      <c r="BH49" s="42"/>
      <c r="BI49" s="52"/>
      <c r="BJ49" s="23"/>
      <c r="BK49" s="56"/>
      <c r="BL49" s="56"/>
      <c r="BM49" s="56"/>
      <c r="BN49" s="56"/>
      <c r="BO49" s="56"/>
      <c r="BP49" s="56"/>
      <c r="BQ49" s="56"/>
      <c r="BR49" s="56"/>
      <c r="BS49" s="56"/>
      <c r="BT49" s="56"/>
      <c r="BU49" s="56"/>
      <c r="BV49" s="56"/>
      <c r="BW49" s="56"/>
      <c r="BX49" s="42"/>
      <c r="BY49" s="42"/>
      <c r="BZ49" s="42"/>
      <c r="CA49" s="42"/>
      <c r="CB49" s="42"/>
      <c r="CC49" s="42"/>
      <c r="CD49" s="42"/>
      <c r="CE49" s="42"/>
      <c r="CF49" s="42"/>
      <c r="CG49" s="42"/>
      <c r="CH49" s="42"/>
      <c r="CI49" s="42"/>
      <c r="CJ49" s="42"/>
      <c r="CK49" s="42"/>
      <c r="CL49" s="42"/>
      <c r="CM49" s="42"/>
      <c r="CN49" s="42"/>
      <c r="CO49" s="42"/>
      <c r="CP49" s="42"/>
      <c r="CQ49" s="42"/>
      <c r="CR49" s="42"/>
      <c r="CS49" s="42"/>
    </row>
    <row r="50">
      <c r="A50" s="23" t="s">
        <v>1418</v>
      </c>
      <c r="B50" s="23" t="s">
        <v>47</v>
      </c>
      <c r="C50" s="24" t="s">
        <v>1480</v>
      </c>
      <c r="D50" s="23" t="s">
        <v>316</v>
      </c>
      <c r="E50" s="56"/>
      <c r="F50" s="23">
        <v>92562.0</v>
      </c>
      <c r="G50" s="23" t="s">
        <v>50</v>
      </c>
      <c r="H50" s="23" t="s">
        <v>51</v>
      </c>
      <c r="I50" s="56"/>
      <c r="J50" s="56"/>
      <c r="K50" s="23" t="s">
        <v>52</v>
      </c>
      <c r="L50" s="50"/>
      <c r="M50" s="23" t="s">
        <v>54</v>
      </c>
      <c r="N50" s="56"/>
      <c r="O50" s="25" t="s">
        <v>1481</v>
      </c>
      <c r="P50" s="26" t="s">
        <v>1482</v>
      </c>
      <c r="Q50" s="26" t="s">
        <v>1483</v>
      </c>
      <c r="R50" s="27" t="s">
        <v>239</v>
      </c>
      <c r="S50" s="56"/>
      <c r="T50" s="56"/>
      <c r="U50" s="23" t="s">
        <v>1484</v>
      </c>
      <c r="V50" s="56"/>
      <c r="W50" s="56"/>
      <c r="X50" s="23" t="s">
        <v>737</v>
      </c>
      <c r="Y50" s="23" t="s">
        <v>61</v>
      </c>
      <c r="Z50" s="23" t="s">
        <v>579</v>
      </c>
      <c r="AA50" s="23" t="s">
        <v>1485</v>
      </c>
      <c r="AB50" s="23" t="s">
        <v>1486</v>
      </c>
      <c r="AC50" s="23" t="s">
        <v>64</v>
      </c>
      <c r="AD50" s="28">
        <v>46094.0</v>
      </c>
      <c r="AE50" s="28">
        <v>46115.0</v>
      </c>
      <c r="AF50" s="28">
        <v>46115.0</v>
      </c>
      <c r="AG50" s="28"/>
      <c r="AH50" s="56"/>
      <c r="AI50" s="56"/>
      <c r="AJ50" s="56"/>
      <c r="AK50" s="56"/>
      <c r="AL50" s="56"/>
      <c r="AM50" s="56"/>
      <c r="AN50" s="56"/>
      <c r="AO50" s="291"/>
      <c r="AP50" s="24" t="s">
        <v>65</v>
      </c>
      <c r="AQ50" s="23"/>
      <c r="AR50" s="30">
        <v>725000.0</v>
      </c>
      <c r="AS50" s="31">
        <v>0.025</v>
      </c>
      <c r="AT50" s="32">
        <f t="shared" si="12"/>
        <v>18125</v>
      </c>
      <c r="AU50" s="33">
        <v>595.0</v>
      </c>
      <c r="AV50" s="34">
        <v>500.0</v>
      </c>
      <c r="AW50" s="34" t="s">
        <v>82</v>
      </c>
      <c r="AX50" s="34">
        <v>1095.0</v>
      </c>
      <c r="AY50" s="34">
        <v>0.0</v>
      </c>
      <c r="AZ50" s="34">
        <v>0.0</v>
      </c>
      <c r="BA50" s="36">
        <v>0.0</v>
      </c>
      <c r="BB50" s="37" t="s">
        <v>47</v>
      </c>
      <c r="BC50" s="38">
        <f t="shared" si="14"/>
        <v>19220</v>
      </c>
      <c r="BD50" s="39">
        <f t="shared" si="15"/>
        <v>9657.5</v>
      </c>
      <c r="BE50" s="40">
        <f t="shared" si="4"/>
        <v>9062.5</v>
      </c>
      <c r="BF50" s="111"/>
      <c r="BG50" s="23"/>
      <c r="BH50" s="42"/>
      <c r="BI50" s="52"/>
      <c r="BJ50" s="23"/>
      <c r="BK50" s="56"/>
      <c r="BL50" s="56"/>
      <c r="BM50" s="56"/>
      <c r="BN50" s="56"/>
      <c r="BO50" s="56"/>
      <c r="BP50" s="56"/>
      <c r="BQ50" s="56"/>
      <c r="BR50" s="56"/>
      <c r="BS50" s="56"/>
      <c r="BT50" s="56"/>
      <c r="BU50" s="56"/>
      <c r="BV50" s="56"/>
      <c r="BW50" s="56"/>
      <c r="BX50" s="42"/>
      <c r="BY50" s="42"/>
      <c r="BZ50" s="42"/>
      <c r="CA50" s="42"/>
      <c r="CB50" s="42"/>
      <c r="CC50" s="42"/>
      <c r="CD50" s="42"/>
      <c r="CE50" s="42"/>
      <c r="CF50" s="42"/>
      <c r="CG50" s="42"/>
      <c r="CH50" s="42"/>
      <c r="CI50" s="42"/>
      <c r="CJ50" s="42"/>
      <c r="CK50" s="42"/>
      <c r="CL50" s="42"/>
      <c r="CM50" s="42"/>
      <c r="CN50" s="42"/>
      <c r="CO50" s="42"/>
      <c r="CP50" s="42"/>
      <c r="CQ50" s="42"/>
      <c r="CR50" s="42"/>
      <c r="CS50" s="42"/>
    </row>
    <row r="51">
      <c r="A51" s="23" t="s">
        <v>1418</v>
      </c>
      <c r="B51" s="23" t="s">
        <v>84</v>
      </c>
      <c r="C51" s="24" t="s">
        <v>1707</v>
      </c>
      <c r="D51" s="23" t="s">
        <v>1708</v>
      </c>
      <c r="E51" s="56"/>
      <c r="F51" s="23">
        <v>92344.0</v>
      </c>
      <c r="G51" s="23" t="s">
        <v>101</v>
      </c>
      <c r="H51" s="23" t="s">
        <v>139</v>
      </c>
      <c r="I51" s="56"/>
      <c r="J51" s="56"/>
      <c r="K51" s="23" t="s">
        <v>73</v>
      </c>
      <c r="L51" s="50"/>
      <c r="M51" s="23" t="s">
        <v>103</v>
      </c>
      <c r="N51" s="56"/>
      <c r="O51" s="49" t="s">
        <v>1709</v>
      </c>
      <c r="P51" s="49" t="s">
        <v>2368</v>
      </c>
      <c r="Q51" s="108" t="s">
        <v>1711</v>
      </c>
      <c r="R51" s="27" t="s">
        <v>92</v>
      </c>
      <c r="S51" s="56"/>
      <c r="T51" s="56"/>
      <c r="U51" s="47" t="s">
        <v>143</v>
      </c>
      <c r="V51" s="56"/>
      <c r="W51" s="56"/>
      <c r="X51" s="23" t="s">
        <v>93</v>
      </c>
      <c r="Y51" s="23" t="s">
        <v>132</v>
      </c>
      <c r="Z51" s="23" t="s">
        <v>94</v>
      </c>
      <c r="AA51" s="23" t="s">
        <v>2369</v>
      </c>
      <c r="AB51" s="23" t="s">
        <v>2558</v>
      </c>
      <c r="AC51" s="23" t="s">
        <v>64</v>
      </c>
      <c r="AD51" s="28">
        <v>46099.0</v>
      </c>
      <c r="AE51" s="28">
        <v>46114.0</v>
      </c>
      <c r="AF51" s="172">
        <v>46115.0</v>
      </c>
      <c r="AG51" s="28"/>
      <c r="AH51" s="56"/>
      <c r="AI51" s="56"/>
      <c r="AJ51" s="56"/>
      <c r="AK51" s="56"/>
      <c r="AL51" s="56"/>
      <c r="AM51" s="56"/>
      <c r="AN51" s="56"/>
      <c r="AO51" s="291"/>
      <c r="AP51" s="24" t="s">
        <v>65</v>
      </c>
      <c r="AQ51" s="23"/>
      <c r="AR51" s="30">
        <v>575000.0</v>
      </c>
      <c r="AS51" s="31">
        <v>0.025</v>
      </c>
      <c r="AT51" s="32">
        <f t="shared" si="12"/>
        <v>14375</v>
      </c>
      <c r="AU51" s="33">
        <v>595.0</v>
      </c>
      <c r="AV51" s="34">
        <v>500.0</v>
      </c>
      <c r="AW51" s="34">
        <v>250.0</v>
      </c>
      <c r="AX51" s="34">
        <v>995.0</v>
      </c>
      <c r="AY51" s="34">
        <v>0.0</v>
      </c>
      <c r="AZ51" s="34">
        <v>0.0</v>
      </c>
      <c r="BA51" s="36">
        <v>0.0</v>
      </c>
      <c r="BB51" s="37" t="s">
        <v>84</v>
      </c>
      <c r="BC51" s="38">
        <f t="shared" si="14"/>
        <v>15370</v>
      </c>
      <c r="BD51" s="39">
        <f t="shared" si="15"/>
        <v>7782.5</v>
      </c>
      <c r="BE51" s="40">
        <f t="shared" si="4"/>
        <v>6837.5</v>
      </c>
      <c r="BF51" s="111"/>
      <c r="BG51" s="23"/>
      <c r="BH51" s="42"/>
      <c r="BI51" s="52"/>
      <c r="BJ51" s="23"/>
      <c r="BK51" s="56"/>
      <c r="BL51" s="56"/>
      <c r="BM51" s="56"/>
      <c r="BN51" s="56"/>
      <c r="BO51" s="56"/>
      <c r="BP51" s="56"/>
      <c r="BQ51" s="56"/>
      <c r="BR51" s="56"/>
      <c r="BS51" s="56"/>
      <c r="BT51" s="56"/>
      <c r="BU51" s="56"/>
      <c r="BV51" s="56"/>
      <c r="BW51" s="56"/>
      <c r="BX51" s="42"/>
      <c r="BY51" s="42"/>
      <c r="BZ51" s="42"/>
      <c r="CA51" s="42"/>
      <c r="CB51" s="42"/>
      <c r="CC51" s="42"/>
      <c r="CD51" s="42"/>
      <c r="CE51" s="42"/>
      <c r="CF51" s="42"/>
      <c r="CG51" s="42"/>
      <c r="CH51" s="42"/>
      <c r="CI51" s="42"/>
      <c r="CJ51" s="42"/>
      <c r="CK51" s="42"/>
      <c r="CL51" s="42"/>
      <c r="CM51" s="42"/>
      <c r="CN51" s="42"/>
      <c r="CO51" s="42"/>
      <c r="CP51" s="42"/>
      <c r="CQ51" s="42"/>
      <c r="CR51" s="42"/>
      <c r="CS51" s="42"/>
    </row>
    <row r="52">
      <c r="A52" s="23" t="s">
        <v>1418</v>
      </c>
      <c r="B52" s="23" t="s">
        <v>84</v>
      </c>
      <c r="C52" s="24" t="s">
        <v>1488</v>
      </c>
      <c r="D52" s="23" t="s">
        <v>1489</v>
      </c>
      <c r="E52" s="56"/>
      <c r="F52" s="23">
        <v>92021.0</v>
      </c>
      <c r="G52" s="23" t="s">
        <v>87</v>
      </c>
      <c r="H52" s="23" t="s">
        <v>255</v>
      </c>
      <c r="I52" s="56"/>
      <c r="J52" s="56"/>
      <c r="K52" s="23" t="s">
        <v>52</v>
      </c>
      <c r="L52" s="50"/>
      <c r="M52" s="23" t="s">
        <v>103</v>
      </c>
      <c r="N52" s="56"/>
      <c r="O52" s="25" t="s">
        <v>1491</v>
      </c>
      <c r="P52" s="26" t="s">
        <v>1492</v>
      </c>
      <c r="Q52" s="26" t="s">
        <v>1493</v>
      </c>
      <c r="R52" s="27" t="s">
        <v>92</v>
      </c>
      <c r="S52" s="56"/>
      <c r="T52" s="56"/>
      <c r="U52" s="23" t="s">
        <v>1494</v>
      </c>
      <c r="V52" s="56"/>
      <c r="W52" s="56"/>
      <c r="X52" s="23" t="s">
        <v>60</v>
      </c>
      <c r="Y52" s="23" t="s">
        <v>132</v>
      </c>
      <c r="Z52" s="23" t="s">
        <v>94</v>
      </c>
      <c r="AA52" s="23" t="s">
        <v>1495</v>
      </c>
      <c r="AB52" s="23" t="s">
        <v>2559</v>
      </c>
      <c r="AC52" s="23" t="s">
        <v>64</v>
      </c>
      <c r="AD52" s="28">
        <v>46099.0</v>
      </c>
      <c r="AE52" s="28">
        <v>46120.0</v>
      </c>
      <c r="AF52" s="28">
        <v>46120.0</v>
      </c>
      <c r="AG52" s="28"/>
      <c r="AH52" s="56"/>
      <c r="AI52" s="56"/>
      <c r="AJ52" s="56"/>
      <c r="AK52" s="56"/>
      <c r="AL52" s="56"/>
      <c r="AM52" s="56"/>
      <c r="AN52" s="56"/>
      <c r="AO52" s="291"/>
      <c r="AP52" s="24" t="s">
        <v>65</v>
      </c>
      <c r="AQ52" s="23"/>
      <c r="AR52" s="30">
        <v>820000.0</v>
      </c>
      <c r="AS52" s="31">
        <v>0.03</v>
      </c>
      <c r="AT52" s="32">
        <f t="shared" si="12"/>
        <v>24600</v>
      </c>
      <c r="AU52" s="33">
        <v>595.0</v>
      </c>
      <c r="AV52" s="34">
        <v>500.0</v>
      </c>
      <c r="AW52" s="34">
        <v>250.0</v>
      </c>
      <c r="AX52" s="34">
        <v>695.0</v>
      </c>
      <c r="AY52" s="34">
        <v>0.0</v>
      </c>
      <c r="AZ52" s="34">
        <v>0.0</v>
      </c>
      <c r="BA52" s="36">
        <v>0.0</v>
      </c>
      <c r="BB52" s="37" t="s">
        <v>84</v>
      </c>
      <c r="BC52" s="38">
        <f t="shared" si="14"/>
        <v>25295</v>
      </c>
      <c r="BD52" s="39">
        <f t="shared" si="15"/>
        <v>12895</v>
      </c>
      <c r="BE52" s="40">
        <f t="shared" si="4"/>
        <v>11650</v>
      </c>
      <c r="BF52" s="111"/>
      <c r="BG52" s="23"/>
      <c r="BH52" s="42"/>
      <c r="BI52" s="52"/>
      <c r="BJ52" s="23"/>
      <c r="BK52" s="56"/>
      <c r="BL52" s="56"/>
      <c r="BM52" s="56"/>
      <c r="BN52" s="56"/>
      <c r="BO52" s="56"/>
      <c r="BP52" s="56"/>
      <c r="BQ52" s="56"/>
      <c r="BR52" s="56"/>
      <c r="BS52" s="56"/>
      <c r="BT52" s="56"/>
      <c r="BU52" s="56"/>
      <c r="BV52" s="56"/>
      <c r="BW52" s="56"/>
      <c r="BX52" s="42"/>
      <c r="BY52" s="42"/>
      <c r="BZ52" s="42"/>
      <c r="CA52" s="42"/>
      <c r="CB52" s="42"/>
      <c r="CC52" s="42"/>
      <c r="CD52" s="42"/>
      <c r="CE52" s="42"/>
      <c r="CF52" s="42"/>
      <c r="CG52" s="42"/>
      <c r="CH52" s="42"/>
      <c r="CI52" s="42"/>
      <c r="CJ52" s="42"/>
      <c r="CK52" s="42"/>
      <c r="CL52" s="42"/>
      <c r="CM52" s="42"/>
      <c r="CN52" s="42"/>
      <c r="CO52" s="42"/>
      <c r="CP52" s="42"/>
      <c r="CQ52" s="42"/>
      <c r="CR52" s="42"/>
      <c r="CS52" s="42"/>
    </row>
    <row r="53">
      <c r="A53" s="23" t="s">
        <v>1418</v>
      </c>
      <c r="B53" s="23" t="s">
        <v>47</v>
      </c>
      <c r="C53" s="24" t="s">
        <v>2336</v>
      </c>
      <c r="D53" s="23" t="s">
        <v>158</v>
      </c>
      <c r="E53" s="56"/>
      <c r="F53" s="23">
        <v>92530.0</v>
      </c>
      <c r="G53" s="23" t="s">
        <v>50</v>
      </c>
      <c r="H53" s="23" t="s">
        <v>341</v>
      </c>
      <c r="I53" s="56"/>
      <c r="J53" s="56"/>
      <c r="K53" s="23" t="s">
        <v>172</v>
      </c>
      <c r="L53" s="50"/>
      <c r="M53" s="23" t="s">
        <v>54</v>
      </c>
      <c r="N53" s="56"/>
      <c r="O53" s="25" t="s">
        <v>2337</v>
      </c>
      <c r="P53" s="26" t="s">
        <v>2338</v>
      </c>
      <c r="Q53" s="26" t="s">
        <v>2339</v>
      </c>
      <c r="R53" s="27" t="s">
        <v>178</v>
      </c>
      <c r="S53" s="56"/>
      <c r="T53" s="56"/>
      <c r="U53" s="23" t="s">
        <v>2242</v>
      </c>
      <c r="V53" s="56"/>
      <c r="W53" s="56"/>
      <c r="X53" s="23" t="s">
        <v>60</v>
      </c>
      <c r="Y53" s="23" t="s">
        <v>61</v>
      </c>
      <c r="Z53" s="23" t="s">
        <v>178</v>
      </c>
      <c r="AA53" s="23" t="s">
        <v>2340</v>
      </c>
      <c r="AB53" s="23" t="s">
        <v>2341</v>
      </c>
      <c r="AC53" s="23" t="s">
        <v>64</v>
      </c>
      <c r="AD53" s="28">
        <v>46098.0</v>
      </c>
      <c r="AE53" s="28">
        <v>46119.0</v>
      </c>
      <c r="AF53" s="28">
        <v>46119.0</v>
      </c>
      <c r="AG53" s="28"/>
      <c r="AH53" s="56"/>
      <c r="AI53" s="56"/>
      <c r="AJ53" s="56"/>
      <c r="AK53" s="56"/>
      <c r="AL53" s="56"/>
      <c r="AM53" s="56"/>
      <c r="AN53" s="56"/>
      <c r="AO53" s="291"/>
      <c r="AP53" s="24" t="s">
        <v>124</v>
      </c>
      <c r="AQ53" s="23" t="s">
        <v>66</v>
      </c>
      <c r="AR53" s="30">
        <v>380000.0</v>
      </c>
      <c r="AS53" s="31">
        <v>0.03</v>
      </c>
      <c r="AT53" s="32">
        <f t="shared" si="12"/>
        <v>11400</v>
      </c>
      <c r="AU53" s="33">
        <v>595.0</v>
      </c>
      <c r="AV53" s="34">
        <v>500.0</v>
      </c>
      <c r="AW53" s="34" t="s">
        <v>82</v>
      </c>
      <c r="AX53" s="34">
        <v>1345.0</v>
      </c>
      <c r="AY53" s="34">
        <v>0.0</v>
      </c>
      <c r="AZ53" s="34">
        <v>0.0</v>
      </c>
      <c r="BA53" s="36">
        <v>0.0</v>
      </c>
      <c r="BB53" s="37" t="s">
        <v>47</v>
      </c>
      <c r="BC53" s="38">
        <f t="shared" si="14"/>
        <v>12745</v>
      </c>
      <c r="BD53" s="39">
        <f t="shared" si="15"/>
        <v>6295</v>
      </c>
      <c r="BE53" s="40">
        <f t="shared" si="4"/>
        <v>5950</v>
      </c>
      <c r="BF53" s="111"/>
      <c r="BG53" s="23"/>
      <c r="BH53" s="42"/>
      <c r="BI53" s="52"/>
      <c r="BJ53" s="23"/>
      <c r="BK53" s="56"/>
      <c r="BL53" s="56"/>
      <c r="BM53" s="56"/>
      <c r="BN53" s="56"/>
      <c r="BO53" s="56"/>
      <c r="BP53" s="56"/>
      <c r="BQ53" s="56"/>
      <c r="BR53" s="56"/>
      <c r="BS53" s="56"/>
      <c r="BT53" s="56"/>
      <c r="BU53" s="56"/>
      <c r="BV53" s="56"/>
      <c r="BW53" s="56"/>
      <c r="BX53" s="42"/>
      <c r="BY53" s="42"/>
      <c r="BZ53" s="42"/>
      <c r="CA53" s="42"/>
      <c r="CB53" s="42"/>
      <c r="CC53" s="42"/>
      <c r="CD53" s="42"/>
      <c r="CE53" s="42"/>
      <c r="CF53" s="42"/>
      <c r="CG53" s="42"/>
      <c r="CH53" s="42"/>
      <c r="CI53" s="42"/>
      <c r="CJ53" s="42"/>
      <c r="CK53" s="42"/>
      <c r="CL53" s="42"/>
      <c r="CM53" s="42"/>
      <c r="CN53" s="42"/>
      <c r="CO53" s="42"/>
      <c r="CP53" s="42"/>
      <c r="CQ53" s="42"/>
      <c r="CR53" s="42"/>
      <c r="CS53" s="42"/>
    </row>
    <row r="54">
      <c r="A54" s="23" t="s">
        <v>1418</v>
      </c>
      <c r="B54" s="23" t="s">
        <v>84</v>
      </c>
      <c r="C54" s="24" t="s">
        <v>1584</v>
      </c>
      <c r="D54" s="23" t="s">
        <v>170</v>
      </c>
      <c r="E54" s="56"/>
      <c r="F54" s="23">
        <v>92596.0</v>
      </c>
      <c r="G54" s="23" t="s">
        <v>50</v>
      </c>
      <c r="H54" s="23" t="s">
        <v>812</v>
      </c>
      <c r="I54" s="56"/>
      <c r="J54" s="56"/>
      <c r="K54" s="23" t="s">
        <v>73</v>
      </c>
      <c r="L54" s="50"/>
      <c r="M54" s="23" t="s">
        <v>103</v>
      </c>
      <c r="N54" s="56"/>
      <c r="O54" s="25" t="s">
        <v>1585</v>
      </c>
      <c r="P54" s="26" t="s">
        <v>1586</v>
      </c>
      <c r="Q54" s="26" t="s">
        <v>1587</v>
      </c>
      <c r="R54" s="27" t="s">
        <v>92</v>
      </c>
      <c r="S54" s="56"/>
      <c r="T54" s="56"/>
      <c r="U54" s="23" t="s">
        <v>1588</v>
      </c>
      <c r="V54" s="56"/>
      <c r="W54" s="56"/>
      <c r="X54" s="23" t="s">
        <v>60</v>
      </c>
      <c r="Y54" s="23" t="s">
        <v>61</v>
      </c>
      <c r="Z54" s="23" t="s">
        <v>94</v>
      </c>
      <c r="AA54" s="23" t="s">
        <v>1589</v>
      </c>
      <c r="AB54" s="23" t="s">
        <v>2560</v>
      </c>
      <c r="AC54" s="23" t="s">
        <v>64</v>
      </c>
      <c r="AD54" s="28">
        <v>46100.0</v>
      </c>
      <c r="AE54" s="172">
        <v>46132.0</v>
      </c>
      <c r="AF54" s="28">
        <v>46119.0</v>
      </c>
      <c r="AG54" s="28"/>
      <c r="AH54" s="56"/>
      <c r="AI54" s="56"/>
      <c r="AJ54" s="56"/>
      <c r="AK54" s="56"/>
      <c r="AL54" s="56"/>
      <c r="AM54" s="56"/>
      <c r="AN54" s="56"/>
      <c r="AO54" s="291"/>
      <c r="AP54" s="24" t="s">
        <v>65</v>
      </c>
      <c r="AQ54" s="23"/>
      <c r="AR54" s="30">
        <v>655000.0</v>
      </c>
      <c r="AS54" s="31">
        <v>0.045</v>
      </c>
      <c r="AT54" s="32">
        <f t="shared" si="12"/>
        <v>29475</v>
      </c>
      <c r="AU54" s="33" t="s">
        <v>82</v>
      </c>
      <c r="AV54" s="34">
        <v>0.0</v>
      </c>
      <c r="AW54" s="34" t="s">
        <v>82</v>
      </c>
      <c r="AX54" s="34">
        <v>1345.0</v>
      </c>
      <c r="AY54" s="34">
        <v>0.0</v>
      </c>
      <c r="AZ54" s="34">
        <v>0.0</v>
      </c>
      <c r="BA54" s="36">
        <v>0.0</v>
      </c>
      <c r="BB54" s="37" t="s">
        <v>84</v>
      </c>
      <c r="BC54" s="38">
        <f t="shared" si="14"/>
        <v>30070</v>
      </c>
      <c r="BD54" s="39">
        <f t="shared" si="15"/>
        <v>15332.5</v>
      </c>
      <c r="BE54" s="40">
        <f t="shared" si="4"/>
        <v>14737.5</v>
      </c>
      <c r="BF54" s="111"/>
      <c r="BG54" s="23"/>
      <c r="BH54" s="42"/>
      <c r="BI54" s="52"/>
      <c r="BJ54" s="23"/>
      <c r="BK54" s="56"/>
      <c r="BL54" s="56"/>
      <c r="BM54" s="56"/>
      <c r="BN54" s="56"/>
      <c r="BO54" s="56"/>
      <c r="BP54" s="56"/>
      <c r="BQ54" s="56"/>
      <c r="BR54" s="56"/>
      <c r="BS54" s="56"/>
      <c r="BT54" s="56"/>
      <c r="BU54" s="56"/>
      <c r="BV54" s="56"/>
      <c r="BW54" s="56"/>
      <c r="BX54" s="42"/>
      <c r="BY54" s="42"/>
      <c r="BZ54" s="42"/>
      <c r="CA54" s="42"/>
      <c r="CB54" s="42"/>
      <c r="CC54" s="42"/>
      <c r="CD54" s="42"/>
      <c r="CE54" s="42"/>
      <c r="CF54" s="42"/>
      <c r="CG54" s="42"/>
      <c r="CH54" s="42"/>
      <c r="CI54" s="42"/>
      <c r="CJ54" s="42"/>
      <c r="CK54" s="42"/>
      <c r="CL54" s="42"/>
      <c r="CM54" s="42"/>
      <c r="CN54" s="42"/>
      <c r="CO54" s="42"/>
      <c r="CP54" s="42"/>
      <c r="CQ54" s="42"/>
      <c r="CR54" s="42"/>
      <c r="CS54" s="42"/>
    </row>
    <row r="55">
      <c r="A55" s="50"/>
      <c r="B55" s="23"/>
      <c r="C55" s="24"/>
      <c r="D55" s="23"/>
      <c r="E55" s="56"/>
      <c r="F55" s="23"/>
      <c r="G55" s="23"/>
      <c r="H55" s="23"/>
      <c r="I55" s="56"/>
      <c r="J55" s="56"/>
      <c r="K55" s="23"/>
      <c r="L55" s="50"/>
      <c r="M55" s="23"/>
      <c r="N55" s="56"/>
      <c r="O55" s="25"/>
      <c r="P55" s="43"/>
      <c r="Q55" s="43"/>
      <c r="R55" s="59"/>
      <c r="S55" s="56"/>
      <c r="T55" s="56"/>
      <c r="U55" s="23"/>
      <c r="V55" s="56"/>
      <c r="W55" s="56"/>
      <c r="X55" s="23"/>
      <c r="Y55" s="23"/>
      <c r="Z55" s="23"/>
      <c r="AA55" s="23"/>
      <c r="AB55" s="23"/>
      <c r="AC55" s="23"/>
      <c r="AD55" s="28"/>
      <c r="AE55" s="61"/>
      <c r="AF55" s="61"/>
      <c r="AG55" s="28"/>
      <c r="AH55" s="56"/>
      <c r="AI55" s="56"/>
      <c r="AJ55" s="56"/>
      <c r="AK55" s="56"/>
      <c r="AL55" s="56"/>
      <c r="AM55" s="56"/>
      <c r="AN55" s="56"/>
      <c r="AO55" s="291"/>
      <c r="AP55" s="24"/>
      <c r="AQ55" s="23"/>
      <c r="AR55" s="38">
        <v>0.0</v>
      </c>
      <c r="AS55" s="51">
        <v>0.0</v>
      </c>
      <c r="AT55" s="32">
        <f t="shared" si="12"/>
        <v>0</v>
      </c>
      <c r="AU55" s="33" t="s">
        <v>82</v>
      </c>
      <c r="AV55" s="34">
        <v>0.0</v>
      </c>
      <c r="AW55" s="34" t="s">
        <v>82</v>
      </c>
      <c r="AX55" s="34">
        <v>0.0</v>
      </c>
      <c r="AY55" s="34">
        <v>0.0</v>
      </c>
      <c r="AZ55" s="34">
        <v>0.0</v>
      </c>
      <c r="BA55" s="36">
        <v>0.0</v>
      </c>
      <c r="BB55" s="37"/>
      <c r="BC55" s="38">
        <f t="shared" si="14"/>
        <v>595</v>
      </c>
      <c r="BD55" s="39">
        <f t="shared" si="15"/>
        <v>595</v>
      </c>
      <c r="BE55" s="40">
        <f t="shared" si="4"/>
        <v>0</v>
      </c>
      <c r="BF55" s="111"/>
      <c r="BG55" s="23"/>
      <c r="BH55" s="42"/>
      <c r="BI55" s="52"/>
      <c r="BJ55" s="23"/>
      <c r="BK55" s="56"/>
      <c r="BL55" s="56"/>
      <c r="BM55" s="56"/>
      <c r="BN55" s="56"/>
      <c r="BO55" s="56"/>
      <c r="BP55" s="56"/>
      <c r="BQ55" s="56"/>
      <c r="BR55" s="56"/>
      <c r="BS55" s="56"/>
      <c r="BT55" s="56"/>
      <c r="BU55" s="56"/>
      <c r="BV55" s="56"/>
      <c r="BW55" s="56"/>
      <c r="BX55" s="42"/>
      <c r="BY55" s="42"/>
      <c r="BZ55" s="42"/>
      <c r="CA55" s="42"/>
      <c r="CB55" s="42"/>
      <c r="CC55" s="42"/>
      <c r="CD55" s="42"/>
      <c r="CE55" s="42"/>
      <c r="CF55" s="42"/>
      <c r="CG55" s="42"/>
      <c r="CH55" s="42"/>
      <c r="CI55" s="42"/>
      <c r="CJ55" s="42"/>
      <c r="CK55" s="42"/>
      <c r="CL55" s="42"/>
      <c r="CM55" s="42"/>
      <c r="CN55" s="42"/>
      <c r="CO55" s="42"/>
      <c r="CP55" s="42"/>
      <c r="CQ55" s="42"/>
      <c r="CR55" s="42"/>
      <c r="CS55" s="42"/>
    </row>
    <row r="56">
      <c r="A56" s="50"/>
      <c r="B56" s="23"/>
      <c r="C56" s="24"/>
      <c r="D56" s="23"/>
      <c r="E56" s="56"/>
      <c r="F56" s="23"/>
      <c r="G56" s="23"/>
      <c r="H56" s="23"/>
      <c r="I56" s="56"/>
      <c r="J56" s="56"/>
      <c r="K56" s="23"/>
      <c r="L56" s="50"/>
      <c r="M56" s="23"/>
      <c r="N56" s="56"/>
      <c r="O56" s="25"/>
      <c r="P56" s="43"/>
      <c r="Q56" s="43"/>
      <c r="R56" s="59"/>
      <c r="S56" s="56"/>
      <c r="T56" s="56"/>
      <c r="U56" s="23"/>
      <c r="V56" s="56"/>
      <c r="W56" s="56"/>
      <c r="X56" s="23"/>
      <c r="Y56" s="23"/>
      <c r="Z56" s="23"/>
      <c r="AA56" s="23"/>
      <c r="AB56" s="23"/>
      <c r="AC56" s="23"/>
      <c r="AD56" s="28"/>
      <c r="AE56" s="61"/>
      <c r="AF56" s="61"/>
      <c r="AG56" s="28"/>
      <c r="AH56" s="56"/>
      <c r="AI56" s="56"/>
      <c r="AJ56" s="56"/>
      <c r="AK56" s="56"/>
      <c r="AL56" s="56"/>
      <c r="AM56" s="56"/>
      <c r="AN56" s="56"/>
      <c r="AO56" s="291"/>
      <c r="AP56" s="24"/>
      <c r="AQ56" s="23"/>
      <c r="AR56" s="38">
        <v>0.0</v>
      </c>
      <c r="AS56" s="51">
        <v>0.0</v>
      </c>
      <c r="AT56" s="32">
        <f t="shared" si="12"/>
        <v>0</v>
      </c>
      <c r="AU56" s="33" t="s">
        <v>82</v>
      </c>
      <c r="AV56" s="34">
        <v>0.0</v>
      </c>
      <c r="AW56" s="34" t="s">
        <v>82</v>
      </c>
      <c r="AX56" s="34">
        <v>0.0</v>
      </c>
      <c r="AY56" s="34">
        <v>0.0</v>
      </c>
      <c r="AZ56" s="34">
        <v>0.0</v>
      </c>
      <c r="BA56" s="36">
        <v>0.0</v>
      </c>
      <c r="BB56" s="37"/>
      <c r="BC56" s="38">
        <f t="shared" si="14"/>
        <v>595</v>
      </c>
      <c r="BD56" s="39">
        <f t="shared" si="15"/>
        <v>595</v>
      </c>
      <c r="BE56" s="40">
        <f t="shared" si="4"/>
        <v>0</v>
      </c>
      <c r="BF56" s="111"/>
      <c r="BG56" s="23"/>
      <c r="BH56" s="42"/>
      <c r="BI56" s="52"/>
      <c r="BJ56" s="23"/>
      <c r="BK56" s="56"/>
      <c r="BL56" s="56"/>
      <c r="BM56" s="56"/>
      <c r="BN56" s="56"/>
      <c r="BO56" s="56"/>
      <c r="BP56" s="56"/>
      <c r="BQ56" s="56"/>
      <c r="BR56" s="56"/>
      <c r="BS56" s="56"/>
      <c r="BT56" s="56"/>
      <c r="BU56" s="56"/>
      <c r="BV56" s="56"/>
      <c r="BW56" s="56"/>
      <c r="BX56" s="42"/>
      <c r="BY56" s="42"/>
      <c r="BZ56" s="42"/>
      <c r="CA56" s="42"/>
      <c r="CB56" s="42"/>
      <c r="CC56" s="42"/>
      <c r="CD56" s="42"/>
      <c r="CE56" s="42"/>
      <c r="CF56" s="42"/>
      <c r="CG56" s="42"/>
      <c r="CH56" s="42"/>
      <c r="CI56" s="42"/>
      <c r="CJ56" s="42"/>
      <c r="CK56" s="42"/>
      <c r="CL56" s="42"/>
      <c r="CM56" s="42"/>
      <c r="CN56" s="42"/>
      <c r="CO56" s="42"/>
      <c r="CP56" s="42"/>
      <c r="CQ56" s="42"/>
      <c r="CR56" s="42"/>
      <c r="CS56" s="42"/>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row>
  </sheetData>
  <dataValidations>
    <dataValidation type="list" allowBlank="1" showErrorMessage="1" sqref="AC2:AC56">
      <formula1>"Q1 2026,Q2 2026,Q3 2026,Q3 2025,Q4 2025,Q4 2026"</formula1>
    </dataValidation>
    <dataValidation type="list" allowBlank="1" sqref="BG2:BG56">
      <formula1>"Pending Splits,Commission Disbursement,Complete,Complete/Pending eXpFees,See Notes"</formula1>
    </dataValidation>
    <dataValidation type="list" allowBlank="1" sqref="H2:H5 H7 H9:H14 H16:H37 H39:H45 H47:H56">
      <formula1>"Alexandra Haro,Alexis Cassidy,Alicia Good,Blake Cory,Bridget Sisco,Carmen Avalos,Cheree More-Zarty,Cheryl Shaw,Dana Garcia,Edward Kaveney ""Eddie"",George Folia,Mario Muñoz,Michael Wickam,Jeffrey Cottingham,Jenna Melendez,Joe Rodriguez,Kathy Zumaya,Kay Pa"&amp;"tel,Kendra Jo Harlan,Kiona Grantham,Larry Randolph,Melissa Mantz,Mercedes Torres,Monique Lewis,Myrna Peterson,Nate Bunnell,Nicole Shettleroe,Rachele Lacey,Renée Keeling,Richard Luizzi,Robin Tapia,Ron Prunty,Ronda Bryce,Rosalina Williams,Stephanie Carson,D"&amp;"iane Caddy,Jeanette Simms,Cavin Quintanilla,Kathleen Allen,Zayn Almusawi,Isy Ota-Oro,Jamie Carbajal,Jessica Cano"</formula1>
    </dataValidation>
    <dataValidation type="list" allowBlank="1" showErrorMessage="1" sqref="AV2:AV56">
      <formula1>"$500.00,$200.00,$0.00,Subscribed"</formula1>
    </dataValidation>
    <dataValidation type="list" allowBlank="1" sqref="X2:X7 X8:Y8 X9:X56">
      <formula1>"New Build,Vacant Land,Waived,American Home Sheild,First American HW,Fidelity HW,ORHW_Nikki,ORHW,HWA,See Comment,Oredered By Other,Referral"</formula1>
    </dataValidation>
    <dataValidation type="list" allowBlank="1" sqref="L2:L56">
      <formula1>"Nichole,Derek,Kimberly,KellyL,Jasmine,N/A,c/o Alicia Good,ISA,KellyM,c/o Alexandra Haro,c/o Stephanie Casados,c/o Petra Campos,c/o Rosalina Williams"</formula1>
    </dataValidation>
    <dataValidation type="list" allowBlank="1" showErrorMessage="1" sqref="M2:M56">
      <formula1>"Alexis,Kenia,Outside"</formula1>
    </dataValidation>
    <dataValidation type="list" allowBlank="1" showErrorMessage="1" sqref="AW2:AW56">
      <formula1>"$,$0.00,$250.,Subscribed,Showcase Token,N/A"</formula1>
    </dataValidation>
    <dataValidation type="list" allowBlank="1" sqref="G2:G56">
      <formula1>"RVSD,SB,OC,LA,SD,IMP,KERN,VENTURA,FRESNO"</formula1>
    </dataValidation>
    <dataValidation type="list" allowBlank="1" showErrorMessage="1" sqref="A2:A56">
      <formula1>"January,February,March,April,May,June,July,August,September,October,November,December"</formula1>
    </dataValidation>
    <dataValidation type="list" allowBlank="1" sqref="B2:B56">
      <formula1>"Buyer,Seller"</formula1>
    </dataValidation>
    <dataValidation type="list" allowBlank="1" showErrorMessage="1" sqref="AG2:AG56">
      <formula1>"Q1 2026,Q2 2026,Q3 2026,Q4 2026"</formula1>
    </dataValidation>
    <dataValidation type="list" allowBlank="1" sqref="BJ2:BJ56">
      <formula1>"Complete - Pending,Complete - Closed,Complete - Fell Out,See Notes,N/A"</formula1>
    </dataValidation>
    <dataValidation type="list" allowBlank="1" sqref="AQ2:AQ56">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Premier,Personal,Google Business Page,Open House,Coming Soon Homes,Ylopo,Instagram,Opendoor,Company Lead"</formula1>
    </dataValidation>
    <dataValidation type="list" allowBlank="1" sqref="K2:K56">
      <formula1>"Blake,Kiona,Mario,Melissa"</formula1>
    </dataValidation>
    <dataValidation type="list" allowBlank="1" showErrorMessage="1" sqref="AU2:AU56">
      <formula1>"$,$595.00,New Build,OpenDoor,VA Loan,Waived,Referral,Agent Pay"</formula1>
    </dataValidation>
    <dataValidation type="list" allowBlank="1" showErrorMessage="1" sqref="AP2:AP56">
      <formula1>"New Build,Resale,Condo,Manu,Mobile,OpenDoor,OpenDoor_Flat,Vacant Land,See Notes"</formula1>
    </dataValidation>
    <dataValidation type="list" allowBlank="1" sqref="H6 H8 H15 H38 H46">
      <formula1>"Alicia Good,Alexandra Haro,Blake Cory,Bridget Sisco,Charles Provido,Cheryl Shaw,Dana Garcia,Edward Kaveney ""Eddie"",Fernando Maldonado,Mario Muñoz,Michael Wickam,Jane Arellano,Jenna Melendez,Joe Rodriguez,Karely Sanchez,Kathleen Allen,Kathy Zumaya,Kay Pa"&amp;"tel,Kendra Jo Harlan,Kiona Grantham,Larry Randolph,Melissa Mantz,Monique Lewis,Myrna Peterson,Nate Bunnell,Nilska ""Nelly"" Guerrero,Rachele Lacey,Richard Luizzi,Roger Tarango,Robin Tapia,Ron Prunty,Ronda Bryce,Rosalina Williams,Stephanie Carson,Stephanie"&amp;" Casados,Spencer Salter"</formula1>
    </dataValidation>
    <dataValidation type="list" allowBlank="1" showErrorMessage="1" sqref="BB2:BB23 BB25:BB56">
      <formula1>"Buyer,SOI 70,Seller,SOI 80,SOI 90,SOI 60,SOI 85"</formula1>
    </dataValidation>
    <dataValidation type="list" allowBlank="1" sqref="Y2:Y7 Y9:Y56">
      <formula1>"New Build,First American ,myNHD,myNHD_Other,SNAP,SNAP_Other,NHD ,The Disclosure Report NHD,American Home Sheild,Disclosure Source,PDQ,See Notes, Property ID,Waived,Referral,Logic NHD,CRES NHD,Fast NHD,Your One NHD"</formula1>
    </dataValidation>
  </dataValidations>
  <hyperlinks>
    <hyperlink r:id="rId4" ref="AQ11"/>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3" max="3" width="18.88"/>
    <col customWidth="1" min="5" max="5" width="15.75"/>
    <col customWidth="1" min="6" max="6" width="45.75"/>
    <col customWidth="1" min="8" max="8" width="2.0"/>
    <col hidden="1" min="18" max="19" width="12.63"/>
    <col customWidth="1" min="20" max="20" width="2.0"/>
    <col customWidth="1" min="21" max="24" width="35.13"/>
    <col customWidth="1" min="25" max="25" width="2.0"/>
  </cols>
  <sheetData>
    <row r="1" ht="37.5" customHeight="1">
      <c r="A1" s="294" t="s">
        <v>0</v>
      </c>
      <c r="B1" s="295"/>
      <c r="C1" s="296"/>
      <c r="D1" s="297"/>
      <c r="E1" s="297"/>
      <c r="F1" s="297" t="s">
        <v>2561</v>
      </c>
      <c r="G1" s="296"/>
      <c r="H1" s="145"/>
      <c r="I1" s="298" t="s">
        <v>2562</v>
      </c>
      <c r="N1" s="299"/>
      <c r="O1" s="300"/>
      <c r="P1" s="301"/>
      <c r="Q1" s="299"/>
      <c r="R1" s="301"/>
      <c r="S1" s="301"/>
      <c r="T1" s="145"/>
      <c r="U1" s="302" t="s">
        <v>2563</v>
      </c>
      <c r="W1" s="303"/>
      <c r="X1" s="303"/>
      <c r="Y1" s="145"/>
    </row>
    <row r="2">
      <c r="A2" s="304" t="s">
        <v>2564</v>
      </c>
      <c r="B2" s="305" t="s">
        <v>2565</v>
      </c>
      <c r="C2" s="306" t="s">
        <v>2566</v>
      </c>
      <c r="D2" s="306" t="s">
        <v>10</v>
      </c>
      <c r="E2" s="307" t="s">
        <v>2567</v>
      </c>
      <c r="F2" s="307" t="s">
        <v>2568</v>
      </c>
      <c r="G2" s="307" t="s">
        <v>2569</v>
      </c>
      <c r="H2" s="308"/>
      <c r="I2" s="309" t="s">
        <v>2570</v>
      </c>
      <c r="J2" s="310" t="s">
        <v>2571</v>
      </c>
      <c r="K2" s="310" t="s">
        <v>2572</v>
      </c>
      <c r="L2" s="311" t="s">
        <v>2573</v>
      </c>
      <c r="M2" s="312" t="s">
        <v>2574</v>
      </c>
      <c r="N2" s="313" t="s">
        <v>42</v>
      </c>
      <c r="O2" s="309" t="s">
        <v>37</v>
      </c>
      <c r="P2" s="314" t="s">
        <v>2575</v>
      </c>
      <c r="Q2" s="314" t="s">
        <v>2576</v>
      </c>
      <c r="R2" s="315" t="s">
        <v>2577</v>
      </c>
      <c r="S2" s="315" t="s">
        <v>2578</v>
      </c>
      <c r="T2" s="308"/>
      <c r="U2" s="316" t="s">
        <v>2579</v>
      </c>
      <c r="V2" s="317" t="s">
        <v>2580</v>
      </c>
      <c r="W2" s="318" t="s">
        <v>2581</v>
      </c>
      <c r="X2" s="319" t="s">
        <v>2582</v>
      </c>
      <c r="Y2" s="308"/>
    </row>
    <row r="3">
      <c r="A3" s="118" t="s">
        <v>2583</v>
      </c>
      <c r="B3" s="185" t="s">
        <v>2584</v>
      </c>
      <c r="C3" s="23" t="s">
        <v>399</v>
      </c>
      <c r="D3" s="185" t="s">
        <v>103</v>
      </c>
      <c r="E3" s="185" t="s">
        <v>2585</v>
      </c>
      <c r="F3" s="23" t="s">
        <v>2586</v>
      </c>
      <c r="G3" s="185" t="s">
        <v>2587</v>
      </c>
      <c r="H3" s="145"/>
      <c r="I3" s="320">
        <v>499999.0</v>
      </c>
      <c r="J3" s="60">
        <v>45916.0</v>
      </c>
      <c r="K3" s="60">
        <v>46097.0</v>
      </c>
      <c r="L3" s="164"/>
      <c r="M3" s="321">
        <v>0.02</v>
      </c>
      <c r="N3" s="34">
        <v>419.96</v>
      </c>
      <c r="O3" s="185"/>
      <c r="P3" s="322">
        <v>695.0</v>
      </c>
      <c r="Q3" s="323" t="s">
        <v>2588</v>
      </c>
      <c r="R3" s="324"/>
      <c r="S3" s="325"/>
      <c r="T3" s="145"/>
      <c r="U3" s="37" t="s">
        <v>53</v>
      </c>
      <c r="V3" s="37" t="s">
        <v>2589</v>
      </c>
      <c r="W3" s="37" t="s">
        <v>2590</v>
      </c>
      <c r="X3" s="37" t="s">
        <v>2591</v>
      </c>
      <c r="Y3" s="145"/>
    </row>
    <row r="4">
      <c r="A4" s="118" t="s">
        <v>2592</v>
      </c>
      <c r="B4" s="185" t="s">
        <v>2584</v>
      </c>
      <c r="C4" s="23" t="s">
        <v>139</v>
      </c>
      <c r="D4" s="185" t="s">
        <v>103</v>
      </c>
      <c r="E4" s="185" t="s">
        <v>2585</v>
      </c>
      <c r="F4" s="23" t="s">
        <v>2593</v>
      </c>
      <c r="G4" s="185"/>
      <c r="H4" s="145"/>
      <c r="I4" s="320">
        <v>89999.0</v>
      </c>
      <c r="J4" s="60">
        <v>45968.0</v>
      </c>
      <c r="K4" s="60">
        <v>46119.0</v>
      </c>
      <c r="L4" s="164"/>
      <c r="M4" s="321">
        <v>0.025</v>
      </c>
      <c r="N4" s="34" t="s">
        <v>2594</v>
      </c>
      <c r="O4" s="185"/>
      <c r="P4" s="322">
        <v>695.0</v>
      </c>
      <c r="Q4" s="323" t="s">
        <v>2584</v>
      </c>
      <c r="R4" s="324"/>
      <c r="S4" s="325"/>
      <c r="T4" s="145"/>
      <c r="U4" s="37" t="s">
        <v>53</v>
      </c>
      <c r="V4" s="37" t="s">
        <v>2595</v>
      </c>
      <c r="W4" s="37" t="s">
        <v>2596</v>
      </c>
      <c r="X4" s="37" t="s">
        <v>2597</v>
      </c>
      <c r="Y4" s="145"/>
    </row>
    <row r="5">
      <c r="A5" s="118" t="s">
        <v>2583</v>
      </c>
      <c r="B5" s="185" t="s">
        <v>2584</v>
      </c>
      <c r="C5" s="23" t="s">
        <v>376</v>
      </c>
      <c r="D5" s="185" t="s">
        <v>103</v>
      </c>
      <c r="E5" s="185" t="s">
        <v>2585</v>
      </c>
      <c r="F5" s="326" t="s">
        <v>2598</v>
      </c>
      <c r="G5" s="185" t="s">
        <v>2587</v>
      </c>
      <c r="H5" s="145"/>
      <c r="I5" s="320">
        <v>299999.0</v>
      </c>
      <c r="J5" s="60">
        <v>45917.0</v>
      </c>
      <c r="K5" s="60">
        <v>46098.0</v>
      </c>
      <c r="L5" s="164"/>
      <c r="M5" s="327">
        <v>100.0</v>
      </c>
      <c r="N5" s="34">
        <v>779.25</v>
      </c>
      <c r="O5" s="185"/>
      <c r="P5" s="322">
        <v>0.0</v>
      </c>
      <c r="Q5" s="323" t="s">
        <v>2584</v>
      </c>
      <c r="R5" s="324"/>
      <c r="S5" s="325"/>
      <c r="T5" s="145"/>
      <c r="U5" s="37" t="s">
        <v>53</v>
      </c>
      <c r="V5" s="37" t="s">
        <v>2599</v>
      </c>
      <c r="W5" s="57"/>
      <c r="X5" s="37" t="s">
        <v>384</v>
      </c>
      <c r="Y5" s="145"/>
    </row>
    <row r="6" ht="15.75" customHeight="1">
      <c r="A6" s="118" t="s">
        <v>2592</v>
      </c>
      <c r="B6" s="118" t="s">
        <v>2600</v>
      </c>
      <c r="C6" s="118" t="s">
        <v>139</v>
      </c>
      <c r="D6" s="118" t="s">
        <v>103</v>
      </c>
      <c r="E6" s="118" t="s">
        <v>2585</v>
      </c>
      <c r="F6" s="118" t="s">
        <v>2601</v>
      </c>
      <c r="G6" s="323"/>
      <c r="H6" s="145"/>
      <c r="I6" s="328">
        <v>549999.0</v>
      </c>
      <c r="J6" s="329">
        <v>46071.0</v>
      </c>
      <c r="K6" s="329">
        <v>46252.0</v>
      </c>
      <c r="L6" s="165">
        <v>46069.0</v>
      </c>
      <c r="M6" s="31">
        <v>0.025</v>
      </c>
      <c r="N6" s="330" t="s">
        <v>2602</v>
      </c>
      <c r="O6" s="204"/>
      <c r="P6" s="322">
        <v>1345.0</v>
      </c>
      <c r="Q6" s="118" t="s">
        <v>2588</v>
      </c>
      <c r="R6" s="324"/>
      <c r="S6" s="325"/>
      <c r="T6" s="145"/>
      <c r="U6" s="118" t="s">
        <v>53</v>
      </c>
      <c r="V6" s="118" t="s">
        <v>2603</v>
      </c>
      <c r="W6" s="118" t="s">
        <v>2604</v>
      </c>
      <c r="X6" s="118" t="s">
        <v>2605</v>
      </c>
      <c r="Y6" s="145"/>
    </row>
    <row r="7" ht="15.75" customHeight="1">
      <c r="A7" s="118" t="s">
        <v>2592</v>
      </c>
      <c r="B7" s="118" t="s">
        <v>2584</v>
      </c>
      <c r="C7" s="118" t="s">
        <v>812</v>
      </c>
      <c r="D7" s="118" t="s">
        <v>103</v>
      </c>
      <c r="E7" s="118" t="s">
        <v>2585</v>
      </c>
      <c r="F7" s="118" t="s">
        <v>2606</v>
      </c>
      <c r="G7" s="323"/>
      <c r="H7" s="145"/>
      <c r="I7" s="328">
        <v>549999.0</v>
      </c>
      <c r="J7" s="329">
        <v>46072.0</v>
      </c>
      <c r="K7" s="329">
        <v>46253.0</v>
      </c>
      <c r="L7" s="165">
        <v>46070.0</v>
      </c>
      <c r="M7" s="31">
        <v>0.025</v>
      </c>
      <c r="N7" s="40"/>
      <c r="O7" s="204"/>
      <c r="P7" s="322">
        <v>0.0</v>
      </c>
      <c r="Q7" s="118" t="s">
        <v>2588</v>
      </c>
      <c r="R7" s="324"/>
      <c r="S7" s="325"/>
      <c r="T7" s="145"/>
      <c r="U7" s="118" t="s">
        <v>53</v>
      </c>
      <c r="V7" s="118" t="s">
        <v>2607</v>
      </c>
      <c r="W7" s="118" t="s">
        <v>2608</v>
      </c>
      <c r="X7" s="118" t="s">
        <v>2609</v>
      </c>
      <c r="Y7" s="145"/>
    </row>
    <row r="8" ht="15.75" customHeight="1">
      <c r="A8" s="118" t="s">
        <v>2592</v>
      </c>
      <c r="B8" s="118" t="s">
        <v>2610</v>
      </c>
      <c r="C8" s="23" t="s">
        <v>139</v>
      </c>
      <c r="D8" s="118" t="s">
        <v>103</v>
      </c>
      <c r="E8" s="118" t="s">
        <v>2585</v>
      </c>
      <c r="F8" s="118" t="s">
        <v>2611</v>
      </c>
      <c r="G8" s="118" t="s">
        <v>2612</v>
      </c>
      <c r="H8" s="145"/>
      <c r="I8" s="328">
        <v>1199999.0</v>
      </c>
      <c r="J8" s="329">
        <v>46106.0</v>
      </c>
      <c r="K8" s="329">
        <v>46290.0</v>
      </c>
      <c r="L8" s="165">
        <v>46098.0</v>
      </c>
      <c r="M8" s="31">
        <v>0.02</v>
      </c>
      <c r="N8" s="40"/>
      <c r="O8" s="204"/>
      <c r="P8" s="322">
        <v>0.0</v>
      </c>
      <c r="Q8" s="118" t="s">
        <v>2588</v>
      </c>
      <c r="R8" s="324"/>
      <c r="S8" s="325"/>
      <c r="T8" s="145"/>
      <c r="U8" s="118" t="s">
        <v>53</v>
      </c>
      <c r="V8" s="118" t="s">
        <v>2613</v>
      </c>
      <c r="W8" s="118" t="s">
        <v>2614</v>
      </c>
      <c r="X8" s="118" t="s">
        <v>2615</v>
      </c>
      <c r="Y8" s="145"/>
    </row>
    <row r="9">
      <c r="A9" s="118" t="s">
        <v>2584</v>
      </c>
      <c r="B9" s="118" t="s">
        <v>2610</v>
      </c>
      <c r="C9" s="23" t="s">
        <v>362</v>
      </c>
      <c r="D9" s="118" t="s">
        <v>103</v>
      </c>
      <c r="E9" s="118" t="s">
        <v>2585</v>
      </c>
      <c r="F9" s="118" t="s">
        <v>2616</v>
      </c>
      <c r="G9" s="323"/>
      <c r="H9" s="145"/>
      <c r="I9" s="328">
        <v>2499999.0</v>
      </c>
      <c r="J9" s="329">
        <v>46120.0</v>
      </c>
      <c r="K9" s="329">
        <v>46303.0</v>
      </c>
      <c r="L9" s="165">
        <v>46115.0</v>
      </c>
      <c r="M9" s="31">
        <v>0.025</v>
      </c>
      <c r="N9" s="40"/>
      <c r="O9" s="204"/>
      <c r="P9" s="322">
        <v>0.0</v>
      </c>
      <c r="Q9" s="323"/>
      <c r="R9" s="324"/>
      <c r="S9" s="325"/>
      <c r="T9" s="145"/>
      <c r="U9" s="118" t="s">
        <v>53</v>
      </c>
      <c r="V9" s="118" t="s">
        <v>2617</v>
      </c>
      <c r="W9" s="118" t="s">
        <v>2618</v>
      </c>
      <c r="X9" s="118" t="s">
        <v>2619</v>
      </c>
      <c r="Y9" s="145"/>
    </row>
    <row r="10">
      <c r="A10" s="118" t="s">
        <v>2584</v>
      </c>
      <c r="B10" s="118" t="s">
        <v>2610</v>
      </c>
      <c r="C10" s="23" t="s">
        <v>362</v>
      </c>
      <c r="D10" s="118" t="s">
        <v>103</v>
      </c>
      <c r="E10" s="118" t="s">
        <v>2585</v>
      </c>
      <c r="F10" s="118" t="s">
        <v>2620</v>
      </c>
      <c r="G10" s="323"/>
      <c r="H10" s="145"/>
      <c r="I10" s="328">
        <v>599999.0</v>
      </c>
      <c r="J10" s="329">
        <v>46120.0</v>
      </c>
      <c r="K10" s="329">
        <v>46303.0</v>
      </c>
      <c r="L10" s="165">
        <v>46114.0</v>
      </c>
      <c r="M10" s="31">
        <v>0.025</v>
      </c>
      <c r="N10" s="40"/>
      <c r="O10" s="204"/>
      <c r="P10" s="322">
        <v>0.0</v>
      </c>
      <c r="Q10" s="323"/>
      <c r="R10" s="324"/>
      <c r="S10" s="325"/>
      <c r="T10" s="145"/>
      <c r="U10" s="118" t="s">
        <v>53</v>
      </c>
      <c r="V10" s="118" t="s">
        <v>530</v>
      </c>
      <c r="W10" s="118" t="s">
        <v>531</v>
      </c>
      <c r="X10" s="118" t="s">
        <v>532</v>
      </c>
      <c r="Y10" s="145"/>
    </row>
    <row r="11">
      <c r="A11" s="118" t="s">
        <v>2583</v>
      </c>
      <c r="B11" s="185" t="s">
        <v>2584</v>
      </c>
      <c r="C11" s="23" t="s">
        <v>102</v>
      </c>
      <c r="D11" s="185" t="s">
        <v>103</v>
      </c>
      <c r="E11" s="185" t="s">
        <v>2585</v>
      </c>
      <c r="F11" s="326" t="s">
        <v>2621</v>
      </c>
      <c r="G11" s="185"/>
      <c r="H11" s="145"/>
      <c r="I11" s="320">
        <v>649999.0</v>
      </c>
      <c r="J11" s="60">
        <v>45923.0</v>
      </c>
      <c r="K11" s="60">
        <v>46287.0</v>
      </c>
      <c r="L11" s="164"/>
      <c r="M11" s="321">
        <v>0.02</v>
      </c>
      <c r="N11" s="331"/>
      <c r="O11" s="185"/>
      <c r="P11" s="322">
        <v>0.0</v>
      </c>
      <c r="Q11" s="323" t="s">
        <v>2588</v>
      </c>
      <c r="R11" s="324"/>
      <c r="S11" s="325"/>
      <c r="T11" s="145"/>
      <c r="U11" s="37" t="s">
        <v>53</v>
      </c>
      <c r="V11" s="37" t="s">
        <v>460</v>
      </c>
      <c r="W11" s="37" t="s">
        <v>461</v>
      </c>
      <c r="X11" s="37" t="s">
        <v>462</v>
      </c>
      <c r="Y11" s="145"/>
    </row>
    <row r="12" ht="15.75" customHeight="1">
      <c r="A12" s="118" t="s">
        <v>2622</v>
      </c>
      <c r="B12" s="118" t="s">
        <v>2600</v>
      </c>
      <c r="C12" s="118" t="s">
        <v>102</v>
      </c>
      <c r="D12" s="118" t="s">
        <v>103</v>
      </c>
      <c r="E12" s="118" t="s">
        <v>2585</v>
      </c>
      <c r="F12" s="118" t="s">
        <v>2623</v>
      </c>
      <c r="G12" s="323"/>
      <c r="H12" s="145"/>
      <c r="I12" s="328">
        <v>449999.0</v>
      </c>
      <c r="J12" s="329">
        <v>46043.0</v>
      </c>
      <c r="K12" s="329">
        <v>46224.0</v>
      </c>
      <c r="L12" s="165">
        <v>46039.0</v>
      </c>
      <c r="M12" s="31">
        <v>0.03</v>
      </c>
      <c r="N12" s="330" t="s">
        <v>2594</v>
      </c>
      <c r="O12" s="204"/>
      <c r="P12" s="322">
        <v>695.0</v>
      </c>
      <c r="Q12" s="118" t="s">
        <v>2588</v>
      </c>
      <c r="R12" s="324"/>
      <c r="S12" s="325"/>
      <c r="T12" s="145"/>
      <c r="U12" s="118" t="s">
        <v>53</v>
      </c>
      <c r="V12" s="118" t="s">
        <v>2419</v>
      </c>
      <c r="W12" s="118" t="s">
        <v>2624</v>
      </c>
      <c r="X12" s="118" t="s">
        <v>2625</v>
      </c>
      <c r="Y12" s="145"/>
    </row>
    <row r="13">
      <c r="A13" s="118" t="s">
        <v>2592</v>
      </c>
      <c r="B13" s="118" t="s">
        <v>2610</v>
      </c>
      <c r="C13" s="23" t="s">
        <v>139</v>
      </c>
      <c r="D13" s="118" t="s">
        <v>103</v>
      </c>
      <c r="E13" s="118" t="s">
        <v>2585</v>
      </c>
      <c r="F13" s="118" t="s">
        <v>2626</v>
      </c>
      <c r="G13" s="323"/>
      <c r="H13" s="145"/>
      <c r="I13" s="328">
        <v>699999.0</v>
      </c>
      <c r="J13" s="329">
        <v>46116.0</v>
      </c>
      <c r="K13" s="329">
        <v>46299.0</v>
      </c>
      <c r="L13" s="165">
        <v>46114.0</v>
      </c>
      <c r="M13" s="31">
        <v>0.02</v>
      </c>
      <c r="N13" s="40"/>
      <c r="O13" s="204"/>
      <c r="P13" s="322">
        <v>1395.0</v>
      </c>
      <c r="Q13" s="118" t="s">
        <v>2588</v>
      </c>
      <c r="R13" s="324"/>
      <c r="S13" s="325"/>
      <c r="T13" s="145"/>
      <c r="U13" s="118" t="s">
        <v>53</v>
      </c>
      <c r="V13" s="118" t="s">
        <v>2627</v>
      </c>
      <c r="W13" s="118" t="s">
        <v>2628</v>
      </c>
      <c r="X13" s="118" t="s">
        <v>2629</v>
      </c>
      <c r="Y13" s="145"/>
    </row>
    <row r="14">
      <c r="A14" s="118" t="s">
        <v>2583</v>
      </c>
      <c r="B14" s="118" t="s">
        <v>2610</v>
      </c>
      <c r="C14" s="23" t="s">
        <v>255</v>
      </c>
      <c r="D14" s="118" t="s">
        <v>103</v>
      </c>
      <c r="E14" s="118" t="s">
        <v>2585</v>
      </c>
      <c r="F14" s="118" t="s">
        <v>2630</v>
      </c>
      <c r="G14" s="323"/>
      <c r="H14" s="145"/>
      <c r="I14" s="328">
        <v>549999.0</v>
      </c>
      <c r="J14" s="329">
        <v>46125.0</v>
      </c>
      <c r="K14" s="329">
        <v>46308.0</v>
      </c>
      <c r="L14" s="159" t="s">
        <v>53</v>
      </c>
      <c r="M14" s="31">
        <v>0.03</v>
      </c>
      <c r="N14" s="330" t="s">
        <v>2602</v>
      </c>
      <c r="O14" s="204"/>
      <c r="P14" s="322">
        <v>0.0</v>
      </c>
      <c r="Q14" s="118" t="s">
        <v>2588</v>
      </c>
      <c r="R14" s="324"/>
      <c r="S14" s="325"/>
      <c r="T14" s="145"/>
      <c r="U14" s="118" t="s">
        <v>2631</v>
      </c>
      <c r="V14" s="118" t="s">
        <v>2632</v>
      </c>
      <c r="W14" s="118"/>
      <c r="X14" s="118" t="s">
        <v>2633</v>
      </c>
      <c r="Y14" s="145"/>
    </row>
    <row r="15">
      <c r="A15" s="118" t="s">
        <v>2622</v>
      </c>
      <c r="B15" s="118" t="s">
        <v>2600</v>
      </c>
      <c r="C15" s="23" t="s">
        <v>399</v>
      </c>
      <c r="D15" s="118" t="s">
        <v>103</v>
      </c>
      <c r="E15" s="118" t="s">
        <v>2585</v>
      </c>
      <c r="F15" s="118" t="s">
        <v>2634</v>
      </c>
      <c r="G15" s="118" t="s">
        <v>2612</v>
      </c>
      <c r="H15" s="145"/>
      <c r="I15" s="328">
        <v>399999.0</v>
      </c>
      <c r="J15" s="329">
        <v>46123.0</v>
      </c>
      <c r="K15" s="329">
        <v>46306.0</v>
      </c>
      <c r="L15" s="165">
        <v>46121.0</v>
      </c>
      <c r="M15" s="31">
        <v>0.03</v>
      </c>
      <c r="N15" s="330" t="s">
        <v>2602</v>
      </c>
      <c r="O15" s="204"/>
      <c r="P15" s="322">
        <v>1345.0</v>
      </c>
      <c r="Q15" s="118" t="s">
        <v>2588</v>
      </c>
      <c r="R15" s="324"/>
      <c r="S15" s="325"/>
      <c r="T15" s="145"/>
      <c r="U15" s="323"/>
      <c r="V15" s="118" t="s">
        <v>2635</v>
      </c>
      <c r="W15" s="118" t="s">
        <v>2636</v>
      </c>
      <c r="X15" s="118" t="s">
        <v>2637</v>
      </c>
      <c r="Y15" s="145"/>
    </row>
    <row r="16">
      <c r="A16" s="118" t="s">
        <v>2583</v>
      </c>
      <c r="B16" s="118" t="s">
        <v>2610</v>
      </c>
      <c r="C16" s="23" t="s">
        <v>255</v>
      </c>
      <c r="D16" s="118" t="s">
        <v>103</v>
      </c>
      <c r="E16" s="118" t="s">
        <v>2585</v>
      </c>
      <c r="F16" s="118" t="s">
        <v>2638</v>
      </c>
      <c r="G16" s="323"/>
      <c r="H16" s="145"/>
      <c r="I16" s="328">
        <v>1299999.0</v>
      </c>
      <c r="J16" s="329">
        <v>46122.0</v>
      </c>
      <c r="K16" s="329">
        <v>46305.0</v>
      </c>
      <c r="L16" s="159" t="s">
        <v>53</v>
      </c>
      <c r="M16" s="31">
        <v>0.04</v>
      </c>
      <c r="N16" s="40"/>
      <c r="O16" s="204"/>
      <c r="P16" s="322">
        <v>695.0</v>
      </c>
      <c r="Q16" s="118" t="s">
        <v>2588</v>
      </c>
      <c r="R16" s="324"/>
      <c r="S16" s="325"/>
      <c r="T16" s="145"/>
      <c r="U16" s="118" t="s">
        <v>2639</v>
      </c>
      <c r="V16" s="118" t="s">
        <v>2640</v>
      </c>
      <c r="W16" s="118" t="s">
        <v>2641</v>
      </c>
      <c r="X16" s="118" t="s">
        <v>2642</v>
      </c>
      <c r="Y16" s="145"/>
    </row>
    <row r="17">
      <c r="A17" s="118" t="s">
        <v>2592</v>
      </c>
      <c r="B17" s="118" t="s">
        <v>2600</v>
      </c>
      <c r="C17" s="23" t="s">
        <v>300</v>
      </c>
      <c r="D17" s="118" t="s">
        <v>103</v>
      </c>
      <c r="E17" s="118" t="s">
        <v>2585</v>
      </c>
      <c r="F17" s="118" t="s">
        <v>2643</v>
      </c>
      <c r="G17" s="118" t="s">
        <v>2587</v>
      </c>
      <c r="H17" s="145"/>
      <c r="I17" s="328">
        <v>599999.0</v>
      </c>
      <c r="J17" s="329">
        <v>46161.0</v>
      </c>
      <c r="K17" s="329">
        <v>46345.0</v>
      </c>
      <c r="L17" s="165">
        <v>46160.0</v>
      </c>
      <c r="M17" s="31">
        <v>0.03</v>
      </c>
      <c r="N17" s="40"/>
      <c r="O17" s="204"/>
      <c r="P17" s="322">
        <v>1345.0</v>
      </c>
      <c r="Q17" s="118" t="s">
        <v>2588</v>
      </c>
      <c r="R17" s="324"/>
      <c r="S17" s="325"/>
      <c r="T17" s="145"/>
      <c r="U17" s="118" t="s">
        <v>53</v>
      </c>
      <c r="V17" s="118" t="s">
        <v>2644</v>
      </c>
      <c r="W17" s="118" t="s">
        <v>2645</v>
      </c>
      <c r="X17" s="118" t="s">
        <v>2646</v>
      </c>
      <c r="Y17" s="145"/>
    </row>
    <row r="18">
      <c r="A18" s="118" t="s">
        <v>2583</v>
      </c>
      <c r="B18" s="118" t="s">
        <v>2610</v>
      </c>
      <c r="C18" s="23" t="s">
        <v>376</v>
      </c>
      <c r="D18" s="118" t="s">
        <v>103</v>
      </c>
      <c r="E18" s="118" t="s">
        <v>2585</v>
      </c>
      <c r="F18" s="118" t="s">
        <v>2647</v>
      </c>
      <c r="G18" s="118" t="s">
        <v>2587</v>
      </c>
      <c r="H18" s="145"/>
      <c r="I18" s="328">
        <v>439999.0</v>
      </c>
      <c r="J18" s="329">
        <v>46160.0</v>
      </c>
      <c r="K18" s="329">
        <v>46344.0</v>
      </c>
      <c r="L18" s="159" t="s">
        <v>53</v>
      </c>
      <c r="M18" s="31">
        <v>0.03</v>
      </c>
      <c r="N18" s="40"/>
      <c r="O18" s="204"/>
      <c r="P18" s="322">
        <v>1095.0</v>
      </c>
      <c r="Q18" s="118" t="s">
        <v>2588</v>
      </c>
      <c r="R18" s="324"/>
      <c r="S18" s="325"/>
      <c r="T18" s="145"/>
      <c r="U18" s="118" t="s">
        <v>53</v>
      </c>
      <c r="V18" s="118" t="s">
        <v>2648</v>
      </c>
      <c r="W18" s="118" t="s">
        <v>2649</v>
      </c>
      <c r="X18" s="118" t="s">
        <v>2650</v>
      </c>
      <c r="Y18" s="145"/>
    </row>
    <row r="19">
      <c r="A19" s="118" t="s">
        <v>2622</v>
      </c>
      <c r="B19" s="118" t="s">
        <v>2600</v>
      </c>
      <c r="C19" s="23" t="s">
        <v>399</v>
      </c>
      <c r="D19" s="118" t="s">
        <v>103</v>
      </c>
      <c r="E19" s="118" t="s">
        <v>2585</v>
      </c>
      <c r="F19" s="118" t="s">
        <v>2651</v>
      </c>
      <c r="G19" s="118" t="s">
        <v>2587</v>
      </c>
      <c r="H19" s="145"/>
      <c r="I19" s="328">
        <v>999999.0</v>
      </c>
      <c r="J19" s="329">
        <v>46156.0</v>
      </c>
      <c r="K19" s="329">
        <v>46248.0</v>
      </c>
      <c r="L19" s="165">
        <v>46156.0</v>
      </c>
      <c r="M19" s="31">
        <v>0.03</v>
      </c>
      <c r="N19" s="40"/>
      <c r="O19" s="204"/>
      <c r="P19" s="322">
        <v>1345.0</v>
      </c>
      <c r="Q19" s="118" t="s">
        <v>2588</v>
      </c>
      <c r="R19" s="324"/>
      <c r="S19" s="325"/>
      <c r="T19" s="145"/>
      <c r="U19" s="118" t="s">
        <v>2652</v>
      </c>
      <c r="V19" s="118" t="s">
        <v>2653</v>
      </c>
      <c r="W19" s="118" t="s">
        <v>2654</v>
      </c>
      <c r="X19" s="118" t="s">
        <v>2655</v>
      </c>
      <c r="Y19" s="145"/>
    </row>
    <row r="20">
      <c r="A20" s="118" t="s">
        <v>2583</v>
      </c>
      <c r="B20" s="185" t="s">
        <v>2584</v>
      </c>
      <c r="C20" s="23" t="s">
        <v>214</v>
      </c>
      <c r="D20" s="185" t="s">
        <v>54</v>
      </c>
      <c r="E20" s="185" t="s">
        <v>2585</v>
      </c>
      <c r="F20" s="326" t="s">
        <v>2656</v>
      </c>
      <c r="G20" s="185" t="s">
        <v>2587</v>
      </c>
      <c r="H20" s="145"/>
      <c r="I20" s="320">
        <v>30000.0</v>
      </c>
      <c r="J20" s="60">
        <v>45874.0</v>
      </c>
      <c r="K20" s="60">
        <v>46056.0</v>
      </c>
      <c r="L20" s="164"/>
      <c r="M20" s="332">
        <v>0.05</v>
      </c>
      <c r="N20" s="34">
        <v>367.46</v>
      </c>
      <c r="O20" s="185"/>
      <c r="P20" s="322">
        <v>695.0</v>
      </c>
      <c r="Q20" s="323" t="s">
        <v>2657</v>
      </c>
      <c r="R20" s="324"/>
      <c r="S20" s="325"/>
      <c r="T20" s="145"/>
      <c r="U20" s="37" t="s">
        <v>53</v>
      </c>
      <c r="V20" s="37" t="s">
        <v>2658</v>
      </c>
      <c r="W20" s="37" t="s">
        <v>2659</v>
      </c>
      <c r="X20" s="37" t="s">
        <v>2660</v>
      </c>
      <c r="Y20" s="145"/>
    </row>
    <row r="21">
      <c r="A21" s="323"/>
      <c r="B21" s="323"/>
      <c r="C21" s="118" t="s">
        <v>2661</v>
      </c>
      <c r="D21" s="118" t="s">
        <v>54</v>
      </c>
      <c r="E21" s="118" t="s">
        <v>2585</v>
      </c>
      <c r="F21" s="118" t="s">
        <v>2662</v>
      </c>
      <c r="G21" s="118" t="s">
        <v>2587</v>
      </c>
      <c r="H21" s="145"/>
      <c r="I21" s="328">
        <v>699999.0</v>
      </c>
      <c r="J21" s="329">
        <v>46042.0</v>
      </c>
      <c r="K21" s="329">
        <v>46223.0</v>
      </c>
      <c r="L21" s="165">
        <v>46224.0</v>
      </c>
      <c r="M21" s="31">
        <v>0.03</v>
      </c>
      <c r="N21" s="40"/>
      <c r="O21" s="204"/>
      <c r="P21" s="322">
        <v>1350.0</v>
      </c>
      <c r="Q21" s="118" t="s">
        <v>2588</v>
      </c>
      <c r="R21" s="324"/>
      <c r="S21" s="325"/>
      <c r="T21" s="145"/>
      <c r="U21" s="37" t="s">
        <v>53</v>
      </c>
      <c r="V21" s="323"/>
      <c r="W21" s="323"/>
      <c r="X21" s="323"/>
      <c r="Y21" s="145"/>
    </row>
    <row r="22">
      <c r="A22" s="118" t="s">
        <v>2584</v>
      </c>
      <c r="B22" s="118" t="s">
        <v>2584</v>
      </c>
      <c r="C22" s="118" t="s">
        <v>2663</v>
      </c>
      <c r="D22" s="118" t="s">
        <v>54</v>
      </c>
      <c r="E22" s="118" t="s">
        <v>2585</v>
      </c>
      <c r="F22" s="118" t="s">
        <v>2664</v>
      </c>
      <c r="G22" s="118" t="s">
        <v>2612</v>
      </c>
      <c r="H22" s="145"/>
      <c r="I22" s="328">
        <v>1200000.0</v>
      </c>
      <c r="J22" s="329">
        <v>46083.0</v>
      </c>
      <c r="K22" s="329">
        <v>46175.0</v>
      </c>
      <c r="L22" s="159" t="s">
        <v>2665</v>
      </c>
      <c r="M22" s="31">
        <v>0.015</v>
      </c>
      <c r="N22" s="40"/>
      <c r="O22" s="204"/>
      <c r="P22" s="322">
        <v>0.0</v>
      </c>
      <c r="Q22" s="118" t="s">
        <v>2588</v>
      </c>
      <c r="R22" s="324"/>
      <c r="S22" s="325"/>
      <c r="T22" s="145"/>
      <c r="U22" s="323"/>
      <c r="V22" s="323"/>
      <c r="W22" s="323"/>
      <c r="X22" s="323"/>
      <c r="Y22" s="145"/>
    </row>
    <row r="23">
      <c r="A23" s="118" t="s">
        <v>2592</v>
      </c>
      <c r="B23" s="118" t="s">
        <v>2584</v>
      </c>
      <c r="C23" s="118" t="s">
        <v>1809</v>
      </c>
      <c r="D23" s="118" t="s">
        <v>54</v>
      </c>
      <c r="E23" s="118" t="s">
        <v>2585</v>
      </c>
      <c r="F23" s="118" t="s">
        <v>2666</v>
      </c>
      <c r="G23" s="323"/>
      <c r="H23" s="145"/>
      <c r="I23" s="328">
        <v>499000.0</v>
      </c>
      <c r="J23" s="329">
        <v>46092.0</v>
      </c>
      <c r="K23" s="329">
        <v>46276.0</v>
      </c>
      <c r="L23" s="165">
        <v>46092.0</v>
      </c>
      <c r="M23" s="31">
        <v>0.03</v>
      </c>
      <c r="N23" s="40"/>
      <c r="O23" s="204"/>
      <c r="P23" s="322">
        <v>1425.0</v>
      </c>
      <c r="Q23" s="118" t="s">
        <v>2588</v>
      </c>
      <c r="R23" s="324"/>
      <c r="S23" s="325"/>
      <c r="T23" s="145"/>
      <c r="U23" s="323"/>
      <c r="V23" s="118" t="s">
        <v>2667</v>
      </c>
      <c r="W23" s="118" t="s">
        <v>2668</v>
      </c>
      <c r="X23" s="118" t="s">
        <v>2669</v>
      </c>
      <c r="Y23" s="145"/>
    </row>
    <row r="24">
      <c r="A24" s="118" t="s">
        <v>2592</v>
      </c>
      <c r="B24" s="118" t="s">
        <v>2584</v>
      </c>
      <c r="C24" s="118" t="s">
        <v>1337</v>
      </c>
      <c r="D24" s="118" t="s">
        <v>54</v>
      </c>
      <c r="E24" s="118" t="s">
        <v>2585</v>
      </c>
      <c r="F24" s="118" t="s">
        <v>2670</v>
      </c>
      <c r="G24" s="118" t="s">
        <v>2671</v>
      </c>
      <c r="H24" s="145"/>
      <c r="I24" s="328">
        <v>199999.0</v>
      </c>
      <c r="J24" s="329">
        <v>46097.0</v>
      </c>
      <c r="K24" s="329">
        <v>46281.0</v>
      </c>
      <c r="L24" s="165">
        <v>46097.0</v>
      </c>
      <c r="M24" s="31">
        <v>0.04</v>
      </c>
      <c r="N24" s="40"/>
      <c r="O24" s="204"/>
      <c r="P24" s="322">
        <v>1095.0</v>
      </c>
      <c r="Q24" s="118" t="s">
        <v>2588</v>
      </c>
      <c r="R24" s="324"/>
      <c r="S24" s="325"/>
      <c r="T24" s="145"/>
      <c r="U24" s="323"/>
      <c r="V24" s="118" t="s">
        <v>2672</v>
      </c>
      <c r="W24" s="118" t="s">
        <v>2673</v>
      </c>
      <c r="X24" s="118" t="s">
        <v>2674</v>
      </c>
      <c r="Y24" s="145"/>
    </row>
    <row r="25">
      <c r="A25" s="118" t="s">
        <v>2592</v>
      </c>
      <c r="B25" s="118" t="s">
        <v>2600</v>
      </c>
      <c r="C25" s="118" t="s">
        <v>981</v>
      </c>
      <c r="D25" s="118" t="s">
        <v>54</v>
      </c>
      <c r="E25" s="118" t="s">
        <v>2585</v>
      </c>
      <c r="F25" s="118" t="s">
        <v>2675</v>
      </c>
      <c r="G25" s="323"/>
      <c r="H25" s="145"/>
      <c r="I25" s="328">
        <v>715000.0</v>
      </c>
      <c r="J25" s="329">
        <v>46098.0</v>
      </c>
      <c r="K25" s="329">
        <v>46282.0</v>
      </c>
      <c r="L25" s="165">
        <v>46098.0</v>
      </c>
      <c r="M25" s="31">
        <v>0.03</v>
      </c>
      <c r="N25" s="40"/>
      <c r="O25" s="204"/>
      <c r="P25" s="322">
        <v>1395.0</v>
      </c>
      <c r="Q25" s="118" t="s">
        <v>2584</v>
      </c>
      <c r="R25" s="324"/>
      <c r="S25" s="325"/>
      <c r="T25" s="145"/>
      <c r="U25" s="323"/>
      <c r="V25" s="118" t="s">
        <v>2676</v>
      </c>
      <c r="W25" s="118" t="s">
        <v>2677</v>
      </c>
      <c r="X25" s="118" t="s">
        <v>2678</v>
      </c>
      <c r="Y25" s="145"/>
    </row>
    <row r="26">
      <c r="A26" s="118" t="s">
        <v>2592</v>
      </c>
      <c r="B26" s="185" t="s">
        <v>2584</v>
      </c>
      <c r="C26" s="23" t="s">
        <v>981</v>
      </c>
      <c r="D26" s="185" t="s">
        <v>54</v>
      </c>
      <c r="E26" s="185" t="s">
        <v>2585</v>
      </c>
      <c r="F26" s="23" t="s">
        <v>2679</v>
      </c>
      <c r="G26" s="185" t="s">
        <v>2680</v>
      </c>
      <c r="H26" s="145"/>
      <c r="I26" s="320">
        <v>399999.0</v>
      </c>
      <c r="J26" s="241"/>
      <c r="K26" s="60">
        <v>46311.0</v>
      </c>
      <c r="L26" s="164"/>
      <c r="M26" s="321"/>
      <c r="N26" s="331"/>
      <c r="O26" s="185"/>
      <c r="P26" s="322">
        <v>0.0</v>
      </c>
      <c r="Q26" s="323" t="s">
        <v>2584</v>
      </c>
      <c r="R26" s="324"/>
      <c r="S26" s="325"/>
      <c r="T26" s="145"/>
      <c r="U26" s="37" t="s">
        <v>53</v>
      </c>
      <c r="V26" s="37" t="s">
        <v>2681</v>
      </c>
      <c r="W26" s="37" t="s">
        <v>2682</v>
      </c>
      <c r="X26" s="37" t="s">
        <v>2683</v>
      </c>
      <c r="Y26" s="145"/>
    </row>
    <row r="27">
      <c r="A27" s="118" t="s">
        <v>2584</v>
      </c>
      <c r="B27" s="118" t="s">
        <v>2584</v>
      </c>
      <c r="C27" s="23" t="s">
        <v>542</v>
      </c>
      <c r="D27" s="118" t="s">
        <v>54</v>
      </c>
      <c r="E27" s="118" t="s">
        <v>2585</v>
      </c>
      <c r="F27" s="118" t="s">
        <v>2684</v>
      </c>
      <c r="G27" s="118" t="s">
        <v>2671</v>
      </c>
      <c r="H27" s="145"/>
      <c r="I27" s="328">
        <v>248999.0</v>
      </c>
      <c r="J27" s="329">
        <v>46128.0</v>
      </c>
      <c r="K27" s="329">
        <v>46311.0</v>
      </c>
      <c r="L27" s="165">
        <v>46127.0</v>
      </c>
      <c r="M27" s="31">
        <v>0.05</v>
      </c>
      <c r="N27" s="330" t="s">
        <v>2685</v>
      </c>
      <c r="O27" s="227" t="s">
        <v>2686</v>
      </c>
      <c r="P27" s="322">
        <v>1500.0</v>
      </c>
      <c r="Q27" s="118" t="s">
        <v>2588</v>
      </c>
      <c r="R27" s="324"/>
      <c r="S27" s="325"/>
      <c r="T27" s="145"/>
      <c r="U27" s="323"/>
      <c r="V27" s="118" t="s">
        <v>2687</v>
      </c>
      <c r="W27" s="118" t="s">
        <v>2108</v>
      </c>
      <c r="X27" s="118" t="s">
        <v>2688</v>
      </c>
      <c r="Y27" s="145"/>
    </row>
    <row r="28">
      <c r="A28" s="118" t="s">
        <v>2592</v>
      </c>
      <c r="B28" s="118" t="s">
        <v>2584</v>
      </c>
      <c r="C28" s="118" t="s">
        <v>981</v>
      </c>
      <c r="D28" s="118" t="s">
        <v>54</v>
      </c>
      <c r="E28" s="118" t="s">
        <v>2585</v>
      </c>
      <c r="F28" s="118" t="s">
        <v>2689</v>
      </c>
      <c r="G28" s="323"/>
      <c r="H28" s="145"/>
      <c r="I28" s="328">
        <v>318999.0</v>
      </c>
      <c r="J28" s="329">
        <v>46028.0</v>
      </c>
      <c r="K28" s="329">
        <v>46179.0</v>
      </c>
      <c r="L28" s="165">
        <v>46028.0</v>
      </c>
      <c r="M28" s="31">
        <v>0.03</v>
      </c>
      <c r="N28" s="40"/>
      <c r="O28" s="204"/>
      <c r="P28" s="322">
        <v>1395.0</v>
      </c>
      <c r="Q28" s="118" t="s">
        <v>2588</v>
      </c>
      <c r="R28" s="324"/>
      <c r="S28" s="325"/>
      <c r="T28" s="145"/>
      <c r="U28" s="118" t="s">
        <v>2690</v>
      </c>
      <c r="V28" s="323"/>
      <c r="W28" s="323"/>
      <c r="X28" s="323"/>
      <c r="Y28" s="145"/>
    </row>
    <row r="29" ht="15.75" customHeight="1">
      <c r="A29" s="118" t="s">
        <v>2622</v>
      </c>
      <c r="B29" s="118" t="s">
        <v>2600</v>
      </c>
      <c r="C29" s="23" t="s">
        <v>2691</v>
      </c>
      <c r="D29" s="118" t="s">
        <v>54</v>
      </c>
      <c r="E29" s="118" t="s">
        <v>2585</v>
      </c>
      <c r="F29" s="118" t="s">
        <v>2692</v>
      </c>
      <c r="G29" s="323"/>
      <c r="H29" s="145"/>
      <c r="I29" s="328">
        <v>749999.0</v>
      </c>
      <c r="J29" s="329">
        <v>46160.0</v>
      </c>
      <c r="K29" s="329">
        <v>46344.0</v>
      </c>
      <c r="L29" s="165">
        <v>46162.0</v>
      </c>
      <c r="M29" s="31">
        <v>0.04</v>
      </c>
      <c r="N29" s="40"/>
      <c r="O29" s="204"/>
      <c r="P29" s="322">
        <v>995.0</v>
      </c>
      <c r="Q29" s="118" t="s">
        <v>2588</v>
      </c>
      <c r="R29" s="324"/>
      <c r="S29" s="325"/>
      <c r="T29" s="145"/>
      <c r="U29" s="323"/>
      <c r="V29" s="66" t="s">
        <v>2693</v>
      </c>
      <c r="W29" s="118" t="s">
        <v>2694</v>
      </c>
      <c r="X29" s="118" t="s">
        <v>2695</v>
      </c>
      <c r="Y29" s="145"/>
    </row>
    <row r="30" ht="15.75" customHeight="1">
      <c r="A30" s="118" t="s">
        <v>2583</v>
      </c>
      <c r="B30" s="118" t="s">
        <v>2600</v>
      </c>
      <c r="C30" s="23" t="s">
        <v>171</v>
      </c>
      <c r="D30" s="118" t="s">
        <v>185</v>
      </c>
      <c r="E30" s="118" t="s">
        <v>2585</v>
      </c>
      <c r="F30" s="118" t="s">
        <v>2696</v>
      </c>
      <c r="G30" s="323"/>
      <c r="H30" s="145"/>
      <c r="I30" s="328">
        <v>329999.0</v>
      </c>
      <c r="J30" s="329">
        <v>46128.0</v>
      </c>
      <c r="K30" s="329">
        <v>46318.0</v>
      </c>
      <c r="L30" s="165">
        <v>46138.0</v>
      </c>
      <c r="M30" s="31">
        <v>0.05</v>
      </c>
      <c r="N30" s="40"/>
      <c r="O30" s="204"/>
      <c r="P30" s="322">
        <v>1170.0</v>
      </c>
      <c r="Q30" s="118" t="s">
        <v>185</v>
      </c>
      <c r="R30" s="324"/>
      <c r="S30" s="325"/>
      <c r="T30" s="145"/>
      <c r="U30" s="118" t="s">
        <v>53</v>
      </c>
      <c r="V30" s="118" t="s">
        <v>2697</v>
      </c>
      <c r="W30" s="118" t="s">
        <v>2698</v>
      </c>
      <c r="X30" s="118" t="s">
        <v>2699</v>
      </c>
      <c r="Y30" s="145"/>
    </row>
    <row r="31">
      <c r="A31" s="118" t="s">
        <v>2583</v>
      </c>
      <c r="B31" s="118" t="s">
        <v>2610</v>
      </c>
      <c r="C31" s="23" t="s">
        <v>255</v>
      </c>
      <c r="D31" s="118" t="s">
        <v>103</v>
      </c>
      <c r="E31" s="118" t="s">
        <v>2585</v>
      </c>
      <c r="F31" s="118" t="s">
        <v>2700</v>
      </c>
      <c r="G31" s="323"/>
      <c r="H31" s="145"/>
      <c r="I31" s="328">
        <v>175999.0</v>
      </c>
      <c r="J31" s="329">
        <v>46154.0</v>
      </c>
      <c r="K31" s="329">
        <v>46338.0</v>
      </c>
      <c r="L31" s="159" t="s">
        <v>53</v>
      </c>
      <c r="M31" s="118" t="s">
        <v>114</v>
      </c>
      <c r="N31" s="330" t="s">
        <v>2701</v>
      </c>
      <c r="O31" s="204"/>
      <c r="P31" s="322">
        <v>695.0</v>
      </c>
      <c r="Q31" s="118" t="s">
        <v>2588</v>
      </c>
      <c r="R31" s="324"/>
      <c r="S31" s="325"/>
      <c r="T31" s="145"/>
      <c r="U31" s="118" t="s">
        <v>53</v>
      </c>
      <c r="V31" s="118" t="s">
        <v>537</v>
      </c>
      <c r="W31" s="118" t="s">
        <v>538</v>
      </c>
      <c r="X31" s="118" t="s">
        <v>539</v>
      </c>
      <c r="Y31" s="145"/>
    </row>
    <row r="32" ht="15.75" customHeight="1">
      <c r="A32" s="118" t="s">
        <v>2584</v>
      </c>
      <c r="B32" s="118" t="s">
        <v>2610</v>
      </c>
      <c r="C32" s="23" t="s">
        <v>255</v>
      </c>
      <c r="D32" s="118" t="s">
        <v>103</v>
      </c>
      <c r="E32" s="118" t="s">
        <v>2585</v>
      </c>
      <c r="F32" s="118" t="s">
        <v>2702</v>
      </c>
      <c r="G32" s="323"/>
      <c r="H32" s="145"/>
      <c r="I32" s="328">
        <v>999999.0</v>
      </c>
      <c r="J32" s="329">
        <v>46128.0</v>
      </c>
      <c r="K32" s="329">
        <v>46311.0</v>
      </c>
      <c r="L32" s="159" t="s">
        <v>53</v>
      </c>
      <c r="M32" s="31">
        <v>0.045</v>
      </c>
      <c r="N32" s="330" t="s">
        <v>2602</v>
      </c>
      <c r="O32" s="204"/>
      <c r="P32" s="322">
        <v>1345.0</v>
      </c>
      <c r="Q32" s="118" t="s">
        <v>2588</v>
      </c>
      <c r="R32" s="324"/>
      <c r="S32" s="325"/>
      <c r="T32" s="145"/>
      <c r="U32" s="118" t="s">
        <v>53</v>
      </c>
      <c r="V32" s="118" t="s">
        <v>2703</v>
      </c>
      <c r="W32" s="118" t="s">
        <v>2704</v>
      </c>
      <c r="X32" s="118" t="s">
        <v>2705</v>
      </c>
      <c r="Y32" s="145"/>
    </row>
    <row r="33">
      <c r="A33" s="118" t="s">
        <v>2622</v>
      </c>
      <c r="B33" s="118" t="s">
        <v>2600</v>
      </c>
      <c r="C33" s="23" t="s">
        <v>102</v>
      </c>
      <c r="D33" s="118" t="s">
        <v>103</v>
      </c>
      <c r="E33" s="118" t="s">
        <v>2585</v>
      </c>
      <c r="F33" s="118" t="s">
        <v>2706</v>
      </c>
      <c r="G33" s="323"/>
      <c r="H33" s="145"/>
      <c r="I33" s="328">
        <v>649999.0</v>
      </c>
      <c r="J33" s="329">
        <v>46106.0</v>
      </c>
      <c r="K33" s="329">
        <v>46290.0</v>
      </c>
      <c r="L33" s="165">
        <v>46105.0</v>
      </c>
      <c r="M33" s="31">
        <v>0.03</v>
      </c>
      <c r="N33" s="40"/>
      <c r="O33" s="204"/>
      <c r="P33" s="322">
        <v>1250.0</v>
      </c>
      <c r="Q33" s="118" t="s">
        <v>2588</v>
      </c>
      <c r="R33" s="324"/>
      <c r="S33" s="325"/>
      <c r="T33" s="145"/>
      <c r="U33" s="118" t="s">
        <v>53</v>
      </c>
      <c r="V33" s="118" t="s">
        <v>506</v>
      </c>
      <c r="W33" s="118" t="s">
        <v>507</v>
      </c>
      <c r="X33" s="118" t="s">
        <v>508</v>
      </c>
      <c r="Y33" s="145"/>
    </row>
    <row r="34" ht="15.75" customHeight="1">
      <c r="A34" s="118" t="s">
        <v>2622</v>
      </c>
      <c r="B34" s="118" t="s">
        <v>2600</v>
      </c>
      <c r="C34" s="118" t="s">
        <v>646</v>
      </c>
      <c r="D34" s="118" t="s">
        <v>54</v>
      </c>
      <c r="E34" s="118" t="s">
        <v>2585</v>
      </c>
      <c r="F34" s="118" t="s">
        <v>2707</v>
      </c>
      <c r="G34" s="323"/>
      <c r="H34" s="145"/>
      <c r="I34" s="328">
        <v>399999.0</v>
      </c>
      <c r="J34" s="329">
        <v>46089.0</v>
      </c>
      <c r="K34" s="329">
        <v>46273.0</v>
      </c>
      <c r="L34" s="165">
        <v>46090.0</v>
      </c>
      <c r="M34" s="31">
        <v>0.02</v>
      </c>
      <c r="N34" s="40"/>
      <c r="O34" s="204"/>
      <c r="P34" s="322">
        <v>1000.0</v>
      </c>
      <c r="Q34" s="118" t="s">
        <v>2588</v>
      </c>
      <c r="R34" s="324"/>
      <c r="S34" s="325"/>
      <c r="T34" s="145"/>
      <c r="U34" s="323"/>
      <c r="V34" s="118" t="s">
        <v>2708</v>
      </c>
      <c r="W34" s="118" t="s">
        <v>2709</v>
      </c>
      <c r="X34" s="118" t="s">
        <v>2710</v>
      </c>
      <c r="Y34" s="145"/>
    </row>
    <row r="35">
      <c r="A35" s="118" t="s">
        <v>2622</v>
      </c>
      <c r="B35" s="118" t="s">
        <v>2600</v>
      </c>
      <c r="C35" s="23" t="s">
        <v>2691</v>
      </c>
      <c r="D35" s="118" t="s">
        <v>54</v>
      </c>
      <c r="E35" s="118" t="s">
        <v>2585</v>
      </c>
      <c r="F35" s="118" t="s">
        <v>2711</v>
      </c>
      <c r="G35" s="118" t="s">
        <v>2671</v>
      </c>
      <c r="H35" s="145"/>
      <c r="I35" s="328">
        <v>699999.0</v>
      </c>
      <c r="J35" s="329">
        <v>46171.0</v>
      </c>
      <c r="K35" s="329">
        <v>46385.0</v>
      </c>
      <c r="L35" s="165">
        <v>46173.0</v>
      </c>
      <c r="M35" s="31">
        <v>0.035</v>
      </c>
      <c r="N35" s="40"/>
      <c r="O35" s="204"/>
      <c r="P35" s="322">
        <v>1345.0</v>
      </c>
      <c r="Q35" s="323"/>
      <c r="R35" s="324"/>
      <c r="S35" s="325"/>
      <c r="T35" s="145"/>
      <c r="U35" s="323"/>
      <c r="V35" s="323"/>
      <c r="W35" s="323"/>
      <c r="X35" s="323"/>
      <c r="Y35" s="145"/>
    </row>
    <row r="36" ht="15.75" customHeight="1">
      <c r="A36" s="118" t="s">
        <v>2592</v>
      </c>
      <c r="B36" s="118" t="s">
        <v>2584</v>
      </c>
      <c r="C36" s="118" t="s">
        <v>2661</v>
      </c>
      <c r="D36" s="118" t="s">
        <v>54</v>
      </c>
      <c r="E36" s="118" t="s">
        <v>2585</v>
      </c>
      <c r="F36" s="118" t="s">
        <v>2712</v>
      </c>
      <c r="G36" s="118" t="s">
        <v>2587</v>
      </c>
      <c r="H36" s="145"/>
      <c r="I36" s="328">
        <v>899999.0</v>
      </c>
      <c r="J36" s="329">
        <v>46073.0</v>
      </c>
      <c r="K36" s="329">
        <v>46254.0</v>
      </c>
      <c r="L36" s="164"/>
      <c r="M36" s="31">
        <v>0.02</v>
      </c>
      <c r="N36" s="40"/>
      <c r="O36" s="204"/>
      <c r="P36" s="322"/>
      <c r="Q36" s="118" t="s">
        <v>2588</v>
      </c>
      <c r="R36" s="324"/>
      <c r="S36" s="325"/>
      <c r="T36" s="145"/>
      <c r="U36" s="323"/>
      <c r="V36" s="118" t="s">
        <v>2713</v>
      </c>
      <c r="W36" s="37" t="s">
        <v>2714</v>
      </c>
      <c r="X36" s="118" t="s">
        <v>2715</v>
      </c>
      <c r="Y36" s="145"/>
    </row>
    <row r="37" ht="15.75" customHeight="1">
      <c r="A37" s="118" t="s">
        <v>2622</v>
      </c>
      <c r="B37" s="118" t="s">
        <v>2600</v>
      </c>
      <c r="C37" s="23" t="s">
        <v>139</v>
      </c>
      <c r="D37" s="118" t="s">
        <v>103</v>
      </c>
      <c r="E37" s="118" t="s">
        <v>2585</v>
      </c>
      <c r="F37" s="118" t="s">
        <v>2716</v>
      </c>
      <c r="G37" s="323"/>
      <c r="H37" s="145"/>
      <c r="I37" s="328">
        <v>299999.0</v>
      </c>
      <c r="J37" s="329">
        <v>46143.0</v>
      </c>
      <c r="K37" s="329">
        <v>46327.0</v>
      </c>
      <c r="L37" s="165">
        <v>46143.0</v>
      </c>
      <c r="M37" s="31">
        <v>0.025</v>
      </c>
      <c r="N37" s="330" t="s">
        <v>2602</v>
      </c>
      <c r="O37" s="204"/>
      <c r="P37" s="322">
        <v>995.0</v>
      </c>
      <c r="Q37" s="118" t="s">
        <v>2588</v>
      </c>
      <c r="R37" s="324"/>
      <c r="S37" s="325"/>
      <c r="T37" s="145"/>
      <c r="U37" s="323"/>
      <c r="V37" s="323"/>
      <c r="W37" s="323"/>
      <c r="X37" s="323"/>
      <c r="Y37" s="145"/>
    </row>
    <row r="38">
      <c r="A38" s="118" t="s">
        <v>2622</v>
      </c>
      <c r="B38" s="118" t="s">
        <v>2600</v>
      </c>
      <c r="C38" s="23" t="s">
        <v>139</v>
      </c>
      <c r="D38" s="118" t="s">
        <v>103</v>
      </c>
      <c r="E38" s="118" t="s">
        <v>2585</v>
      </c>
      <c r="F38" s="118" t="s">
        <v>2717</v>
      </c>
      <c r="G38" s="323"/>
      <c r="H38" s="145"/>
      <c r="I38" s="328">
        <v>549999.0</v>
      </c>
      <c r="J38" s="329">
        <v>46169.0</v>
      </c>
      <c r="K38" s="329">
        <v>46356.0</v>
      </c>
      <c r="L38" s="165">
        <v>46168.0</v>
      </c>
      <c r="M38" s="31">
        <v>0.0225</v>
      </c>
      <c r="N38" s="330" t="s">
        <v>2602</v>
      </c>
      <c r="O38" s="204"/>
      <c r="P38" s="322">
        <v>1345.0</v>
      </c>
      <c r="Q38" s="323"/>
      <c r="R38" s="324"/>
      <c r="S38" s="325"/>
      <c r="T38" s="145"/>
      <c r="U38" s="118" t="s">
        <v>53</v>
      </c>
      <c r="V38" s="118" t="s">
        <v>2718</v>
      </c>
      <c r="W38" s="118" t="s">
        <v>2719</v>
      </c>
      <c r="X38" s="118" t="s">
        <v>2720</v>
      </c>
      <c r="Y38" s="145"/>
    </row>
    <row r="39">
      <c r="A39" s="118" t="s">
        <v>2592</v>
      </c>
      <c r="B39" s="185" t="s">
        <v>2584</v>
      </c>
      <c r="C39" s="23" t="s">
        <v>139</v>
      </c>
      <c r="D39" s="185" t="s">
        <v>103</v>
      </c>
      <c r="E39" s="185" t="s">
        <v>2721</v>
      </c>
      <c r="F39" s="23" t="s">
        <v>2722</v>
      </c>
      <c r="G39" s="185" t="s">
        <v>2587</v>
      </c>
      <c r="H39" s="145"/>
      <c r="I39" s="320">
        <v>749999.0</v>
      </c>
      <c r="J39" s="60">
        <v>45983.0</v>
      </c>
      <c r="K39" s="60">
        <v>46164.0</v>
      </c>
      <c r="L39" s="164"/>
      <c r="M39" s="321">
        <v>0.02</v>
      </c>
      <c r="N39" s="331"/>
      <c r="O39" s="185"/>
      <c r="P39" s="322">
        <v>0.0</v>
      </c>
      <c r="Q39" s="323" t="s">
        <v>2584</v>
      </c>
      <c r="R39" s="324"/>
      <c r="S39" s="325"/>
      <c r="T39" s="145"/>
      <c r="U39" s="37" t="s">
        <v>53</v>
      </c>
      <c r="V39" s="37" t="s">
        <v>2723</v>
      </c>
      <c r="W39" s="37" t="s">
        <v>2724</v>
      </c>
      <c r="X39" s="37" t="s">
        <v>2725</v>
      </c>
      <c r="Y39" s="145"/>
    </row>
    <row r="40">
      <c r="A40" s="118" t="s">
        <v>2622</v>
      </c>
      <c r="B40" s="118" t="s">
        <v>2600</v>
      </c>
      <c r="C40" s="118" t="s">
        <v>88</v>
      </c>
      <c r="D40" s="118" t="s">
        <v>54</v>
      </c>
      <c r="E40" s="118" t="s">
        <v>2721</v>
      </c>
      <c r="F40" s="118" t="s">
        <v>2726</v>
      </c>
      <c r="G40" s="118" t="s">
        <v>2671</v>
      </c>
      <c r="H40" s="145"/>
      <c r="I40" s="328">
        <v>649999.0</v>
      </c>
      <c r="J40" s="329">
        <v>46061.0</v>
      </c>
      <c r="K40" s="329">
        <v>46192.0</v>
      </c>
      <c r="L40" s="165">
        <v>46063.0</v>
      </c>
      <c r="M40" s="31">
        <v>0.03</v>
      </c>
      <c r="N40" s="40"/>
      <c r="O40" s="204"/>
      <c r="P40" s="322">
        <v>1345.0</v>
      </c>
      <c r="Q40" s="118" t="s">
        <v>2584</v>
      </c>
      <c r="R40" s="324"/>
      <c r="S40" s="325"/>
      <c r="T40" s="145"/>
      <c r="U40" s="323"/>
      <c r="V40" s="323"/>
      <c r="W40" s="118" t="s">
        <v>91</v>
      </c>
      <c r="X40" s="323"/>
      <c r="Y40" s="145"/>
    </row>
    <row r="41">
      <c r="A41" s="118" t="s">
        <v>2592</v>
      </c>
      <c r="B41" s="118" t="s">
        <v>2600</v>
      </c>
      <c r="C41" s="23" t="s">
        <v>51</v>
      </c>
      <c r="D41" s="118" t="s">
        <v>54</v>
      </c>
      <c r="E41" s="118" t="s">
        <v>2727</v>
      </c>
      <c r="F41" s="118" t="s">
        <v>2728</v>
      </c>
      <c r="G41" s="118" t="s">
        <v>2612</v>
      </c>
      <c r="H41" s="145"/>
      <c r="I41" s="328">
        <v>599999.0</v>
      </c>
      <c r="J41" s="329">
        <v>46111.0</v>
      </c>
      <c r="K41" s="329">
        <v>46295.0</v>
      </c>
      <c r="L41" s="165">
        <v>46111.0</v>
      </c>
      <c r="M41" s="31">
        <v>0.05</v>
      </c>
      <c r="N41" s="40"/>
      <c r="O41" s="204"/>
      <c r="P41" s="322">
        <v>1395.0</v>
      </c>
      <c r="Q41" s="118" t="s">
        <v>2588</v>
      </c>
      <c r="R41" s="324"/>
      <c r="S41" s="325"/>
      <c r="T41" s="145"/>
      <c r="U41" s="323"/>
      <c r="V41" s="118" t="s">
        <v>2729</v>
      </c>
      <c r="W41" s="118" t="s">
        <v>129</v>
      </c>
      <c r="X41" s="118" t="s">
        <v>128</v>
      </c>
      <c r="Y41" s="145"/>
    </row>
    <row r="42">
      <c r="A42" s="118" t="s">
        <v>2583</v>
      </c>
      <c r="B42" s="118" t="s">
        <v>2584</v>
      </c>
      <c r="C42" s="23" t="s">
        <v>171</v>
      </c>
      <c r="D42" s="118" t="s">
        <v>185</v>
      </c>
      <c r="E42" s="118" t="s">
        <v>2727</v>
      </c>
      <c r="F42" s="118" t="s">
        <v>2730</v>
      </c>
      <c r="G42" s="323"/>
      <c r="H42" s="145"/>
      <c r="I42" s="328">
        <v>340000.0</v>
      </c>
      <c r="J42" s="329">
        <v>45996.0</v>
      </c>
      <c r="K42" s="329">
        <v>46178.0</v>
      </c>
      <c r="L42" s="164"/>
      <c r="M42" s="31">
        <v>0.055</v>
      </c>
      <c r="N42" s="40"/>
      <c r="O42" s="204"/>
      <c r="P42" s="322">
        <v>0.0</v>
      </c>
      <c r="Q42" s="118" t="s">
        <v>185</v>
      </c>
      <c r="R42" s="324"/>
      <c r="S42" s="325"/>
      <c r="T42" s="145"/>
      <c r="U42" s="118" t="s">
        <v>53</v>
      </c>
      <c r="V42" s="118" t="s">
        <v>193</v>
      </c>
      <c r="W42" s="118" t="s">
        <v>194</v>
      </c>
      <c r="X42" s="118" t="s">
        <v>195</v>
      </c>
      <c r="Y42" s="145"/>
    </row>
    <row r="43">
      <c r="A43" s="118" t="s">
        <v>2622</v>
      </c>
      <c r="B43" s="118" t="s">
        <v>2600</v>
      </c>
      <c r="C43" s="118" t="s">
        <v>102</v>
      </c>
      <c r="D43" s="118" t="s">
        <v>103</v>
      </c>
      <c r="E43" s="118" t="s">
        <v>2727</v>
      </c>
      <c r="F43" s="118" t="s">
        <v>2731</v>
      </c>
      <c r="G43" s="323"/>
      <c r="H43" s="145"/>
      <c r="I43" s="328">
        <v>149999.0</v>
      </c>
      <c r="J43" s="329">
        <v>46049.0</v>
      </c>
      <c r="K43" s="329">
        <v>46230.0</v>
      </c>
      <c r="L43" s="165">
        <v>46044.0</v>
      </c>
      <c r="M43" s="31">
        <v>0.04</v>
      </c>
      <c r="N43" s="40"/>
      <c r="O43" s="204"/>
      <c r="P43" s="322">
        <v>1250.0</v>
      </c>
      <c r="Q43" s="118" t="s">
        <v>2588</v>
      </c>
      <c r="R43" s="324"/>
      <c r="S43" s="325"/>
      <c r="T43" s="145"/>
      <c r="U43" s="118" t="s">
        <v>53</v>
      </c>
      <c r="V43" s="118" t="s">
        <v>264</v>
      </c>
      <c r="W43" s="118" t="s">
        <v>265</v>
      </c>
      <c r="X43" s="118" t="s">
        <v>266</v>
      </c>
      <c r="Y43" s="145"/>
    </row>
    <row r="44">
      <c r="A44" s="118" t="s">
        <v>2583</v>
      </c>
      <c r="B44" s="118" t="s">
        <v>2610</v>
      </c>
      <c r="C44" s="23" t="s">
        <v>255</v>
      </c>
      <c r="D44" s="118" t="s">
        <v>103</v>
      </c>
      <c r="E44" s="118" t="s">
        <v>2727</v>
      </c>
      <c r="F44" s="118" t="s">
        <v>2732</v>
      </c>
      <c r="G44" s="323"/>
      <c r="H44" s="145"/>
      <c r="I44" s="328">
        <v>999999.0</v>
      </c>
      <c r="J44" s="329">
        <v>46125.0</v>
      </c>
      <c r="K44" s="329">
        <v>46308.0</v>
      </c>
      <c r="L44" s="159" t="s">
        <v>53</v>
      </c>
      <c r="M44" s="31">
        <v>0.03</v>
      </c>
      <c r="N44" s="330" t="s">
        <v>2733</v>
      </c>
      <c r="O44" s="204"/>
      <c r="P44" s="322">
        <v>695.0</v>
      </c>
      <c r="Q44" s="118" t="s">
        <v>2588</v>
      </c>
      <c r="R44" s="324"/>
      <c r="S44" s="325"/>
      <c r="T44" s="145"/>
      <c r="U44" s="118" t="s">
        <v>53</v>
      </c>
      <c r="V44" s="118" t="s">
        <v>372</v>
      </c>
      <c r="W44" s="118" t="s">
        <v>2734</v>
      </c>
      <c r="X44" s="118" t="s">
        <v>374</v>
      </c>
      <c r="Y44" s="145"/>
    </row>
    <row r="45">
      <c r="A45" s="118" t="s">
        <v>2583</v>
      </c>
      <c r="B45" s="118" t="s">
        <v>2610</v>
      </c>
      <c r="C45" s="118" t="s">
        <v>255</v>
      </c>
      <c r="D45" s="118" t="s">
        <v>103</v>
      </c>
      <c r="E45" s="118" t="s">
        <v>2727</v>
      </c>
      <c r="F45" s="118" t="s">
        <v>2735</v>
      </c>
      <c r="G45" s="323"/>
      <c r="H45" s="145"/>
      <c r="I45" s="328">
        <v>625999.0</v>
      </c>
      <c r="J45" s="329">
        <v>46099.0</v>
      </c>
      <c r="K45" s="329">
        <v>46283.0</v>
      </c>
      <c r="L45" s="165">
        <v>46086.0</v>
      </c>
      <c r="M45" s="31">
        <v>0.04</v>
      </c>
      <c r="N45" s="330" t="s">
        <v>2736</v>
      </c>
      <c r="O45" s="204"/>
      <c r="P45" s="322">
        <v>695.0</v>
      </c>
      <c r="Q45" s="118" t="s">
        <v>2588</v>
      </c>
      <c r="R45" s="324"/>
      <c r="S45" s="325"/>
      <c r="T45" s="145"/>
      <c r="U45" s="118" t="s">
        <v>257</v>
      </c>
      <c r="V45" s="118" t="s">
        <v>2737</v>
      </c>
      <c r="W45" s="118" t="s">
        <v>258</v>
      </c>
      <c r="X45" s="118" t="s">
        <v>259</v>
      </c>
      <c r="Y45" s="145"/>
    </row>
    <row r="46">
      <c r="A46" s="118" t="s">
        <v>2583</v>
      </c>
      <c r="B46" s="118" t="s">
        <v>2610</v>
      </c>
      <c r="C46" s="23" t="s">
        <v>376</v>
      </c>
      <c r="D46" s="118" t="s">
        <v>103</v>
      </c>
      <c r="E46" s="118" t="s">
        <v>2727</v>
      </c>
      <c r="F46" s="118" t="s">
        <v>2738</v>
      </c>
      <c r="G46" s="323"/>
      <c r="H46" s="145"/>
      <c r="I46" s="328">
        <v>549999.0</v>
      </c>
      <c r="J46" s="329">
        <v>46156.0</v>
      </c>
      <c r="K46" s="329">
        <v>46340.0</v>
      </c>
      <c r="L46" s="159" t="s">
        <v>53</v>
      </c>
      <c r="M46" s="333">
        <v>589.0</v>
      </c>
      <c r="N46" s="40"/>
      <c r="O46" s="204"/>
      <c r="P46" s="322">
        <v>0.0</v>
      </c>
      <c r="Q46" s="118" t="s">
        <v>2588</v>
      </c>
      <c r="R46" s="324"/>
      <c r="S46" s="325"/>
      <c r="T46" s="145"/>
      <c r="U46" s="118" t="s">
        <v>2739</v>
      </c>
      <c r="V46" s="118" t="s">
        <v>2740</v>
      </c>
      <c r="W46" s="118" t="s">
        <v>2741</v>
      </c>
      <c r="X46" s="118" t="s">
        <v>384</v>
      </c>
      <c r="Y46" s="145"/>
    </row>
    <row r="47">
      <c r="A47" s="118" t="s">
        <v>2592</v>
      </c>
      <c r="B47" s="118" t="s">
        <v>2600</v>
      </c>
      <c r="C47" s="23" t="s">
        <v>288</v>
      </c>
      <c r="D47" s="118" t="s">
        <v>103</v>
      </c>
      <c r="E47" s="118" t="s">
        <v>2727</v>
      </c>
      <c r="F47" s="118" t="s">
        <v>2742</v>
      </c>
      <c r="G47" s="118" t="s">
        <v>2587</v>
      </c>
      <c r="H47" s="145"/>
      <c r="I47" s="328">
        <v>69999.0</v>
      </c>
      <c r="J47" s="329">
        <v>46156.0</v>
      </c>
      <c r="K47" s="329">
        <v>46340.0</v>
      </c>
      <c r="L47" s="165">
        <v>46154.0</v>
      </c>
      <c r="M47" s="118" t="s">
        <v>114</v>
      </c>
      <c r="N47" s="330" t="s">
        <v>2743</v>
      </c>
      <c r="O47" s="204"/>
      <c r="P47" s="322">
        <v>1345.0</v>
      </c>
      <c r="Q47" s="118" t="s">
        <v>2588</v>
      </c>
      <c r="R47" s="324"/>
      <c r="S47" s="325"/>
      <c r="T47" s="145"/>
      <c r="U47" s="118" t="s">
        <v>53</v>
      </c>
      <c r="V47" s="118" t="s">
        <v>289</v>
      </c>
      <c r="W47" s="118" t="s">
        <v>290</v>
      </c>
      <c r="X47" s="118" t="s">
        <v>291</v>
      </c>
      <c r="Y47" s="145"/>
    </row>
    <row r="48">
      <c r="A48" s="118" t="s">
        <v>2622</v>
      </c>
      <c r="B48" s="118" t="s">
        <v>2600</v>
      </c>
      <c r="C48" s="23" t="s">
        <v>399</v>
      </c>
      <c r="D48" s="118" t="s">
        <v>103</v>
      </c>
      <c r="E48" s="118" t="s">
        <v>2727</v>
      </c>
      <c r="F48" s="118" t="s">
        <v>2744</v>
      </c>
      <c r="G48" s="118" t="s">
        <v>2587</v>
      </c>
      <c r="H48" s="145"/>
      <c r="I48" s="328">
        <v>649999.0</v>
      </c>
      <c r="J48" s="329">
        <v>46128.0</v>
      </c>
      <c r="K48" s="329">
        <v>46311.0</v>
      </c>
      <c r="L48" s="165">
        <v>46127.0</v>
      </c>
      <c r="M48" s="31">
        <v>0.025</v>
      </c>
      <c r="N48" s="40"/>
      <c r="O48" s="204"/>
      <c r="P48" s="322">
        <v>1345.0</v>
      </c>
      <c r="Q48" s="118" t="s">
        <v>2588</v>
      </c>
      <c r="R48" s="324"/>
      <c r="S48" s="325"/>
      <c r="T48" s="145"/>
      <c r="U48" s="118" t="s">
        <v>53</v>
      </c>
      <c r="V48" s="118" t="s">
        <v>2745</v>
      </c>
      <c r="W48" s="118" t="s">
        <v>2746</v>
      </c>
      <c r="X48" s="118" t="s">
        <v>402</v>
      </c>
      <c r="Y48" s="145"/>
    </row>
    <row r="49">
      <c r="A49" s="118" t="s">
        <v>2592</v>
      </c>
      <c r="B49" s="185" t="s">
        <v>2584</v>
      </c>
      <c r="C49" s="37" t="s">
        <v>2747</v>
      </c>
      <c r="D49" s="185" t="s">
        <v>54</v>
      </c>
      <c r="E49" s="185" t="s">
        <v>2727</v>
      </c>
      <c r="F49" s="23" t="s">
        <v>2748</v>
      </c>
      <c r="G49" s="185" t="s">
        <v>2612</v>
      </c>
      <c r="H49" s="145"/>
      <c r="I49" s="320">
        <v>799999.0</v>
      </c>
      <c r="J49" s="60">
        <v>46030.0</v>
      </c>
      <c r="K49" s="60">
        <v>46211.0</v>
      </c>
      <c r="L49" s="60">
        <v>46019.0</v>
      </c>
      <c r="M49" s="321">
        <v>0.03</v>
      </c>
      <c r="N49" s="331"/>
      <c r="O49" s="185"/>
      <c r="P49" s="322">
        <v>0.0</v>
      </c>
      <c r="Q49" s="118" t="s">
        <v>2588</v>
      </c>
      <c r="R49" s="324"/>
      <c r="S49" s="325"/>
      <c r="T49" s="145"/>
      <c r="U49" s="37" t="s">
        <v>53</v>
      </c>
      <c r="V49" s="37"/>
      <c r="W49" s="37"/>
      <c r="X49" s="37"/>
      <c r="Y49" s="145"/>
    </row>
    <row r="50">
      <c r="A50" s="118" t="s">
        <v>2622</v>
      </c>
      <c r="B50" s="118" t="s">
        <v>2600</v>
      </c>
      <c r="C50" s="118" t="s">
        <v>332</v>
      </c>
      <c r="D50" s="118" t="s">
        <v>103</v>
      </c>
      <c r="E50" s="118" t="s">
        <v>2727</v>
      </c>
      <c r="F50" s="118" t="s">
        <v>2749</v>
      </c>
      <c r="G50" s="323"/>
      <c r="H50" s="145"/>
      <c r="I50" s="328">
        <v>999999.0</v>
      </c>
      <c r="J50" s="329">
        <v>46077.0</v>
      </c>
      <c r="K50" s="329">
        <v>46258.0</v>
      </c>
      <c r="L50" s="165">
        <v>46074.0</v>
      </c>
      <c r="M50" s="31">
        <v>0.035</v>
      </c>
      <c r="N50" s="330" t="s">
        <v>2602</v>
      </c>
      <c r="O50" s="204"/>
      <c r="P50" s="322">
        <v>1350.0</v>
      </c>
      <c r="Q50" s="118" t="s">
        <v>2588</v>
      </c>
      <c r="R50" s="324"/>
      <c r="S50" s="325"/>
      <c r="T50" s="145"/>
      <c r="U50" s="118" t="s">
        <v>53</v>
      </c>
      <c r="V50" s="118" t="s">
        <v>2750</v>
      </c>
      <c r="W50" s="118" t="s">
        <v>2751</v>
      </c>
      <c r="X50" s="118" t="s">
        <v>335</v>
      </c>
      <c r="Y50" s="145"/>
    </row>
    <row r="51">
      <c r="A51" s="118" t="s">
        <v>2583</v>
      </c>
      <c r="B51" s="118" t="s">
        <v>2600</v>
      </c>
      <c r="C51" s="23" t="s">
        <v>255</v>
      </c>
      <c r="D51" s="118" t="s">
        <v>103</v>
      </c>
      <c r="E51" s="118" t="s">
        <v>2727</v>
      </c>
      <c r="F51" s="118" t="s">
        <v>2752</v>
      </c>
      <c r="G51" s="323"/>
      <c r="H51" s="145"/>
      <c r="I51" s="328">
        <v>899999.0</v>
      </c>
      <c r="J51" s="329">
        <v>46158.0</v>
      </c>
      <c r="K51" s="329">
        <v>46342.0</v>
      </c>
      <c r="L51" s="159" t="s">
        <v>53</v>
      </c>
      <c r="M51" s="31">
        <v>0.04</v>
      </c>
      <c r="N51" s="330" t="s">
        <v>2602</v>
      </c>
      <c r="O51" s="204"/>
      <c r="P51" s="322">
        <v>695.0</v>
      </c>
      <c r="Q51" s="118" t="s">
        <v>2588</v>
      </c>
      <c r="R51" s="324"/>
      <c r="S51" s="325"/>
      <c r="T51" s="145"/>
      <c r="U51" s="118" t="s">
        <v>53</v>
      </c>
      <c r="V51" s="118" t="s">
        <v>433</v>
      </c>
      <c r="W51" s="118" t="s">
        <v>434</v>
      </c>
      <c r="X51" s="118" t="s">
        <v>435</v>
      </c>
      <c r="Y51" s="145"/>
    </row>
    <row r="52">
      <c r="A52" s="118" t="s">
        <v>2622</v>
      </c>
      <c r="B52" s="118" t="s">
        <v>2610</v>
      </c>
      <c r="C52" s="23" t="s">
        <v>2691</v>
      </c>
      <c r="D52" s="118" t="s">
        <v>54</v>
      </c>
      <c r="E52" s="118" t="s">
        <v>2727</v>
      </c>
      <c r="F52" s="118" t="s">
        <v>2753</v>
      </c>
      <c r="G52" s="118" t="s">
        <v>2671</v>
      </c>
      <c r="H52" s="145"/>
      <c r="I52" s="328">
        <v>449999.0</v>
      </c>
      <c r="J52" s="329">
        <v>46115.0</v>
      </c>
      <c r="K52" s="329">
        <v>46298.0</v>
      </c>
      <c r="L52" s="165">
        <v>46118.0</v>
      </c>
      <c r="M52" s="31">
        <v>0.04</v>
      </c>
      <c r="N52" s="40"/>
      <c r="O52" s="204"/>
      <c r="P52" s="322">
        <v>699.0</v>
      </c>
      <c r="Q52" s="118" t="s">
        <v>2588</v>
      </c>
      <c r="R52" s="324"/>
      <c r="S52" s="325"/>
      <c r="T52" s="145"/>
      <c r="U52" s="323"/>
      <c r="V52" s="323"/>
      <c r="W52" s="323"/>
      <c r="X52" s="323"/>
      <c r="Y52" s="145"/>
    </row>
    <row r="53">
      <c r="A53" s="118" t="s">
        <v>2622</v>
      </c>
      <c r="B53" s="118" t="s">
        <v>2600</v>
      </c>
      <c r="C53" s="23" t="s">
        <v>159</v>
      </c>
      <c r="D53" s="118" t="s">
        <v>54</v>
      </c>
      <c r="E53" s="118" t="s">
        <v>2727</v>
      </c>
      <c r="F53" s="118" t="s">
        <v>2754</v>
      </c>
      <c r="G53" s="118" t="s">
        <v>2612</v>
      </c>
      <c r="H53" s="145"/>
      <c r="I53" s="328">
        <v>449999.0</v>
      </c>
      <c r="J53" s="329">
        <v>46150.0</v>
      </c>
      <c r="K53" s="329">
        <v>46334.0</v>
      </c>
      <c r="L53" s="165">
        <v>46150.0</v>
      </c>
      <c r="M53" s="31">
        <v>0.05</v>
      </c>
      <c r="N53" s="40"/>
      <c r="O53" s="204"/>
      <c r="P53" s="322">
        <v>1500.0</v>
      </c>
      <c r="Q53" s="323"/>
      <c r="R53" s="324"/>
      <c r="S53" s="325"/>
      <c r="T53" s="145"/>
      <c r="U53" s="323"/>
      <c r="V53" s="118" t="s">
        <v>2755</v>
      </c>
      <c r="W53" s="118" t="s">
        <v>418</v>
      </c>
      <c r="X53" s="118" t="s">
        <v>2756</v>
      </c>
      <c r="Y53" s="145"/>
    </row>
    <row r="54">
      <c r="A54" s="118" t="s">
        <v>2622</v>
      </c>
      <c r="B54" s="118" t="s">
        <v>2600</v>
      </c>
      <c r="C54" s="23" t="s">
        <v>139</v>
      </c>
      <c r="D54" s="118" t="s">
        <v>103</v>
      </c>
      <c r="E54" s="118" t="s">
        <v>2727</v>
      </c>
      <c r="F54" s="118" t="s">
        <v>2757</v>
      </c>
      <c r="G54" s="323"/>
      <c r="H54" s="145"/>
      <c r="I54" s="328">
        <v>649999.0</v>
      </c>
      <c r="J54" s="334"/>
      <c r="K54" s="334"/>
      <c r="L54" s="165">
        <v>46170.0</v>
      </c>
      <c r="M54" s="31">
        <v>0.02</v>
      </c>
      <c r="N54" s="330" t="s">
        <v>2602</v>
      </c>
      <c r="O54" s="204"/>
      <c r="P54" s="322">
        <v>999.0</v>
      </c>
      <c r="Q54" s="323"/>
      <c r="R54" s="324"/>
      <c r="S54" s="325"/>
      <c r="T54" s="145"/>
      <c r="U54" s="118" t="s">
        <v>53</v>
      </c>
      <c r="V54" s="118" t="s">
        <v>447</v>
      </c>
      <c r="W54" s="118" t="s">
        <v>448</v>
      </c>
      <c r="X54" s="118" t="s">
        <v>449</v>
      </c>
      <c r="Y54" s="145"/>
    </row>
    <row r="55">
      <c r="A55" s="118" t="s">
        <v>2622</v>
      </c>
      <c r="B55" s="118" t="s">
        <v>2600</v>
      </c>
      <c r="C55" s="118" t="s">
        <v>102</v>
      </c>
      <c r="D55" s="118" t="s">
        <v>103</v>
      </c>
      <c r="E55" s="118" t="s">
        <v>2727</v>
      </c>
      <c r="F55" s="118" t="s">
        <v>2758</v>
      </c>
      <c r="G55" s="323"/>
      <c r="H55" s="145"/>
      <c r="I55" s="328">
        <v>449999.0</v>
      </c>
      <c r="J55" s="329">
        <v>46073.0</v>
      </c>
      <c r="K55" s="329">
        <v>46162.0</v>
      </c>
      <c r="L55" s="165">
        <v>46070.0</v>
      </c>
      <c r="M55" s="31">
        <v>0.03</v>
      </c>
      <c r="N55" s="40"/>
      <c r="O55" s="204"/>
      <c r="P55" s="322">
        <v>1250.0</v>
      </c>
      <c r="Q55" s="323"/>
      <c r="R55" s="324"/>
      <c r="S55" s="325"/>
      <c r="T55" s="145"/>
      <c r="U55" s="118" t="s">
        <v>53</v>
      </c>
      <c r="V55" s="118" t="s">
        <v>347</v>
      </c>
      <c r="W55" s="37" t="s">
        <v>348</v>
      </c>
      <c r="X55" s="118" t="s">
        <v>349</v>
      </c>
      <c r="Y55" s="145"/>
    </row>
    <row r="56">
      <c r="A56" s="118" t="s">
        <v>2584</v>
      </c>
      <c r="B56" s="118" t="s">
        <v>2584</v>
      </c>
      <c r="C56" s="118" t="s">
        <v>424</v>
      </c>
      <c r="D56" s="118" t="s">
        <v>54</v>
      </c>
      <c r="E56" s="118" t="s">
        <v>2727</v>
      </c>
      <c r="F56" s="118" t="s">
        <v>2759</v>
      </c>
      <c r="G56" s="323"/>
      <c r="H56" s="145"/>
      <c r="I56" s="328">
        <v>349999.0</v>
      </c>
      <c r="J56" s="329">
        <v>46084.0</v>
      </c>
      <c r="K56" s="329">
        <v>46268.0</v>
      </c>
      <c r="L56" s="329">
        <v>46084.0</v>
      </c>
      <c r="M56" s="31">
        <v>0.03</v>
      </c>
      <c r="N56" s="40"/>
      <c r="O56" s="204"/>
      <c r="P56" s="322">
        <v>1350.0</v>
      </c>
      <c r="Q56" s="323"/>
      <c r="R56" s="324"/>
      <c r="S56" s="325"/>
      <c r="T56" s="145"/>
      <c r="U56" s="323"/>
      <c r="V56" s="118" t="s">
        <v>2479</v>
      </c>
      <c r="W56" s="118" t="s">
        <v>2480</v>
      </c>
      <c r="X56" s="118" t="s">
        <v>2481</v>
      </c>
      <c r="Y56" s="145"/>
    </row>
    <row r="57">
      <c r="A57" s="118" t="s">
        <v>2583</v>
      </c>
      <c r="B57" s="118" t="s">
        <v>2610</v>
      </c>
      <c r="C57" s="118" t="s">
        <v>184</v>
      </c>
      <c r="D57" s="118" t="s">
        <v>185</v>
      </c>
      <c r="E57" s="118" t="s">
        <v>2727</v>
      </c>
      <c r="F57" s="118" t="s">
        <v>2760</v>
      </c>
      <c r="G57" s="323"/>
      <c r="H57" s="145"/>
      <c r="I57" s="328">
        <v>599999.0</v>
      </c>
      <c r="J57" s="329">
        <v>46093.0</v>
      </c>
      <c r="K57" s="329">
        <v>46185.0</v>
      </c>
      <c r="L57" s="165">
        <v>46100.0</v>
      </c>
      <c r="M57" s="31">
        <v>0.03</v>
      </c>
      <c r="N57" s="40"/>
      <c r="O57" s="204"/>
      <c r="P57" s="322">
        <v>0.0</v>
      </c>
      <c r="Q57" s="323"/>
      <c r="R57" s="324"/>
      <c r="S57" s="325"/>
      <c r="T57" s="145"/>
      <c r="U57" s="118" t="s">
        <v>53</v>
      </c>
      <c r="V57" s="118" t="s">
        <v>294</v>
      </c>
      <c r="W57" s="118" t="s">
        <v>187</v>
      </c>
      <c r="X57" s="118" t="s">
        <v>188</v>
      </c>
      <c r="Y57" s="145"/>
    </row>
    <row r="58">
      <c r="A58" s="118" t="s">
        <v>2584</v>
      </c>
      <c r="B58" s="185" t="s">
        <v>2584</v>
      </c>
      <c r="C58" s="23" t="s">
        <v>171</v>
      </c>
      <c r="D58" s="185" t="s">
        <v>185</v>
      </c>
      <c r="E58" s="185" t="s">
        <v>2727</v>
      </c>
      <c r="F58" s="23" t="s">
        <v>2761</v>
      </c>
      <c r="G58" s="185"/>
      <c r="H58" s="145"/>
      <c r="I58" s="320">
        <v>549999.0</v>
      </c>
      <c r="J58" s="60">
        <v>45946.0</v>
      </c>
      <c r="K58" s="60">
        <v>46094.0</v>
      </c>
      <c r="L58" s="164"/>
      <c r="M58" s="321"/>
      <c r="N58" s="331"/>
      <c r="O58" s="185"/>
      <c r="P58" s="322">
        <v>0.0</v>
      </c>
      <c r="Q58" s="323" t="s">
        <v>185</v>
      </c>
      <c r="R58" s="324"/>
      <c r="S58" s="325"/>
      <c r="T58" s="145"/>
      <c r="U58" s="37" t="s">
        <v>53</v>
      </c>
      <c r="V58" s="37" t="s">
        <v>2762</v>
      </c>
      <c r="W58" s="37" t="s">
        <v>2763</v>
      </c>
      <c r="X58" s="37" t="s">
        <v>2764</v>
      </c>
      <c r="Y58" s="145"/>
    </row>
    <row r="59">
      <c r="A59" s="118" t="s">
        <v>2584</v>
      </c>
      <c r="B59" s="185" t="s">
        <v>2600</v>
      </c>
      <c r="C59" s="23" t="s">
        <v>184</v>
      </c>
      <c r="D59" s="185" t="s">
        <v>185</v>
      </c>
      <c r="E59" s="185" t="s">
        <v>2727</v>
      </c>
      <c r="F59" s="23" t="s">
        <v>2765</v>
      </c>
      <c r="G59" s="185" t="s">
        <v>185</v>
      </c>
      <c r="H59" s="145"/>
      <c r="I59" s="320">
        <v>1399999.0</v>
      </c>
      <c r="J59" s="60">
        <v>45971.0</v>
      </c>
      <c r="K59" s="60">
        <v>46152.0</v>
      </c>
      <c r="L59" s="164"/>
      <c r="M59" s="321">
        <v>0.03</v>
      </c>
      <c r="N59" s="331"/>
      <c r="O59" s="185"/>
      <c r="P59" s="322">
        <v>0.0</v>
      </c>
      <c r="Q59" s="323" t="s">
        <v>185</v>
      </c>
      <c r="R59" s="324"/>
      <c r="S59" s="325"/>
      <c r="T59" s="145"/>
      <c r="U59" s="37" t="s">
        <v>53</v>
      </c>
      <c r="V59" s="37" t="s">
        <v>2766</v>
      </c>
      <c r="W59" s="37" t="s">
        <v>2767</v>
      </c>
      <c r="X59" s="37" t="s">
        <v>2768</v>
      </c>
      <c r="Y59" s="145"/>
    </row>
    <row r="60">
      <c r="A60" s="118" t="s">
        <v>2583</v>
      </c>
      <c r="B60" s="118" t="s">
        <v>2600</v>
      </c>
      <c r="C60" s="118" t="s">
        <v>184</v>
      </c>
      <c r="D60" s="118" t="s">
        <v>185</v>
      </c>
      <c r="E60" s="118" t="s">
        <v>2727</v>
      </c>
      <c r="F60" s="118" t="s">
        <v>2769</v>
      </c>
      <c r="G60" s="323"/>
      <c r="H60" s="145"/>
      <c r="I60" s="328">
        <v>599999.0</v>
      </c>
      <c r="J60" s="329">
        <v>46077.0</v>
      </c>
      <c r="K60" s="329">
        <v>46258.0</v>
      </c>
      <c r="L60" s="165">
        <v>46079.0</v>
      </c>
      <c r="M60" s="31">
        <v>0.03</v>
      </c>
      <c r="N60" s="40"/>
      <c r="O60" s="204"/>
      <c r="P60" s="322">
        <v>595.0</v>
      </c>
      <c r="Q60" s="118" t="s">
        <v>185</v>
      </c>
      <c r="R60" s="324"/>
      <c r="S60" s="325"/>
      <c r="T60" s="145"/>
      <c r="U60" s="118" t="s">
        <v>2770</v>
      </c>
      <c r="V60" s="118" t="s">
        <v>2771</v>
      </c>
      <c r="W60" s="118" t="s">
        <v>2772</v>
      </c>
      <c r="X60" s="118" t="s">
        <v>2773</v>
      </c>
      <c r="Y60" s="145"/>
    </row>
    <row r="61">
      <c r="A61" s="118" t="s">
        <v>2583</v>
      </c>
      <c r="B61" s="118" t="s">
        <v>2600</v>
      </c>
      <c r="C61" s="23" t="s">
        <v>184</v>
      </c>
      <c r="D61" s="118" t="s">
        <v>185</v>
      </c>
      <c r="E61" s="118" t="s">
        <v>2727</v>
      </c>
      <c r="F61" s="118" t="s">
        <v>2774</v>
      </c>
      <c r="G61" s="323"/>
      <c r="H61" s="145"/>
      <c r="I61" s="328">
        <v>749999.0</v>
      </c>
      <c r="J61" s="329">
        <v>46106.0</v>
      </c>
      <c r="K61" s="329">
        <v>46290.0</v>
      </c>
      <c r="L61" s="165">
        <v>46106.0</v>
      </c>
      <c r="M61" s="31">
        <v>0.03</v>
      </c>
      <c r="N61" s="40"/>
      <c r="O61" s="204"/>
      <c r="P61" s="322">
        <v>595.0</v>
      </c>
      <c r="Q61" s="118" t="s">
        <v>185</v>
      </c>
      <c r="R61" s="324"/>
      <c r="S61" s="325"/>
      <c r="T61" s="145"/>
      <c r="U61" s="118" t="s">
        <v>1948</v>
      </c>
      <c r="V61" s="118" t="s">
        <v>2775</v>
      </c>
      <c r="W61" s="118" t="s">
        <v>1949</v>
      </c>
      <c r="X61" s="118" t="s">
        <v>1950</v>
      </c>
      <c r="Y61" s="145"/>
    </row>
    <row r="62">
      <c r="A62" s="118" t="s">
        <v>2583</v>
      </c>
      <c r="B62" s="118" t="s">
        <v>2610</v>
      </c>
      <c r="C62" s="23" t="s">
        <v>184</v>
      </c>
      <c r="D62" s="118" t="s">
        <v>185</v>
      </c>
      <c r="E62" s="118" t="s">
        <v>2727</v>
      </c>
      <c r="F62" s="118" t="s">
        <v>2776</v>
      </c>
      <c r="G62" s="323"/>
      <c r="H62" s="145"/>
      <c r="I62" s="328">
        <v>799999.0</v>
      </c>
      <c r="J62" s="329">
        <v>46119.0</v>
      </c>
      <c r="K62" s="329">
        <v>46272.0</v>
      </c>
      <c r="L62" s="165">
        <v>46121.0</v>
      </c>
      <c r="M62" s="31">
        <v>0.02</v>
      </c>
      <c r="N62" s="40"/>
      <c r="O62" s="204"/>
      <c r="P62" s="322">
        <v>0.0</v>
      </c>
      <c r="Q62" s="118" t="s">
        <v>185</v>
      </c>
      <c r="R62" s="324"/>
      <c r="S62" s="325"/>
      <c r="T62" s="145"/>
      <c r="U62" s="118" t="s">
        <v>271</v>
      </c>
      <c r="V62" s="118" t="s">
        <v>2777</v>
      </c>
      <c r="W62" s="118" t="s">
        <v>272</v>
      </c>
      <c r="X62" s="118" t="s">
        <v>273</v>
      </c>
      <c r="Y62" s="145"/>
    </row>
    <row r="63">
      <c r="A63" s="118" t="s">
        <v>2583</v>
      </c>
      <c r="B63" s="118" t="s">
        <v>2610</v>
      </c>
      <c r="C63" s="23" t="s">
        <v>184</v>
      </c>
      <c r="D63" s="118" t="s">
        <v>185</v>
      </c>
      <c r="E63" s="118" t="s">
        <v>2727</v>
      </c>
      <c r="F63" s="118" t="s">
        <v>2778</v>
      </c>
      <c r="G63" s="323"/>
      <c r="H63" s="145"/>
      <c r="I63" s="328">
        <v>899999.0</v>
      </c>
      <c r="J63" s="329">
        <v>46133.0</v>
      </c>
      <c r="K63" s="329">
        <v>46316.0</v>
      </c>
      <c r="L63" s="165">
        <v>46140.0</v>
      </c>
      <c r="M63" s="31">
        <v>0.025</v>
      </c>
      <c r="N63" s="40"/>
      <c r="O63" s="204"/>
      <c r="P63" s="322">
        <v>595.0</v>
      </c>
      <c r="Q63" s="118" t="s">
        <v>185</v>
      </c>
      <c r="R63" s="324"/>
      <c r="S63" s="325"/>
      <c r="T63" s="145"/>
      <c r="U63" s="118" t="s">
        <v>53</v>
      </c>
      <c r="V63" s="118" t="s">
        <v>2779</v>
      </c>
      <c r="W63" s="118" t="s">
        <v>2780</v>
      </c>
      <c r="X63" s="118" t="s">
        <v>281</v>
      </c>
      <c r="Y63" s="145"/>
    </row>
    <row r="64">
      <c r="A64" s="118" t="s">
        <v>2592</v>
      </c>
      <c r="B64" s="118" t="s">
        <v>2584</v>
      </c>
      <c r="C64" s="118" t="s">
        <v>1809</v>
      </c>
      <c r="D64" s="118" t="s">
        <v>54</v>
      </c>
      <c r="E64" s="118" t="s">
        <v>2727</v>
      </c>
      <c r="F64" s="118" t="s">
        <v>2666</v>
      </c>
      <c r="G64" s="323"/>
      <c r="H64" s="145"/>
      <c r="I64" s="328">
        <v>499000.0</v>
      </c>
      <c r="J64" s="329">
        <v>46092.0</v>
      </c>
      <c r="K64" s="329">
        <v>46276.0</v>
      </c>
      <c r="L64" s="165">
        <v>46092.0</v>
      </c>
      <c r="M64" s="31">
        <v>0.03</v>
      </c>
      <c r="N64" s="40"/>
      <c r="O64" s="204"/>
      <c r="P64" s="322">
        <v>1425.0</v>
      </c>
      <c r="Q64" s="118" t="s">
        <v>2588</v>
      </c>
      <c r="R64" s="324"/>
      <c r="S64" s="325"/>
      <c r="T64" s="145"/>
      <c r="U64" s="323"/>
      <c r="V64" s="323"/>
      <c r="W64" s="323"/>
      <c r="X64" s="323"/>
      <c r="Y64" s="145"/>
    </row>
    <row r="65">
      <c r="A65" s="323"/>
      <c r="B65" s="323"/>
      <c r="C65" s="23" t="s">
        <v>149</v>
      </c>
      <c r="D65" s="118" t="s">
        <v>54</v>
      </c>
      <c r="E65" s="118" t="s">
        <v>2727</v>
      </c>
      <c r="F65" s="118" t="s">
        <v>2781</v>
      </c>
      <c r="G65" s="118" t="s">
        <v>2612</v>
      </c>
      <c r="H65" s="145"/>
      <c r="I65" s="328">
        <v>699999.0</v>
      </c>
      <c r="J65" s="335">
        <v>46113.0</v>
      </c>
      <c r="K65" s="335">
        <v>46296.0</v>
      </c>
      <c r="L65" s="164"/>
      <c r="M65" s="31">
        <v>0.03</v>
      </c>
      <c r="N65" s="330" t="s">
        <v>2782</v>
      </c>
      <c r="O65" s="204"/>
      <c r="P65" s="322">
        <v>695.0</v>
      </c>
      <c r="Q65" s="118" t="s">
        <v>2588</v>
      </c>
      <c r="R65" s="324"/>
      <c r="S65" s="325"/>
      <c r="T65" s="336" t="s">
        <v>2783</v>
      </c>
      <c r="U65" s="323"/>
      <c r="V65" s="118" t="s">
        <v>2784</v>
      </c>
      <c r="W65" s="118" t="s">
        <v>2785</v>
      </c>
      <c r="X65" s="118" t="s">
        <v>152</v>
      </c>
      <c r="Y65" s="145"/>
    </row>
    <row r="66">
      <c r="A66" s="118" t="s">
        <v>2583</v>
      </c>
      <c r="B66" s="118" t="s">
        <v>2610</v>
      </c>
      <c r="C66" s="23" t="s">
        <v>184</v>
      </c>
      <c r="D66" s="118" t="s">
        <v>185</v>
      </c>
      <c r="E66" s="118" t="s">
        <v>2727</v>
      </c>
      <c r="F66" s="118" t="s">
        <v>2786</v>
      </c>
      <c r="G66" s="323"/>
      <c r="H66" s="145"/>
      <c r="I66" s="328">
        <v>999999.0</v>
      </c>
      <c r="J66" s="329">
        <v>46122.0</v>
      </c>
      <c r="K66" s="329">
        <v>46285.0</v>
      </c>
      <c r="L66" s="165">
        <v>46125.0</v>
      </c>
      <c r="M66" s="31">
        <v>0.02</v>
      </c>
      <c r="N66" s="40"/>
      <c r="O66" s="204"/>
      <c r="P66" s="322">
        <v>0.0</v>
      </c>
      <c r="Q66" s="118" t="s">
        <v>185</v>
      </c>
      <c r="R66" s="324"/>
      <c r="S66" s="325"/>
      <c r="T66" s="145"/>
      <c r="U66" s="118" t="s">
        <v>53</v>
      </c>
      <c r="V66" s="118" t="s">
        <v>2777</v>
      </c>
      <c r="W66" s="118" t="s">
        <v>2787</v>
      </c>
      <c r="X66" s="118" t="s">
        <v>2788</v>
      </c>
      <c r="Y66" s="145"/>
    </row>
    <row r="67">
      <c r="A67" s="118" t="s">
        <v>2592</v>
      </c>
      <c r="B67" s="118" t="s">
        <v>2600</v>
      </c>
      <c r="C67" s="118" t="s">
        <v>288</v>
      </c>
      <c r="D67" s="118" t="s">
        <v>103</v>
      </c>
      <c r="E67" s="118" t="s">
        <v>2789</v>
      </c>
      <c r="F67" s="118" t="s">
        <v>2790</v>
      </c>
      <c r="G67" s="323"/>
      <c r="H67" s="145"/>
      <c r="I67" s="328">
        <v>429999.0</v>
      </c>
      <c r="J67" s="329">
        <v>46058.0</v>
      </c>
      <c r="K67" s="329">
        <v>46239.0</v>
      </c>
      <c r="L67" s="165">
        <v>46056.0</v>
      </c>
      <c r="M67" s="31">
        <v>0.03</v>
      </c>
      <c r="N67" s="40"/>
      <c r="O67" s="204"/>
      <c r="P67" s="322">
        <v>1345.0</v>
      </c>
      <c r="Q67" s="118" t="s">
        <v>2588</v>
      </c>
      <c r="R67" s="324"/>
      <c r="S67" s="325"/>
      <c r="T67" s="145"/>
      <c r="U67" s="118" t="s">
        <v>53</v>
      </c>
      <c r="V67" s="118" t="s">
        <v>2791</v>
      </c>
      <c r="W67" s="118" t="s">
        <v>2792</v>
      </c>
      <c r="X67" s="118" t="s">
        <v>2793</v>
      </c>
      <c r="Y67" s="145"/>
    </row>
    <row r="68">
      <c r="A68" s="118" t="s">
        <v>2622</v>
      </c>
      <c r="B68" s="118" t="s">
        <v>2600</v>
      </c>
      <c r="C68" s="118" t="s">
        <v>102</v>
      </c>
      <c r="D68" s="118" t="s">
        <v>103</v>
      </c>
      <c r="E68" s="118" t="s">
        <v>2789</v>
      </c>
      <c r="F68" s="118" t="s">
        <v>2794</v>
      </c>
      <c r="G68" s="323"/>
      <c r="H68" s="145"/>
      <c r="I68" s="328">
        <v>699999.0</v>
      </c>
      <c r="J68" s="329">
        <v>46064.0</v>
      </c>
      <c r="K68" s="329">
        <v>46245.0</v>
      </c>
      <c r="L68" s="165">
        <v>46063.0</v>
      </c>
      <c r="M68" s="31">
        <v>0.035</v>
      </c>
      <c r="N68" s="40"/>
      <c r="O68" s="204"/>
      <c r="P68" s="322">
        <v>1250.0</v>
      </c>
      <c r="Q68" s="118" t="s">
        <v>2588</v>
      </c>
      <c r="R68" s="324"/>
      <c r="S68" s="325"/>
      <c r="T68" s="145"/>
      <c r="U68" s="118" t="s">
        <v>53</v>
      </c>
      <c r="V68" s="118" t="s">
        <v>2795</v>
      </c>
      <c r="W68" s="118" t="s">
        <v>2796</v>
      </c>
      <c r="X68" s="118" t="s">
        <v>2797</v>
      </c>
      <c r="Y68" s="145"/>
    </row>
    <row r="69">
      <c r="A69" s="118" t="s">
        <v>2583</v>
      </c>
      <c r="B69" s="118"/>
      <c r="C69" s="118" t="s">
        <v>255</v>
      </c>
      <c r="D69" s="118" t="s">
        <v>103</v>
      </c>
      <c r="E69" s="118" t="s">
        <v>2789</v>
      </c>
      <c r="F69" s="118" t="s">
        <v>2798</v>
      </c>
      <c r="G69" s="323"/>
      <c r="H69" s="145"/>
      <c r="I69" s="328">
        <v>199999.0</v>
      </c>
      <c r="J69" s="329">
        <v>46078.0</v>
      </c>
      <c r="K69" s="329">
        <v>46259.0</v>
      </c>
      <c r="L69" s="165">
        <v>46077.0</v>
      </c>
      <c r="M69" s="31">
        <v>0.05</v>
      </c>
      <c r="N69" s="40"/>
      <c r="O69" s="204"/>
      <c r="P69" s="322">
        <v>695.0</v>
      </c>
      <c r="Q69" s="118" t="s">
        <v>2588</v>
      </c>
      <c r="R69" s="324"/>
      <c r="S69" s="325"/>
      <c r="T69" s="145"/>
      <c r="U69" s="118" t="s">
        <v>1700</v>
      </c>
      <c r="V69" s="118" t="s">
        <v>2799</v>
      </c>
      <c r="W69" s="118" t="s">
        <v>2800</v>
      </c>
      <c r="X69" s="118" t="s">
        <v>2801</v>
      </c>
      <c r="Y69" s="145"/>
    </row>
    <row r="70">
      <c r="A70" s="118" t="s">
        <v>2592</v>
      </c>
      <c r="B70" s="118" t="s">
        <v>2600</v>
      </c>
      <c r="C70" s="23" t="s">
        <v>1087</v>
      </c>
      <c r="D70" s="118" t="s">
        <v>103</v>
      </c>
      <c r="E70" s="118" t="s">
        <v>2789</v>
      </c>
      <c r="F70" s="118" t="s">
        <v>2802</v>
      </c>
      <c r="G70" s="323"/>
      <c r="H70" s="145"/>
      <c r="I70" s="328">
        <v>449999.0</v>
      </c>
      <c r="J70" s="329">
        <v>46112.0</v>
      </c>
      <c r="K70" s="329">
        <v>46295.0</v>
      </c>
      <c r="L70" s="165">
        <v>46111.0</v>
      </c>
      <c r="M70" s="31">
        <v>0.07</v>
      </c>
      <c r="N70" s="40"/>
      <c r="O70" s="204"/>
      <c r="P70" s="322">
        <v>1345.0</v>
      </c>
      <c r="Q70" s="323"/>
      <c r="R70" s="324"/>
      <c r="S70" s="325"/>
      <c r="T70" s="145"/>
      <c r="U70" s="118" t="s">
        <v>53</v>
      </c>
      <c r="V70" s="118" t="s">
        <v>2803</v>
      </c>
      <c r="W70" s="118" t="s">
        <v>2804</v>
      </c>
      <c r="X70" s="118" t="s">
        <v>2805</v>
      </c>
      <c r="Y70" s="145"/>
    </row>
    <row r="71">
      <c r="A71" s="118" t="s">
        <v>2622</v>
      </c>
      <c r="B71" s="118" t="s">
        <v>2600</v>
      </c>
      <c r="C71" s="23" t="s">
        <v>332</v>
      </c>
      <c r="D71" s="118" t="s">
        <v>103</v>
      </c>
      <c r="E71" s="118" t="s">
        <v>2789</v>
      </c>
      <c r="F71" s="118" t="s">
        <v>2806</v>
      </c>
      <c r="G71" s="323"/>
      <c r="H71" s="145"/>
      <c r="I71" s="328">
        <v>449999.0</v>
      </c>
      <c r="J71" s="329">
        <v>46150.0</v>
      </c>
      <c r="K71" s="329">
        <v>46334.0</v>
      </c>
      <c r="L71" s="165">
        <v>46149.0</v>
      </c>
      <c r="M71" s="31">
        <v>0.03</v>
      </c>
      <c r="N71" s="40"/>
      <c r="O71" s="204"/>
      <c r="P71" s="322">
        <v>1345.0</v>
      </c>
      <c r="Q71" s="118" t="s">
        <v>2588</v>
      </c>
      <c r="R71" s="324"/>
      <c r="S71" s="325"/>
      <c r="T71" s="145"/>
      <c r="U71" s="118" t="s">
        <v>53</v>
      </c>
      <c r="V71" s="118" t="s">
        <v>2807</v>
      </c>
      <c r="W71" s="118" t="s">
        <v>2808</v>
      </c>
      <c r="X71" s="118" t="s">
        <v>2809</v>
      </c>
      <c r="Y71" s="145"/>
    </row>
    <row r="72">
      <c r="A72" s="118" t="s">
        <v>2622</v>
      </c>
      <c r="B72" s="118" t="s">
        <v>2600</v>
      </c>
      <c r="C72" s="23" t="s">
        <v>139</v>
      </c>
      <c r="D72" s="118" t="s">
        <v>103</v>
      </c>
      <c r="E72" s="118" t="s">
        <v>2789</v>
      </c>
      <c r="F72" s="118" t="s">
        <v>2810</v>
      </c>
      <c r="G72" s="323"/>
      <c r="H72" s="145"/>
      <c r="I72" s="328">
        <v>449999.0</v>
      </c>
      <c r="J72" s="329">
        <v>46160.0</v>
      </c>
      <c r="K72" s="329">
        <v>46344.0</v>
      </c>
      <c r="L72" s="165">
        <v>46160.0</v>
      </c>
      <c r="M72" s="31">
        <v>0.02</v>
      </c>
      <c r="N72" s="40"/>
      <c r="O72" s="204"/>
      <c r="P72" s="322">
        <v>999.0</v>
      </c>
      <c r="Q72" s="118" t="s">
        <v>2588</v>
      </c>
      <c r="R72" s="324"/>
      <c r="S72" s="325"/>
      <c r="T72" s="145"/>
      <c r="U72" s="118" t="s">
        <v>53</v>
      </c>
      <c r="V72" s="118" t="s">
        <v>2811</v>
      </c>
      <c r="W72" s="118" t="s">
        <v>2812</v>
      </c>
      <c r="X72" s="118" t="s">
        <v>2813</v>
      </c>
      <c r="Y72" s="145"/>
    </row>
    <row r="73">
      <c r="A73" s="118" t="s">
        <v>2622</v>
      </c>
      <c r="B73" s="118" t="s">
        <v>2584</v>
      </c>
      <c r="C73" s="23" t="s">
        <v>399</v>
      </c>
      <c r="D73" s="118" t="s">
        <v>103</v>
      </c>
      <c r="E73" s="118" t="s">
        <v>2789</v>
      </c>
      <c r="F73" s="118" t="s">
        <v>2814</v>
      </c>
      <c r="G73" s="323"/>
      <c r="H73" s="145"/>
      <c r="I73" s="328">
        <v>499999.0</v>
      </c>
      <c r="J73" s="329">
        <v>46162.0</v>
      </c>
      <c r="K73" s="329">
        <v>46346.0</v>
      </c>
      <c r="L73" s="165">
        <v>46161.0</v>
      </c>
      <c r="M73" s="31">
        <v>0.03</v>
      </c>
      <c r="N73" s="40"/>
      <c r="O73" s="204"/>
      <c r="P73" s="322">
        <v>0.0</v>
      </c>
      <c r="Q73" s="118" t="s">
        <v>2588</v>
      </c>
      <c r="R73" s="324"/>
      <c r="S73" s="325"/>
      <c r="T73" s="145"/>
      <c r="U73" s="118" t="s">
        <v>53</v>
      </c>
      <c r="V73" s="118" t="s">
        <v>2815</v>
      </c>
      <c r="W73" s="118" t="s">
        <v>2816</v>
      </c>
      <c r="X73" s="118" t="s">
        <v>2817</v>
      </c>
      <c r="Y73" s="145"/>
    </row>
    <row r="74">
      <c r="A74" s="118" t="s">
        <v>2622</v>
      </c>
      <c r="B74" s="118" t="s">
        <v>2600</v>
      </c>
      <c r="C74" s="23" t="s">
        <v>332</v>
      </c>
      <c r="D74" s="118" t="s">
        <v>103</v>
      </c>
      <c r="E74" s="118" t="s">
        <v>2789</v>
      </c>
      <c r="F74" s="118" t="s">
        <v>2818</v>
      </c>
      <c r="G74" s="323"/>
      <c r="H74" s="145"/>
      <c r="I74" s="328">
        <v>599999.0</v>
      </c>
      <c r="J74" s="329">
        <v>46167.0</v>
      </c>
      <c r="K74" s="329">
        <v>46351.0</v>
      </c>
      <c r="L74" s="165">
        <v>46167.0</v>
      </c>
      <c r="M74" s="31">
        <v>0.03</v>
      </c>
      <c r="N74" s="40"/>
      <c r="O74" s="204"/>
      <c r="P74" s="322">
        <v>1345.0</v>
      </c>
      <c r="Q74" s="323"/>
      <c r="R74" s="324"/>
      <c r="S74" s="325"/>
      <c r="T74" s="145"/>
      <c r="U74" s="118" t="s">
        <v>53</v>
      </c>
      <c r="V74" s="118" t="s">
        <v>2819</v>
      </c>
      <c r="W74" s="118" t="s">
        <v>2820</v>
      </c>
      <c r="X74" s="118" t="s">
        <v>2821</v>
      </c>
      <c r="Y74" s="145"/>
    </row>
    <row r="75">
      <c r="A75" s="118" t="s">
        <v>2583</v>
      </c>
      <c r="B75" s="185" t="s">
        <v>2584</v>
      </c>
      <c r="C75" s="23" t="s">
        <v>214</v>
      </c>
      <c r="D75" s="185" t="s">
        <v>54</v>
      </c>
      <c r="E75" s="185" t="s">
        <v>2789</v>
      </c>
      <c r="F75" s="326" t="s">
        <v>2822</v>
      </c>
      <c r="G75" s="185" t="s">
        <v>2587</v>
      </c>
      <c r="H75" s="145"/>
      <c r="I75" s="320">
        <v>30000.0</v>
      </c>
      <c r="J75" s="60">
        <v>45874.0</v>
      </c>
      <c r="K75" s="60">
        <v>46056.0</v>
      </c>
      <c r="L75" s="164"/>
      <c r="M75" s="332">
        <v>0.05</v>
      </c>
      <c r="N75" s="34">
        <v>367.46</v>
      </c>
      <c r="O75" s="185"/>
      <c r="P75" s="322">
        <v>695.0</v>
      </c>
      <c r="Q75" s="323" t="s">
        <v>2657</v>
      </c>
      <c r="R75" s="324"/>
      <c r="S75" s="325"/>
      <c r="T75" s="145"/>
      <c r="U75" s="37" t="s">
        <v>53</v>
      </c>
      <c r="V75" s="37" t="s">
        <v>2658</v>
      </c>
      <c r="W75" s="37" t="s">
        <v>2659</v>
      </c>
      <c r="X75" s="37" t="s">
        <v>2660</v>
      </c>
      <c r="Y75" s="145"/>
    </row>
    <row r="76">
      <c r="A76" s="118" t="s">
        <v>2592</v>
      </c>
      <c r="B76" s="185" t="s">
        <v>2600</v>
      </c>
      <c r="C76" s="23" t="s">
        <v>646</v>
      </c>
      <c r="D76" s="185" t="s">
        <v>54</v>
      </c>
      <c r="E76" s="185" t="s">
        <v>2789</v>
      </c>
      <c r="F76" s="23" t="s">
        <v>2823</v>
      </c>
      <c r="G76" s="185" t="s">
        <v>2612</v>
      </c>
      <c r="H76" s="145"/>
      <c r="I76" s="320">
        <v>515000.0</v>
      </c>
      <c r="J76" s="60">
        <v>45940.0</v>
      </c>
      <c r="K76" s="60">
        <v>46122.0</v>
      </c>
      <c r="L76" s="164"/>
      <c r="M76" s="321"/>
      <c r="N76" s="331"/>
      <c r="O76" s="185"/>
      <c r="P76" s="322">
        <v>0.0</v>
      </c>
      <c r="Q76" s="323" t="s">
        <v>2588</v>
      </c>
      <c r="R76" s="324"/>
      <c r="S76" s="325"/>
      <c r="T76" s="145"/>
      <c r="U76" s="37" t="s">
        <v>53</v>
      </c>
      <c r="V76" s="37" t="s">
        <v>2824</v>
      </c>
      <c r="W76" s="37" t="s">
        <v>2825</v>
      </c>
      <c r="X76" s="37" t="s">
        <v>649</v>
      </c>
      <c r="Y76" s="145"/>
    </row>
    <row r="77">
      <c r="A77" s="118" t="s">
        <v>2592</v>
      </c>
      <c r="B77" s="118" t="s">
        <v>2600</v>
      </c>
      <c r="C77" s="23" t="s">
        <v>341</v>
      </c>
      <c r="D77" s="118" t="s">
        <v>54</v>
      </c>
      <c r="E77" s="118" t="s">
        <v>2789</v>
      </c>
      <c r="F77" s="118" t="s">
        <v>2826</v>
      </c>
      <c r="G77" s="118" t="s">
        <v>2612</v>
      </c>
      <c r="H77" s="145"/>
      <c r="I77" s="328">
        <v>625000.0</v>
      </c>
      <c r="J77" s="329">
        <v>46025.0</v>
      </c>
      <c r="K77" s="329">
        <v>46176.0</v>
      </c>
      <c r="L77" s="165">
        <v>46043.0</v>
      </c>
      <c r="M77" s="31">
        <v>0.02</v>
      </c>
      <c r="N77" s="40"/>
      <c r="O77" s="204"/>
      <c r="P77" s="322">
        <v>1345.0</v>
      </c>
      <c r="Q77" s="118" t="s">
        <v>2588</v>
      </c>
      <c r="R77" s="324"/>
      <c r="S77" s="325"/>
      <c r="T77" s="145"/>
      <c r="U77" s="37" t="s">
        <v>53</v>
      </c>
      <c r="V77" s="118" t="s">
        <v>2827</v>
      </c>
      <c r="W77" s="118" t="s">
        <v>2828</v>
      </c>
      <c r="X77" s="118" t="s">
        <v>2829</v>
      </c>
      <c r="Y77" s="145"/>
    </row>
    <row r="78" ht="13.5" customHeight="1">
      <c r="A78" s="118" t="s">
        <v>2584</v>
      </c>
      <c r="B78" s="118" t="s">
        <v>2584</v>
      </c>
      <c r="C78" s="118" t="s">
        <v>1073</v>
      </c>
      <c r="D78" s="118" t="s">
        <v>54</v>
      </c>
      <c r="E78" s="118" t="s">
        <v>2789</v>
      </c>
      <c r="F78" s="118" t="s">
        <v>2830</v>
      </c>
      <c r="G78" s="323"/>
      <c r="H78" s="145"/>
      <c r="I78" s="328">
        <v>799900.0</v>
      </c>
      <c r="J78" s="329">
        <v>46043.0</v>
      </c>
      <c r="K78" s="329">
        <v>46194.0</v>
      </c>
      <c r="L78" s="165">
        <v>46041.0</v>
      </c>
      <c r="M78" s="31">
        <v>0.025</v>
      </c>
      <c r="N78" s="40"/>
      <c r="O78" s="204"/>
      <c r="P78" s="322">
        <v>0.0</v>
      </c>
      <c r="Q78" s="323"/>
      <c r="R78" s="324"/>
      <c r="S78" s="325"/>
      <c r="T78" s="145"/>
      <c r="U78" s="118" t="s">
        <v>53</v>
      </c>
      <c r="V78" s="323"/>
      <c r="W78" s="323"/>
      <c r="X78" s="323"/>
      <c r="Y78" s="145"/>
    </row>
    <row r="79">
      <c r="A79" s="118" t="s">
        <v>2622</v>
      </c>
      <c r="B79" s="118" t="s">
        <v>2600</v>
      </c>
      <c r="C79" s="118" t="s">
        <v>88</v>
      </c>
      <c r="D79" s="118" t="s">
        <v>54</v>
      </c>
      <c r="E79" s="118" t="s">
        <v>2789</v>
      </c>
      <c r="F79" s="118" t="s">
        <v>2831</v>
      </c>
      <c r="G79" s="118" t="s">
        <v>2671</v>
      </c>
      <c r="H79" s="145"/>
      <c r="I79" s="328">
        <v>549999.0</v>
      </c>
      <c r="J79" s="329">
        <v>46053.0</v>
      </c>
      <c r="K79" s="329">
        <v>46265.0</v>
      </c>
      <c r="L79" s="165">
        <v>47159.0</v>
      </c>
      <c r="M79" s="31">
        <v>0.04</v>
      </c>
      <c r="N79" s="40"/>
      <c r="O79" s="204"/>
      <c r="P79" s="322">
        <v>1395.0</v>
      </c>
      <c r="Q79" s="118" t="s">
        <v>2588</v>
      </c>
      <c r="R79" s="324"/>
      <c r="S79" s="325"/>
      <c r="T79" s="145"/>
      <c r="U79" s="323"/>
      <c r="V79" s="118" t="s">
        <v>2832</v>
      </c>
      <c r="W79" s="118" t="s">
        <v>1578</v>
      </c>
      <c r="X79" s="323"/>
      <c r="Y79" s="145"/>
    </row>
    <row r="80">
      <c r="A80" s="118" t="s">
        <v>2592</v>
      </c>
      <c r="B80" s="118" t="s">
        <v>2584</v>
      </c>
      <c r="C80" s="118" t="s">
        <v>424</v>
      </c>
      <c r="D80" s="118" t="s">
        <v>54</v>
      </c>
      <c r="E80" s="118" t="s">
        <v>2789</v>
      </c>
      <c r="F80" s="118" t="s">
        <v>2826</v>
      </c>
      <c r="G80" s="323"/>
      <c r="H80" s="145"/>
      <c r="I80" s="328">
        <v>449999.0</v>
      </c>
      <c r="J80" s="329">
        <v>44948.0</v>
      </c>
      <c r="K80" s="329">
        <v>46225.0</v>
      </c>
      <c r="L80" s="165">
        <v>46044.0</v>
      </c>
      <c r="M80" s="31">
        <v>0.04</v>
      </c>
      <c r="N80" s="40"/>
      <c r="O80" s="204"/>
      <c r="P80" s="322">
        <v>1345.0</v>
      </c>
      <c r="Q80" s="323"/>
      <c r="R80" s="324"/>
      <c r="S80" s="325"/>
      <c r="T80" s="145"/>
      <c r="U80" s="37" t="s">
        <v>53</v>
      </c>
      <c r="V80" s="323"/>
      <c r="W80" s="323"/>
      <c r="X80" s="323"/>
      <c r="Y80" s="145"/>
    </row>
    <row r="81" ht="15.75" customHeight="1">
      <c r="A81" s="118" t="s">
        <v>2622</v>
      </c>
      <c r="B81" s="118" t="s">
        <v>2600</v>
      </c>
      <c r="C81" s="118" t="s">
        <v>88</v>
      </c>
      <c r="D81" s="118" t="s">
        <v>54</v>
      </c>
      <c r="E81" s="118" t="s">
        <v>2789</v>
      </c>
      <c r="F81" s="118" t="s">
        <v>2833</v>
      </c>
      <c r="G81" s="323"/>
      <c r="H81" s="145"/>
      <c r="I81" s="328">
        <v>349999.0</v>
      </c>
      <c r="J81" s="329">
        <v>46061.0</v>
      </c>
      <c r="K81" s="329">
        <v>46334.0</v>
      </c>
      <c r="L81" s="165">
        <v>46065.0</v>
      </c>
      <c r="M81" s="31">
        <v>0.04</v>
      </c>
      <c r="N81" s="40"/>
      <c r="O81" s="204"/>
      <c r="P81" s="322">
        <v>1395.0</v>
      </c>
      <c r="Q81" s="323"/>
      <c r="R81" s="324"/>
      <c r="S81" s="325"/>
      <c r="T81" s="145"/>
      <c r="U81" s="323"/>
      <c r="V81" s="118" t="s">
        <v>2834</v>
      </c>
      <c r="W81" s="118" t="s">
        <v>2835</v>
      </c>
      <c r="X81" s="323"/>
      <c r="Y81" s="145"/>
    </row>
    <row r="82" ht="15.75" customHeight="1">
      <c r="A82" s="118" t="s">
        <v>2583</v>
      </c>
      <c r="B82" s="118" t="s">
        <v>2610</v>
      </c>
      <c r="C82" s="23" t="s">
        <v>184</v>
      </c>
      <c r="D82" s="118" t="s">
        <v>185</v>
      </c>
      <c r="E82" s="118" t="s">
        <v>2789</v>
      </c>
      <c r="F82" s="118" t="s">
        <v>2836</v>
      </c>
      <c r="G82" s="323"/>
      <c r="H82" s="145"/>
      <c r="I82" s="328">
        <v>1199999.0</v>
      </c>
      <c r="J82" s="329">
        <v>46125.0</v>
      </c>
      <c r="K82" s="329">
        <v>46295.0</v>
      </c>
      <c r="L82" s="165">
        <v>46125.0</v>
      </c>
      <c r="M82" s="31">
        <v>0.02</v>
      </c>
      <c r="N82" s="40"/>
      <c r="O82" s="204"/>
      <c r="P82" s="322">
        <v>0.0</v>
      </c>
      <c r="Q82" s="118" t="s">
        <v>185</v>
      </c>
      <c r="R82" s="324"/>
      <c r="S82" s="325"/>
      <c r="T82" s="145"/>
      <c r="U82" s="118" t="s">
        <v>53</v>
      </c>
      <c r="V82" s="118" t="s">
        <v>2837</v>
      </c>
      <c r="W82" s="118" t="s">
        <v>2838</v>
      </c>
      <c r="X82" s="118" t="s">
        <v>2839</v>
      </c>
      <c r="Y82" s="145"/>
    </row>
    <row r="83">
      <c r="A83" s="118" t="s">
        <v>2583</v>
      </c>
      <c r="B83" s="118" t="s">
        <v>2584</v>
      </c>
      <c r="C83" s="23" t="s">
        <v>184</v>
      </c>
      <c r="D83" s="118" t="s">
        <v>185</v>
      </c>
      <c r="E83" s="118" t="s">
        <v>2789</v>
      </c>
      <c r="F83" s="118" t="s">
        <v>2840</v>
      </c>
      <c r="G83" s="323"/>
      <c r="H83" s="145"/>
      <c r="I83" s="328">
        <v>249999.0</v>
      </c>
      <c r="J83" s="329">
        <v>46123.0</v>
      </c>
      <c r="K83" s="329">
        <v>46276.0</v>
      </c>
      <c r="L83" s="165">
        <v>46125.0</v>
      </c>
      <c r="M83" s="31">
        <v>0.03</v>
      </c>
      <c r="N83" s="40"/>
      <c r="O83" s="204"/>
      <c r="P83" s="322">
        <v>0.0</v>
      </c>
      <c r="Q83" s="118" t="s">
        <v>185</v>
      </c>
      <c r="R83" s="324"/>
      <c r="S83" s="325"/>
      <c r="T83" s="145"/>
      <c r="U83" s="118" t="s">
        <v>53</v>
      </c>
      <c r="V83" s="118" t="s">
        <v>2841</v>
      </c>
      <c r="W83" s="323"/>
      <c r="X83" s="118" t="s">
        <v>2842</v>
      </c>
      <c r="Y83" s="145"/>
    </row>
    <row r="84">
      <c r="A84" s="118" t="s">
        <v>2583</v>
      </c>
      <c r="B84" s="185" t="s">
        <v>2584</v>
      </c>
      <c r="C84" s="23" t="s">
        <v>184</v>
      </c>
      <c r="D84" s="185" t="s">
        <v>103</v>
      </c>
      <c r="E84" s="185" t="s">
        <v>2843</v>
      </c>
      <c r="F84" s="23" t="s">
        <v>2844</v>
      </c>
      <c r="G84" s="185"/>
      <c r="H84" s="145"/>
      <c r="I84" s="337"/>
      <c r="J84" s="241"/>
      <c r="K84" s="241"/>
      <c r="L84" s="164"/>
      <c r="M84" s="321"/>
      <c r="N84" s="34">
        <v>362.69</v>
      </c>
      <c r="O84" s="185"/>
      <c r="P84" s="322">
        <v>0.0</v>
      </c>
      <c r="Q84" s="323" t="s">
        <v>2584</v>
      </c>
      <c r="R84" s="324"/>
      <c r="S84" s="325"/>
      <c r="T84" s="145"/>
      <c r="U84" s="118" t="s">
        <v>53</v>
      </c>
      <c r="V84" s="37"/>
      <c r="W84" s="57"/>
      <c r="X84" s="57"/>
      <c r="Y84" s="145"/>
    </row>
    <row r="85">
      <c r="A85" s="118" t="s">
        <v>2622</v>
      </c>
      <c r="B85" s="118" t="s">
        <v>2600</v>
      </c>
      <c r="C85" s="118" t="s">
        <v>102</v>
      </c>
      <c r="D85" s="118" t="s">
        <v>103</v>
      </c>
      <c r="E85" s="118" t="s">
        <v>2845</v>
      </c>
      <c r="F85" s="118" t="s">
        <v>2846</v>
      </c>
      <c r="G85" s="323"/>
      <c r="H85" s="145"/>
      <c r="I85" s="328">
        <v>549999.0</v>
      </c>
      <c r="J85" s="334"/>
      <c r="K85" s="334"/>
      <c r="L85" s="165">
        <v>46070.0</v>
      </c>
      <c r="M85" s="31">
        <v>0.035</v>
      </c>
      <c r="N85" s="40"/>
      <c r="O85" s="204"/>
      <c r="P85" s="322">
        <v>1250.0</v>
      </c>
      <c r="Q85" s="323"/>
      <c r="R85" s="324"/>
      <c r="S85" s="325"/>
      <c r="T85" s="145"/>
      <c r="U85" s="118" t="s">
        <v>53</v>
      </c>
      <c r="V85" s="118" t="s">
        <v>2847</v>
      </c>
      <c r="W85" s="118" t="s">
        <v>2848</v>
      </c>
      <c r="X85" s="118" t="s">
        <v>2849</v>
      </c>
      <c r="Y85" s="145"/>
    </row>
    <row r="86">
      <c r="A86" s="118" t="s">
        <v>2622</v>
      </c>
      <c r="B86" s="118" t="s">
        <v>2600</v>
      </c>
      <c r="C86" s="23" t="s">
        <v>2691</v>
      </c>
      <c r="D86" s="118" t="s">
        <v>54</v>
      </c>
      <c r="E86" s="118" t="s">
        <v>2845</v>
      </c>
      <c r="F86" s="118" t="s">
        <v>2850</v>
      </c>
      <c r="G86" s="323"/>
      <c r="H86" s="145"/>
      <c r="I86" s="328">
        <v>349999.0</v>
      </c>
      <c r="J86" s="329">
        <v>46160.0</v>
      </c>
      <c r="K86" s="329">
        <v>46344.0</v>
      </c>
      <c r="L86" s="165">
        <v>46161.0</v>
      </c>
      <c r="M86" s="31">
        <v>0.03</v>
      </c>
      <c r="N86" s="40"/>
      <c r="O86" s="204"/>
      <c r="P86" s="322">
        <v>695.0</v>
      </c>
      <c r="Q86" s="118" t="s">
        <v>2588</v>
      </c>
      <c r="R86" s="324"/>
      <c r="S86" s="325"/>
      <c r="T86" s="145"/>
      <c r="U86" s="323"/>
      <c r="V86" s="118" t="s">
        <v>2851</v>
      </c>
      <c r="W86" s="118" t="s">
        <v>2852</v>
      </c>
      <c r="X86" s="118" t="s">
        <v>2853</v>
      </c>
      <c r="Y86" s="145"/>
    </row>
    <row r="87">
      <c r="A87" s="118" t="s">
        <v>2592</v>
      </c>
      <c r="B87" s="118" t="s">
        <v>2600</v>
      </c>
      <c r="C87" s="118" t="s">
        <v>139</v>
      </c>
      <c r="D87" s="118" t="s">
        <v>103</v>
      </c>
      <c r="E87" s="118" t="s">
        <v>2854</v>
      </c>
      <c r="F87" s="118" t="s">
        <v>2855</v>
      </c>
      <c r="G87" s="323"/>
      <c r="H87" s="145"/>
      <c r="I87" s="338"/>
      <c r="J87" s="334"/>
      <c r="K87" s="334"/>
      <c r="L87" s="164"/>
      <c r="M87" s="51"/>
      <c r="N87" s="40"/>
      <c r="O87" s="204"/>
      <c r="P87" s="322">
        <v>0.0</v>
      </c>
      <c r="Q87" s="323"/>
      <c r="R87" s="324"/>
      <c r="S87" s="325"/>
      <c r="T87" s="145"/>
      <c r="U87" s="37" t="s">
        <v>53</v>
      </c>
      <c r="V87" s="323"/>
      <c r="W87" s="323"/>
      <c r="X87" s="323"/>
      <c r="Y87" s="145"/>
    </row>
    <row r="88">
      <c r="A88" s="118" t="s">
        <v>2622</v>
      </c>
      <c r="B88" s="118" t="s">
        <v>2600</v>
      </c>
      <c r="C88" s="118" t="s">
        <v>332</v>
      </c>
      <c r="D88" s="118" t="s">
        <v>103</v>
      </c>
      <c r="E88" s="118" t="s">
        <v>2854</v>
      </c>
      <c r="F88" s="118" t="s">
        <v>2856</v>
      </c>
      <c r="G88" s="323"/>
      <c r="H88" s="145"/>
      <c r="I88" s="328">
        <v>599999.0</v>
      </c>
      <c r="J88" s="334"/>
      <c r="K88" s="334"/>
      <c r="L88" s="165">
        <v>46080.0</v>
      </c>
      <c r="M88" s="31">
        <v>0.02</v>
      </c>
      <c r="N88" s="40"/>
      <c r="O88" s="204"/>
      <c r="P88" s="322">
        <v>1345.0</v>
      </c>
      <c r="Q88" s="323"/>
      <c r="R88" s="324"/>
      <c r="S88" s="325"/>
      <c r="T88" s="145"/>
      <c r="U88" s="118" t="s">
        <v>53</v>
      </c>
      <c r="V88" s="118" t="s">
        <v>2857</v>
      </c>
      <c r="W88" s="118" t="s">
        <v>2858</v>
      </c>
      <c r="X88" s="118" t="s">
        <v>2859</v>
      </c>
      <c r="Y88" s="145"/>
    </row>
    <row r="89">
      <c r="A89" s="118" t="s">
        <v>2592</v>
      </c>
      <c r="B89" s="118" t="s">
        <v>2584</v>
      </c>
      <c r="C89" s="23" t="s">
        <v>1490</v>
      </c>
      <c r="D89" s="118" t="s">
        <v>103</v>
      </c>
      <c r="E89" s="118" t="s">
        <v>2854</v>
      </c>
      <c r="F89" s="118" t="s">
        <v>2860</v>
      </c>
      <c r="G89" s="323"/>
      <c r="H89" s="145"/>
      <c r="I89" s="328">
        <v>349900.0</v>
      </c>
      <c r="J89" s="334"/>
      <c r="K89" s="334"/>
      <c r="L89" s="165">
        <v>46168.0</v>
      </c>
      <c r="M89" s="51"/>
      <c r="N89" s="40"/>
      <c r="O89" s="204"/>
      <c r="P89" s="322"/>
      <c r="Q89" s="323"/>
      <c r="R89" s="324"/>
      <c r="S89" s="325"/>
      <c r="T89" s="145"/>
      <c r="U89" s="118" t="s">
        <v>53</v>
      </c>
      <c r="V89" s="323"/>
      <c r="W89" s="323"/>
      <c r="X89" s="323"/>
      <c r="Y89" s="145"/>
    </row>
    <row r="90">
      <c r="A90" s="118" t="s">
        <v>2592</v>
      </c>
      <c r="B90" s="118" t="s">
        <v>2584</v>
      </c>
      <c r="C90" s="23" t="s">
        <v>1337</v>
      </c>
      <c r="D90" s="118" t="s">
        <v>54</v>
      </c>
      <c r="E90" s="118" t="s">
        <v>2854</v>
      </c>
      <c r="F90" s="118" t="s">
        <v>2861</v>
      </c>
      <c r="G90" s="323"/>
      <c r="H90" s="145"/>
      <c r="I90" s="328">
        <v>199999.0</v>
      </c>
      <c r="J90" s="329">
        <v>46133.0</v>
      </c>
      <c r="K90" s="329">
        <v>46316.0</v>
      </c>
      <c r="L90" s="165">
        <v>46133.0</v>
      </c>
      <c r="M90" s="31">
        <v>0.05</v>
      </c>
      <c r="N90" s="40"/>
      <c r="O90" s="204"/>
      <c r="P90" s="322">
        <v>1500.0</v>
      </c>
      <c r="Q90" s="323"/>
      <c r="R90" s="324"/>
      <c r="S90" s="325"/>
      <c r="T90" s="145"/>
      <c r="U90" s="118" t="s">
        <v>53</v>
      </c>
      <c r="V90" s="323"/>
      <c r="W90" s="323"/>
      <c r="X90" s="323"/>
      <c r="Y90" s="145"/>
    </row>
    <row r="91">
      <c r="A91" s="118" t="s">
        <v>2592</v>
      </c>
      <c r="B91" s="118" t="s">
        <v>2610</v>
      </c>
      <c r="C91" s="23" t="s">
        <v>646</v>
      </c>
      <c r="D91" s="118" t="s">
        <v>54</v>
      </c>
      <c r="E91" s="118" t="s">
        <v>2854</v>
      </c>
      <c r="F91" s="118" t="s">
        <v>2862</v>
      </c>
      <c r="G91" s="323"/>
      <c r="H91" s="145"/>
      <c r="I91" s="328">
        <v>649999.0</v>
      </c>
      <c r="J91" s="334"/>
      <c r="K91" s="334"/>
      <c r="L91" s="165">
        <v>46140.0</v>
      </c>
      <c r="M91" s="31">
        <v>0.02</v>
      </c>
      <c r="N91" s="40"/>
      <c r="O91" s="204"/>
      <c r="P91" s="322">
        <v>650.0</v>
      </c>
      <c r="Q91" s="323"/>
      <c r="R91" s="324"/>
      <c r="S91" s="325"/>
      <c r="T91" s="145"/>
      <c r="U91" s="118" t="s">
        <v>53</v>
      </c>
      <c r="V91" s="323"/>
      <c r="W91" s="323"/>
      <c r="X91" s="323"/>
      <c r="Y91" s="145"/>
    </row>
    <row r="92">
      <c r="A92" s="323"/>
      <c r="B92" s="118" t="s">
        <v>2600</v>
      </c>
      <c r="C92" s="23" t="s">
        <v>149</v>
      </c>
      <c r="D92" s="118" t="s">
        <v>54</v>
      </c>
      <c r="E92" s="118" t="s">
        <v>2854</v>
      </c>
      <c r="F92" s="118" t="s">
        <v>2863</v>
      </c>
      <c r="G92" s="323"/>
      <c r="H92" s="145"/>
      <c r="I92" s="328">
        <v>199999.0</v>
      </c>
      <c r="J92" s="329">
        <v>46159.0</v>
      </c>
      <c r="K92" s="329">
        <v>46343.0</v>
      </c>
      <c r="L92" s="165">
        <v>46158.0</v>
      </c>
      <c r="M92" s="118" t="s">
        <v>114</v>
      </c>
      <c r="N92" s="330" t="s">
        <v>2743</v>
      </c>
      <c r="O92" s="204"/>
      <c r="P92" s="322">
        <v>695.0</v>
      </c>
      <c r="Q92" s="118" t="s">
        <v>2588</v>
      </c>
      <c r="R92" s="324"/>
      <c r="S92" s="325"/>
      <c r="T92" s="145"/>
      <c r="U92" s="118" t="s">
        <v>53</v>
      </c>
      <c r="V92" s="118" t="s">
        <v>2864</v>
      </c>
      <c r="W92" s="118" t="s">
        <v>2865</v>
      </c>
      <c r="X92" s="118" t="s">
        <v>2866</v>
      </c>
      <c r="Y92" s="145"/>
    </row>
    <row r="93">
      <c r="A93" s="118" t="s">
        <v>2622</v>
      </c>
      <c r="B93" s="118" t="s">
        <v>2600</v>
      </c>
      <c r="C93" s="23" t="s">
        <v>332</v>
      </c>
      <c r="D93" s="118" t="s">
        <v>103</v>
      </c>
      <c r="E93" s="118" t="s">
        <v>2854</v>
      </c>
      <c r="F93" s="118" t="s">
        <v>2867</v>
      </c>
      <c r="G93" s="323"/>
      <c r="H93" s="145"/>
      <c r="I93" s="338"/>
      <c r="J93" s="334"/>
      <c r="K93" s="334"/>
      <c r="L93" s="164"/>
      <c r="M93" s="51"/>
      <c r="N93" s="40"/>
      <c r="O93" s="204"/>
      <c r="P93" s="322"/>
      <c r="Q93" s="323"/>
      <c r="R93" s="324"/>
      <c r="S93" s="325"/>
      <c r="T93" s="145"/>
      <c r="U93" s="118" t="s">
        <v>53</v>
      </c>
      <c r="V93" s="323"/>
      <c r="W93" s="323"/>
      <c r="X93" s="323"/>
      <c r="Y93" s="145"/>
    </row>
    <row r="94">
      <c r="A94" s="118" t="s">
        <v>2592</v>
      </c>
      <c r="B94" s="118" t="s">
        <v>2600</v>
      </c>
      <c r="C94" s="23" t="s">
        <v>542</v>
      </c>
      <c r="D94" s="118" t="s">
        <v>54</v>
      </c>
      <c r="E94" s="118" t="s">
        <v>2789</v>
      </c>
      <c r="F94" s="118" t="s">
        <v>2868</v>
      </c>
      <c r="G94" s="323"/>
      <c r="H94" s="145"/>
      <c r="I94" s="328">
        <v>549999.0</v>
      </c>
      <c r="J94" s="329">
        <v>46183.0</v>
      </c>
      <c r="K94" s="329">
        <v>46366.0</v>
      </c>
      <c r="L94" s="165">
        <v>46185.0</v>
      </c>
      <c r="M94" s="31">
        <v>0.04</v>
      </c>
      <c r="N94" s="330" t="s">
        <v>2743</v>
      </c>
      <c r="O94" s="204"/>
      <c r="P94" s="322"/>
      <c r="Q94" s="323"/>
      <c r="R94" s="324"/>
      <c r="S94" s="325"/>
      <c r="T94" s="145"/>
      <c r="U94" s="118" t="s">
        <v>53</v>
      </c>
      <c r="V94" s="323"/>
      <c r="W94" s="323"/>
      <c r="X94" s="323"/>
      <c r="Y94" s="145"/>
    </row>
    <row r="95">
      <c r="A95" s="323"/>
      <c r="B95" s="118" t="s">
        <v>2584</v>
      </c>
      <c r="C95" s="23" t="s">
        <v>1073</v>
      </c>
      <c r="D95" s="118" t="s">
        <v>54</v>
      </c>
      <c r="E95" s="118" t="s">
        <v>2789</v>
      </c>
      <c r="F95" s="118" t="s">
        <v>2869</v>
      </c>
      <c r="G95" s="323"/>
      <c r="H95" s="145"/>
      <c r="I95" s="328">
        <v>412500.0</v>
      </c>
      <c r="J95" s="329">
        <v>46190.0</v>
      </c>
      <c r="K95" s="329">
        <v>46282.0</v>
      </c>
      <c r="L95" s="165">
        <v>46189.0</v>
      </c>
      <c r="M95" s="31">
        <v>0.03</v>
      </c>
      <c r="N95" s="40"/>
      <c r="O95" s="204"/>
      <c r="P95" s="322"/>
      <c r="Q95" s="118" t="s">
        <v>2584</v>
      </c>
      <c r="R95" s="324"/>
      <c r="S95" s="325"/>
      <c r="T95" s="145"/>
      <c r="U95" s="118" t="s">
        <v>53</v>
      </c>
      <c r="V95" s="323"/>
      <c r="W95" s="323"/>
      <c r="X95" s="323"/>
      <c r="Y95" s="145"/>
    </row>
    <row r="96">
      <c r="A96" s="118" t="s">
        <v>2622</v>
      </c>
      <c r="B96" s="118" t="s">
        <v>2600</v>
      </c>
      <c r="C96" s="23" t="s">
        <v>332</v>
      </c>
      <c r="D96" s="118" t="s">
        <v>103</v>
      </c>
      <c r="E96" s="118" t="s">
        <v>2789</v>
      </c>
      <c r="F96" s="118" t="s">
        <v>2870</v>
      </c>
      <c r="G96" s="323"/>
      <c r="H96" s="145"/>
      <c r="I96" s="328">
        <v>249999.0</v>
      </c>
      <c r="J96" s="329">
        <v>46174.0</v>
      </c>
      <c r="K96" s="329">
        <v>46357.0</v>
      </c>
      <c r="L96" s="165">
        <v>46162.0</v>
      </c>
      <c r="M96" s="31">
        <v>0.03</v>
      </c>
      <c r="N96" s="330" t="s">
        <v>2871</v>
      </c>
      <c r="O96" s="204"/>
      <c r="P96" s="322">
        <v>1345.0</v>
      </c>
      <c r="Q96" s="323"/>
      <c r="R96" s="324"/>
      <c r="S96" s="325"/>
      <c r="T96" s="145"/>
      <c r="U96" s="118" t="s">
        <v>53</v>
      </c>
      <c r="V96" s="118" t="s">
        <v>2872</v>
      </c>
      <c r="W96" s="118" t="s">
        <v>2873</v>
      </c>
      <c r="X96" s="118" t="s">
        <v>2874</v>
      </c>
      <c r="Y96" s="145"/>
    </row>
    <row r="97">
      <c r="A97" s="118" t="s">
        <v>2622</v>
      </c>
      <c r="B97" s="118" t="s">
        <v>2600</v>
      </c>
      <c r="C97" s="23" t="s">
        <v>117</v>
      </c>
      <c r="D97" s="118" t="s">
        <v>103</v>
      </c>
      <c r="E97" s="118" t="s">
        <v>2789</v>
      </c>
      <c r="F97" s="118" t="s">
        <v>2875</v>
      </c>
      <c r="G97" s="323"/>
      <c r="H97" s="145"/>
      <c r="I97" s="328">
        <v>599999.0</v>
      </c>
      <c r="J97" s="329">
        <v>46182.0</v>
      </c>
      <c r="K97" s="329">
        <v>46365.0</v>
      </c>
      <c r="L97" s="165">
        <v>46177.0</v>
      </c>
      <c r="M97" s="31">
        <v>0.02</v>
      </c>
      <c r="N97" s="40"/>
      <c r="O97" s="204"/>
      <c r="P97" s="322">
        <v>1345.0</v>
      </c>
      <c r="Q97" s="323"/>
      <c r="R97" s="324"/>
      <c r="S97" s="325"/>
      <c r="T97" s="145"/>
      <c r="U97" s="118" t="s">
        <v>53</v>
      </c>
      <c r="V97" s="118" t="s">
        <v>2876</v>
      </c>
      <c r="W97" s="118" t="s">
        <v>2877</v>
      </c>
      <c r="X97" s="118" t="s">
        <v>2878</v>
      </c>
      <c r="Y97" s="145"/>
    </row>
    <row r="98">
      <c r="A98" s="118" t="s">
        <v>2622</v>
      </c>
      <c r="B98" s="118" t="s">
        <v>2584</v>
      </c>
      <c r="C98" s="23" t="s">
        <v>542</v>
      </c>
      <c r="D98" s="118" t="s">
        <v>54</v>
      </c>
      <c r="E98" s="118" t="s">
        <v>2789</v>
      </c>
      <c r="F98" s="118" t="s">
        <v>2879</v>
      </c>
      <c r="G98" s="323"/>
      <c r="H98" s="145"/>
      <c r="I98" s="328">
        <v>30000.0</v>
      </c>
      <c r="J98" s="329">
        <v>46182.0</v>
      </c>
      <c r="K98" s="329">
        <v>46547.0</v>
      </c>
      <c r="L98" s="165">
        <v>46185.0</v>
      </c>
      <c r="M98" s="118">
        <v>4000.0</v>
      </c>
      <c r="N98" s="40"/>
      <c r="O98" s="204"/>
      <c r="P98" s="322"/>
      <c r="Q98" s="323"/>
      <c r="R98" s="324"/>
      <c r="S98" s="325"/>
      <c r="T98" s="145"/>
      <c r="U98" s="323"/>
      <c r="V98" s="323"/>
      <c r="W98" s="323"/>
      <c r="X98" s="323"/>
      <c r="Y98" s="145"/>
    </row>
    <row r="99">
      <c r="A99" s="323"/>
      <c r="B99" s="323"/>
      <c r="C99" s="23"/>
      <c r="D99" s="323"/>
      <c r="E99" s="323"/>
      <c r="F99" s="323"/>
      <c r="G99" s="323"/>
      <c r="H99" s="145"/>
      <c r="I99" s="338"/>
      <c r="J99" s="334"/>
      <c r="K99" s="334"/>
      <c r="L99" s="164"/>
      <c r="M99" s="51"/>
      <c r="N99" s="40"/>
      <c r="O99" s="204"/>
      <c r="P99" s="322"/>
      <c r="Q99" s="323"/>
      <c r="R99" s="324"/>
      <c r="S99" s="325"/>
      <c r="T99" s="145"/>
      <c r="U99" s="323"/>
      <c r="V99" s="323"/>
      <c r="W99" s="323"/>
      <c r="X99" s="323"/>
      <c r="Y99" s="145"/>
    </row>
    <row r="100">
      <c r="A100" s="323"/>
      <c r="B100" s="323"/>
      <c r="C100" s="23"/>
      <c r="D100" s="323"/>
      <c r="E100" s="323"/>
      <c r="F100" s="323"/>
      <c r="G100" s="323"/>
      <c r="H100" s="145"/>
      <c r="I100" s="338"/>
      <c r="J100" s="334"/>
      <c r="K100" s="334"/>
      <c r="L100" s="164"/>
      <c r="M100" s="51"/>
      <c r="N100" s="40"/>
      <c r="O100" s="204"/>
      <c r="P100" s="322"/>
      <c r="Q100" s="323"/>
      <c r="R100" s="324"/>
      <c r="S100" s="325"/>
      <c r="T100" s="145"/>
      <c r="U100" s="323"/>
      <c r="V100" s="323"/>
      <c r="W100" s="323"/>
      <c r="X100" s="323"/>
      <c r="Y100" s="145"/>
    </row>
    <row r="101">
      <c r="A101" s="323"/>
      <c r="B101" s="323"/>
      <c r="C101" s="23"/>
      <c r="D101" s="323"/>
      <c r="E101" s="323"/>
      <c r="F101" s="323"/>
      <c r="G101" s="323"/>
      <c r="H101" s="145"/>
      <c r="I101" s="338"/>
      <c r="J101" s="334"/>
      <c r="K101" s="334"/>
      <c r="L101" s="164"/>
      <c r="M101" s="51"/>
      <c r="N101" s="40"/>
      <c r="O101" s="204"/>
      <c r="P101" s="322"/>
      <c r="Q101" s="323"/>
      <c r="R101" s="324"/>
      <c r="S101" s="325"/>
      <c r="T101" s="145"/>
      <c r="U101" s="323"/>
      <c r="V101" s="323"/>
      <c r="W101" s="323"/>
      <c r="X101" s="323"/>
      <c r="Y101" s="145"/>
    </row>
    <row r="102">
      <c r="A102" s="323"/>
      <c r="B102" s="323"/>
      <c r="C102" s="23"/>
      <c r="D102" s="323"/>
      <c r="E102" s="323"/>
      <c r="F102" s="323"/>
      <c r="G102" s="323"/>
      <c r="H102" s="145"/>
      <c r="I102" s="338"/>
      <c r="J102" s="334"/>
      <c r="K102" s="334"/>
      <c r="L102" s="164"/>
      <c r="M102" s="51"/>
      <c r="N102" s="40"/>
      <c r="O102" s="204"/>
      <c r="P102" s="322"/>
      <c r="Q102" s="323"/>
      <c r="R102" s="324"/>
      <c r="S102" s="325"/>
      <c r="T102" s="145"/>
      <c r="U102" s="323"/>
      <c r="V102" s="323"/>
      <c r="W102" s="323"/>
      <c r="X102" s="323"/>
      <c r="Y102" s="145"/>
    </row>
    <row r="103">
      <c r="A103" s="323"/>
      <c r="B103" s="323"/>
      <c r="C103" s="23"/>
      <c r="D103" s="323"/>
      <c r="E103" s="323"/>
      <c r="F103" s="323"/>
      <c r="G103" s="323"/>
      <c r="H103" s="145"/>
      <c r="I103" s="338"/>
      <c r="J103" s="334"/>
      <c r="K103" s="334"/>
      <c r="L103" s="164"/>
      <c r="M103" s="51"/>
      <c r="N103" s="40"/>
      <c r="O103" s="204"/>
      <c r="P103" s="322"/>
      <c r="Q103" s="323"/>
      <c r="R103" s="324"/>
      <c r="S103" s="325"/>
      <c r="T103" s="145"/>
      <c r="U103" s="323"/>
      <c r="V103" s="323"/>
      <c r="W103" s="323"/>
      <c r="X103" s="323"/>
      <c r="Y103" s="145"/>
    </row>
    <row r="104">
      <c r="A104" s="323"/>
      <c r="B104" s="323"/>
      <c r="C104" s="23"/>
      <c r="D104" s="323"/>
      <c r="E104" s="323"/>
      <c r="F104" s="323"/>
      <c r="G104" s="323"/>
      <c r="H104" s="145"/>
      <c r="I104" s="338"/>
      <c r="J104" s="334"/>
      <c r="K104" s="334"/>
      <c r="L104" s="164"/>
      <c r="M104" s="51"/>
      <c r="N104" s="40"/>
      <c r="O104" s="204"/>
      <c r="P104" s="322"/>
      <c r="Q104" s="323"/>
      <c r="R104" s="324"/>
      <c r="S104" s="325"/>
      <c r="T104" s="145"/>
      <c r="U104" s="323"/>
      <c r="V104" s="323"/>
      <c r="W104" s="323"/>
      <c r="X104" s="323"/>
      <c r="Y104" s="145"/>
    </row>
    <row r="105">
      <c r="A105" s="323"/>
      <c r="B105" s="323"/>
      <c r="C105" s="23"/>
      <c r="D105" s="323"/>
      <c r="E105" s="323"/>
      <c r="F105" s="323"/>
      <c r="G105" s="323"/>
      <c r="H105" s="145"/>
      <c r="I105" s="338"/>
      <c r="J105" s="334"/>
      <c r="K105" s="334"/>
      <c r="L105" s="164"/>
      <c r="M105" s="51"/>
      <c r="N105" s="40"/>
      <c r="O105" s="204"/>
      <c r="P105" s="322"/>
      <c r="Q105" s="323"/>
      <c r="R105" s="324"/>
      <c r="S105" s="325"/>
      <c r="T105" s="145"/>
      <c r="U105" s="323"/>
      <c r="V105" s="323"/>
      <c r="W105" s="323"/>
      <c r="X105" s="323"/>
      <c r="Y105" s="145"/>
    </row>
    <row r="106">
      <c r="A106" s="323"/>
      <c r="B106" s="323"/>
      <c r="C106" s="23"/>
      <c r="D106" s="323"/>
      <c r="E106" s="323"/>
      <c r="F106" s="323"/>
      <c r="G106" s="323"/>
      <c r="H106" s="145"/>
      <c r="I106" s="338"/>
      <c r="J106" s="334"/>
      <c r="K106" s="334"/>
      <c r="L106" s="164"/>
      <c r="M106" s="51"/>
      <c r="N106" s="40"/>
      <c r="O106" s="204"/>
      <c r="P106" s="322"/>
      <c r="Q106" s="323"/>
      <c r="R106" s="324"/>
      <c r="S106" s="325"/>
      <c r="T106" s="145"/>
      <c r="U106" s="323"/>
      <c r="V106" s="323"/>
      <c r="W106" s="323"/>
      <c r="X106" s="323"/>
      <c r="Y106" s="145"/>
    </row>
    <row r="107">
      <c r="A107" s="323"/>
      <c r="B107" s="323"/>
      <c r="C107" s="23"/>
      <c r="D107" s="323"/>
      <c r="E107" s="323"/>
      <c r="F107" s="323"/>
      <c r="G107" s="323"/>
      <c r="H107" s="145"/>
      <c r="I107" s="338"/>
      <c r="J107" s="334"/>
      <c r="K107" s="334"/>
      <c r="L107" s="164"/>
      <c r="M107" s="51"/>
      <c r="N107" s="40"/>
      <c r="O107" s="204"/>
      <c r="P107" s="322"/>
      <c r="Q107" s="323"/>
      <c r="R107" s="324"/>
      <c r="S107" s="325"/>
      <c r="T107" s="145"/>
      <c r="U107" s="323"/>
      <c r="V107" s="323"/>
      <c r="W107" s="323"/>
      <c r="X107" s="323"/>
      <c r="Y107" s="145"/>
    </row>
    <row r="108">
      <c r="A108" s="323"/>
      <c r="B108" s="323"/>
      <c r="C108" s="23"/>
      <c r="D108" s="323"/>
      <c r="E108" s="323"/>
      <c r="F108" s="323"/>
      <c r="G108" s="323"/>
      <c r="H108" s="145"/>
      <c r="I108" s="338"/>
      <c r="J108" s="334"/>
      <c r="K108" s="334"/>
      <c r="L108" s="164"/>
      <c r="M108" s="51"/>
      <c r="N108" s="40"/>
      <c r="O108" s="204"/>
      <c r="P108" s="322"/>
      <c r="Q108" s="323"/>
      <c r="R108" s="324"/>
      <c r="S108" s="325"/>
      <c r="T108" s="145"/>
      <c r="U108" s="323"/>
      <c r="V108" s="323"/>
      <c r="W108" s="323"/>
      <c r="X108" s="323"/>
      <c r="Y108" s="145"/>
    </row>
    <row r="109">
      <c r="A109" s="323"/>
      <c r="B109" s="323"/>
      <c r="C109" s="23"/>
      <c r="D109" s="323"/>
      <c r="E109" s="323"/>
      <c r="F109" s="323"/>
      <c r="G109" s="323"/>
      <c r="H109" s="145"/>
      <c r="I109" s="338"/>
      <c r="J109" s="334"/>
      <c r="K109" s="334"/>
      <c r="L109" s="164"/>
      <c r="M109" s="51"/>
      <c r="N109" s="40"/>
      <c r="O109" s="204"/>
      <c r="P109" s="322"/>
      <c r="Q109" s="323"/>
      <c r="R109" s="324"/>
      <c r="S109" s="325"/>
      <c r="T109" s="145"/>
      <c r="U109" s="323"/>
      <c r="V109" s="323"/>
      <c r="W109" s="323"/>
      <c r="X109" s="323"/>
      <c r="Y109" s="145"/>
    </row>
    <row r="110">
      <c r="A110" s="323"/>
      <c r="B110" s="323"/>
      <c r="C110" s="23"/>
      <c r="D110" s="323"/>
      <c r="E110" s="323"/>
      <c r="F110" s="323"/>
      <c r="G110" s="323"/>
      <c r="H110" s="145"/>
      <c r="I110" s="338"/>
      <c r="J110" s="334"/>
      <c r="K110" s="334"/>
      <c r="L110" s="164"/>
      <c r="M110" s="51"/>
      <c r="N110" s="40"/>
      <c r="O110" s="204"/>
      <c r="P110" s="322"/>
      <c r="Q110" s="323"/>
      <c r="R110" s="324"/>
      <c r="S110" s="325"/>
      <c r="T110" s="145"/>
      <c r="U110" s="323"/>
      <c r="V110" s="323"/>
      <c r="W110" s="323"/>
      <c r="X110" s="323"/>
      <c r="Y110" s="145"/>
    </row>
    <row r="111">
      <c r="A111" s="323"/>
      <c r="B111" s="323"/>
      <c r="C111" s="23"/>
      <c r="D111" s="323"/>
      <c r="E111" s="323"/>
      <c r="F111" s="323"/>
      <c r="G111" s="323"/>
      <c r="H111" s="145"/>
      <c r="I111" s="338"/>
      <c r="J111" s="334"/>
      <c r="K111" s="334"/>
      <c r="L111" s="164"/>
      <c r="M111" s="51"/>
      <c r="N111" s="40"/>
      <c r="O111" s="204"/>
      <c r="P111" s="322"/>
      <c r="Q111" s="323"/>
      <c r="R111" s="324"/>
      <c r="S111" s="325"/>
      <c r="T111" s="145"/>
      <c r="U111" s="323"/>
      <c r="V111" s="323"/>
      <c r="W111" s="323"/>
      <c r="X111" s="323"/>
      <c r="Y111" s="145"/>
    </row>
    <row r="112">
      <c r="A112" s="323"/>
      <c r="B112" s="323"/>
      <c r="C112" s="23"/>
      <c r="D112" s="323"/>
      <c r="E112" s="323"/>
      <c r="F112" s="323"/>
      <c r="G112" s="323"/>
      <c r="H112" s="145"/>
      <c r="I112" s="338"/>
      <c r="J112" s="334"/>
      <c r="K112" s="334"/>
      <c r="L112" s="164"/>
      <c r="M112" s="51"/>
      <c r="N112" s="40"/>
      <c r="O112" s="204"/>
      <c r="P112" s="322"/>
      <c r="Q112" s="323"/>
      <c r="R112" s="324"/>
      <c r="S112" s="325"/>
      <c r="T112" s="145"/>
      <c r="U112" s="323"/>
      <c r="V112" s="323"/>
      <c r="W112" s="323"/>
      <c r="X112" s="323"/>
      <c r="Y112" s="145"/>
    </row>
    <row r="113">
      <c r="A113" s="323"/>
      <c r="B113" s="323"/>
      <c r="C113" s="23"/>
      <c r="D113" s="323"/>
      <c r="E113" s="323"/>
      <c r="F113" s="323"/>
      <c r="G113" s="323"/>
      <c r="H113" s="145"/>
      <c r="I113" s="338"/>
      <c r="J113" s="334"/>
      <c r="K113" s="334"/>
      <c r="L113" s="164"/>
      <c r="M113" s="51"/>
      <c r="N113" s="40"/>
      <c r="O113" s="204"/>
      <c r="P113" s="322"/>
      <c r="Q113" s="323"/>
      <c r="R113" s="324"/>
      <c r="S113" s="325"/>
      <c r="T113" s="145"/>
      <c r="U113" s="323"/>
      <c r="V113" s="323"/>
      <c r="W113" s="323"/>
      <c r="X113" s="323"/>
      <c r="Y113" s="145"/>
    </row>
    <row r="114">
      <c r="A114" s="323"/>
      <c r="B114" s="323"/>
      <c r="C114" s="23"/>
      <c r="D114" s="323"/>
      <c r="E114" s="323"/>
      <c r="F114" s="323"/>
      <c r="G114" s="323"/>
      <c r="H114" s="145"/>
      <c r="I114" s="338"/>
      <c r="J114" s="334"/>
      <c r="K114" s="334"/>
      <c r="L114" s="164"/>
      <c r="M114" s="51"/>
      <c r="N114" s="40"/>
      <c r="O114" s="204"/>
      <c r="P114" s="322"/>
      <c r="Q114" s="323"/>
      <c r="R114" s="324"/>
      <c r="S114" s="325"/>
      <c r="T114" s="145"/>
      <c r="U114" s="323"/>
      <c r="V114" s="323"/>
      <c r="W114" s="323"/>
      <c r="X114" s="323"/>
      <c r="Y114" s="145"/>
    </row>
    <row r="115">
      <c r="A115" s="323"/>
      <c r="B115" s="323"/>
      <c r="C115" s="23"/>
      <c r="D115" s="323"/>
      <c r="E115" s="323"/>
      <c r="F115" s="323"/>
      <c r="G115" s="323"/>
      <c r="H115" s="145"/>
      <c r="I115" s="338"/>
      <c r="J115" s="334"/>
      <c r="K115" s="334"/>
      <c r="L115" s="164"/>
      <c r="M115" s="51"/>
      <c r="N115" s="40"/>
      <c r="O115" s="204"/>
      <c r="P115" s="322"/>
      <c r="Q115" s="323"/>
      <c r="R115" s="324"/>
      <c r="S115" s="325"/>
      <c r="T115" s="145"/>
      <c r="U115" s="323"/>
      <c r="V115" s="323"/>
      <c r="W115" s="323"/>
      <c r="X115" s="323"/>
      <c r="Y115" s="145"/>
    </row>
    <row r="116">
      <c r="A116" s="323"/>
      <c r="B116" s="323"/>
      <c r="C116" s="23"/>
      <c r="D116" s="323"/>
      <c r="E116" s="323"/>
      <c r="F116" s="323"/>
      <c r="G116" s="323"/>
      <c r="H116" s="145"/>
      <c r="I116" s="338"/>
      <c r="J116" s="334"/>
      <c r="K116" s="334"/>
      <c r="L116" s="164"/>
      <c r="M116" s="51"/>
      <c r="N116" s="40"/>
      <c r="O116" s="204"/>
      <c r="P116" s="322"/>
      <c r="Q116" s="323"/>
      <c r="R116" s="324"/>
      <c r="S116" s="325"/>
      <c r="T116" s="145"/>
      <c r="U116" s="323"/>
      <c r="V116" s="323"/>
      <c r="W116" s="323"/>
      <c r="X116" s="323"/>
      <c r="Y116" s="145"/>
    </row>
  </sheetData>
  <mergeCells count="2">
    <mergeCell ref="I1:M1"/>
    <mergeCell ref="U1:V1"/>
  </mergeCells>
  <conditionalFormatting sqref="K3:K25">
    <cfRule type="colorScale" priority="1">
      <colorScale>
        <cfvo type="min"/>
        <cfvo type="formula" val="45998"/>
        <cfvo type="max"/>
        <color rgb="FFE67C73"/>
        <color rgb="FFFFD666"/>
        <color rgb="FF57BB8A"/>
      </colorScale>
    </cfRule>
  </conditionalFormatting>
  <dataValidations>
    <dataValidation type="list" allowBlank="1" sqref="D3:D116">
      <formula1>"Alexis,Kenia,Outside"</formula1>
    </dataValidation>
    <dataValidation type="list" allowBlank="1" showErrorMessage="1" sqref="A3:A116">
      <formula1>"Add-On,No,Subscription,n/a"</formula1>
    </dataValidation>
    <dataValidation type="list" allowBlank="1" showErrorMessage="1" sqref="B3:B116">
      <formula1>"Yes,No,Purchased"</formula1>
    </dataValidation>
    <dataValidation type="list" allowBlank="1" sqref="E3:E5 E11 E20 E26 E39 E49 E58:E59 E75:E76 E84">
      <formula1>"Active,Active Under Contract,Cancelled,Closed,Coming Soon,Expired,Hold,Pending,WFL (N),WFL (Y),Signed RLA,Transferred,Lease,Upcoming"</formula1>
    </dataValidation>
    <dataValidation type="list" allowBlank="1" sqref="Q3:Q116">
      <formula1>"Ordered,No,N/A (Land),Outside"</formula1>
    </dataValidation>
    <dataValidation type="list" allowBlank="1" sqref="C21">
      <formula1>"Alicia Good,Alexandra Haro,Alexis Cassidy,Blake Cory,Bridget Sisco,Cheryl Shaw,Dana Garcia,Edward Kaveney ""Eddie"",George Folia,Jeff Cuttingham,Jenna Melendez,Joe Rodriguez,Kendra Jo Harlan,Kiona Grantham,Larry Randolph,Mario Muñoz,Michael Wickam,Melissa"&amp;" Mantz,Myrna Peterson,Nate Bunnell,Nicole Shettleroe,Rachele Lacey,Richard Luizzi,Robin Tapia,Ron Prunty,Ronda Bryce,Spencer Salter,Rosalina Williams "</formula1>
    </dataValidation>
    <dataValidation type="list" allowBlank="1" sqref="M3:M116">
      <formula1>"0.00%,1.00%,1.50%,2.00%,2.25%,2.50%,3.00%,3.50%,4.00%,4.50%,5.00%,5.50%,6.00%,6.50%,7.00%,7.50%,$100,$500,$589,See Notes"</formula1>
    </dataValidation>
    <dataValidation type="list" allowBlank="1" showErrorMessage="1" sqref="G6:G10 G12:G19 G21:G25 G27:G38 G40:G48 G50:G57 G60:G74 G77:G83 G85:G116">
      <formula1>"Up Rqst,Up,Down Rqst,No Sign Allowed,No Sign Order,Removed"</formula1>
    </dataValidation>
    <dataValidation type="list" allowBlank="1" sqref="O3:O116">
      <formula1>"Pipeline,Payoff Demand Sent"</formula1>
    </dataValidation>
    <dataValidation type="list" allowBlank="1" sqref="C3:C5 C8:C11 C13:C20 C26:C27 C29:C33 C35 C37:C39 C41:C42 C44 C46:C49 C51:C54 C58:C59 C61:C63 C65:C66 C70:C77 C82:C84 C86 C89:C116">
      <formula1>"Alicia Good,Alexandra Haro,Alexis Cassidy,Blake Cory,Bridget Sisco,Cheree Moore-Zarty,Cheryl Shaw,Dana Garcia,Diane Caddy,Eddie Kaveney,Isy Ota-Oro,Jenna Melendez,Joe Rodriguez,Kay Patel,Kendra Jo Harlan,Kiona Grantham,Larry Randolph,Mario Muñoz,Martin Go"&amp;"mez,Michael Wickam,Melissa Mantz,Mercedes Torres,Myrna Peterson,Nate Bunnell,Nicole Shettleroe,Nilska ""Nelly"" Guerrero,Rachele Lacey,Renée Keeling,Richard Luizzi,Robin Tapia,Ron Prunty,Ronda Bryce,Rosalina Williams,Stephanie Casados,Spencer Salter ,Tyle"&amp;"r Bernetskie"</formula1>
    </dataValidation>
    <dataValidation type="list" allowBlank="1" sqref="E6:E10 E12:E19 E21:E25 E27:E38 E40:E48 E50:E57 E60:E74 E77:E83 E85:E116">
      <formula1>"Active,Active Under Contract,Cancelled,Closed,Coming Soon,Expired,Hold,Lease,Pending,Signed RLA,Upcoming,z.Agent HFL (Y),z.Agent HFL (N)"</formula1>
    </dataValidation>
    <dataValidation type="list" allowBlank="1" sqref="C6:C7 C12 C22:C25 C28 C34 C36 C40 C43 C45 C50 C55:C57 C60 C64 C67:C69 C79:C81 C85 C87:C88">
      <formula1>"Alicia Good,Alexandra Haro,Alexis Cassidy,Blake Cory,Bridget Sisco,Cavin Quintanillla,Cheryl Shaw,Dana Garcia,Diane Caddy,Edward Kaveney ""Eddie"",George Folia,Isy Ota-Oro,Jeff Cuttingham,Jenna Melendez,Jessica Cano,Joe Rodriguez,Kendra Jo Harlan,Kiona Gr"&amp;"antham,Larry Randolph,Mario Muñoz,Michael Wickam,Melissa Mantz,Myrna Peterson,Nate Bunnell,Nicole Shettleroe,Rachele Lacey,Richard Luizzi,Robin Tapia,Ron Prunty,Ronda Bryce,Spencer Salter,Carmen Avalos,Parisa Shamlou,Rosalina Williams "</formula1>
    </dataValidation>
    <dataValidation type="list" allowBlank="1" showErrorMessage="1" sqref="G3:G5 G11 G20 G26 G39 G49 G58:G59 G75:G76 G84">
      <formula1>"Up Rqst,Up,Down Rqst,No Sign Allowed,No Sign Order,Removed,Outside"</formula1>
    </dataValidation>
    <dataValidation type="list" allowBlank="1" sqref="C78">
      <formula1>"Alicia Good,Alexandra Haro,Alexis Cassidy,Blake Cory,Bridget Sisco,Cheryl Shaw,Dana Garcia,Edward Kaveney ""Eddie"",George Folia,Jeff Cuttingham,Jenna Melendez,Joe Rodriguez,Kendra Jo Harlan,Kiona Grantham,Larry Randolph,Mario Muñoz,Michael Wickam,Melissa"&amp;" Mantz,Myrna Peterson,Nate Bunnell,Nicole Shettleroe,Rachele Lacey,Richard Luizzi,Robin Tapia,Ron Prunty,Ronda Bryce,Spencer Salter,Diane Caddy,Jeff Cottingham"</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63"/>
    <col customWidth="1" min="4" max="4" width="18.88"/>
    <col customWidth="1" min="6" max="6" width="15.75"/>
    <col customWidth="1" min="7" max="7" width="45.75"/>
    <col customWidth="1" min="9" max="9" width="2.0"/>
    <col customWidth="1" min="21" max="21" width="2.0"/>
    <col customWidth="1" min="22" max="25" width="35.13"/>
    <col customWidth="1" min="26" max="26" width="2.0"/>
  </cols>
  <sheetData>
    <row r="1" ht="37.5" customHeight="1">
      <c r="A1" s="295"/>
      <c r="B1" s="295"/>
      <c r="C1" s="295"/>
      <c r="D1" s="296"/>
      <c r="E1" s="296"/>
      <c r="F1" s="297"/>
      <c r="G1" s="297" t="s">
        <v>2561</v>
      </c>
      <c r="H1" s="296"/>
      <c r="I1" s="145"/>
      <c r="J1" s="298" t="s">
        <v>2562</v>
      </c>
      <c r="O1" s="299"/>
      <c r="P1" s="300"/>
      <c r="Q1" s="301"/>
      <c r="R1" s="299"/>
      <c r="S1" s="301"/>
      <c r="T1" s="301"/>
      <c r="U1" s="145"/>
      <c r="V1" s="302" t="s">
        <v>2563</v>
      </c>
      <c r="X1" s="303"/>
      <c r="Y1" s="303"/>
      <c r="Z1" s="145"/>
    </row>
    <row r="2">
      <c r="A2" s="339" t="s">
        <v>2175</v>
      </c>
      <c r="B2" s="304" t="s">
        <v>2564</v>
      </c>
      <c r="C2" s="305" t="s">
        <v>2565</v>
      </c>
      <c r="D2" s="306" t="s">
        <v>2566</v>
      </c>
      <c r="E2" s="306" t="s">
        <v>10</v>
      </c>
      <c r="F2" s="307" t="s">
        <v>2567</v>
      </c>
      <c r="G2" s="307" t="s">
        <v>2568</v>
      </c>
      <c r="H2" s="307" t="s">
        <v>2569</v>
      </c>
      <c r="I2" s="308"/>
      <c r="J2" s="309" t="s">
        <v>2570</v>
      </c>
      <c r="K2" s="310" t="s">
        <v>2571</v>
      </c>
      <c r="L2" s="310" t="s">
        <v>2572</v>
      </c>
      <c r="M2" s="311" t="s">
        <v>2573</v>
      </c>
      <c r="N2" s="312" t="s">
        <v>2574</v>
      </c>
      <c r="O2" s="313" t="s">
        <v>42</v>
      </c>
      <c r="P2" s="309" t="s">
        <v>37</v>
      </c>
      <c r="Q2" s="314" t="s">
        <v>2575</v>
      </c>
      <c r="R2" s="314" t="s">
        <v>2576</v>
      </c>
      <c r="S2" s="315" t="s">
        <v>2577</v>
      </c>
      <c r="T2" s="315" t="s">
        <v>2578</v>
      </c>
      <c r="U2" s="308"/>
      <c r="V2" s="316" t="s">
        <v>2579</v>
      </c>
      <c r="W2" s="317" t="s">
        <v>2580</v>
      </c>
      <c r="X2" s="318" t="s">
        <v>2581</v>
      </c>
      <c r="Y2" s="319" t="s">
        <v>2582</v>
      </c>
      <c r="Z2" s="308"/>
    </row>
    <row r="3">
      <c r="A3" s="118" t="s">
        <v>2880</v>
      </c>
      <c r="B3" s="118" t="s">
        <v>2600</v>
      </c>
      <c r="C3" s="185" t="s">
        <v>2600</v>
      </c>
      <c r="D3" s="23" t="s">
        <v>633</v>
      </c>
      <c r="E3" s="185" t="s">
        <v>103</v>
      </c>
      <c r="F3" s="340" t="s">
        <v>2881</v>
      </c>
      <c r="G3" s="23" t="s">
        <v>2882</v>
      </c>
      <c r="H3" s="185" t="s">
        <v>2883</v>
      </c>
      <c r="I3" s="145"/>
      <c r="J3" s="320">
        <v>449999.0</v>
      </c>
      <c r="K3" s="60">
        <v>45968.0</v>
      </c>
      <c r="L3" s="60">
        <v>46149.0</v>
      </c>
      <c r="M3" s="164"/>
      <c r="N3" s="321">
        <v>0.02</v>
      </c>
      <c r="O3" s="34" t="s">
        <v>684</v>
      </c>
      <c r="P3" s="204"/>
      <c r="Q3" s="322">
        <v>695.0</v>
      </c>
      <c r="R3" s="323" t="s">
        <v>2588</v>
      </c>
      <c r="S3" s="324"/>
      <c r="T3" s="325"/>
      <c r="U3" s="145"/>
      <c r="V3" s="37" t="s">
        <v>53</v>
      </c>
      <c r="W3" s="37" t="s">
        <v>2884</v>
      </c>
      <c r="X3" s="37" t="s">
        <v>2885</v>
      </c>
      <c r="Y3" s="37" t="s">
        <v>2886</v>
      </c>
      <c r="Z3" s="145"/>
    </row>
    <row r="4">
      <c r="A4" s="116"/>
      <c r="B4" s="118" t="s">
        <v>2600</v>
      </c>
      <c r="C4" s="185" t="s">
        <v>2600</v>
      </c>
      <c r="D4" s="23" t="s">
        <v>399</v>
      </c>
      <c r="E4" s="185" t="s">
        <v>103</v>
      </c>
      <c r="F4" s="185" t="s">
        <v>2887</v>
      </c>
      <c r="G4" s="23" t="s">
        <v>2888</v>
      </c>
      <c r="H4" s="185" t="s">
        <v>2883</v>
      </c>
      <c r="I4" s="145"/>
      <c r="J4" s="320">
        <v>449999.0</v>
      </c>
      <c r="K4" s="60">
        <v>45974.0</v>
      </c>
      <c r="L4" s="60">
        <v>46155.0</v>
      </c>
      <c r="M4" s="164"/>
      <c r="N4" s="321">
        <v>0.03</v>
      </c>
      <c r="O4" s="34" t="s">
        <v>2602</v>
      </c>
      <c r="P4" s="204"/>
      <c r="Q4" s="322">
        <v>695.0</v>
      </c>
      <c r="R4" s="323" t="s">
        <v>2588</v>
      </c>
      <c r="S4" s="324"/>
      <c r="T4" s="325"/>
      <c r="U4" s="145"/>
      <c r="V4" s="37" t="s">
        <v>53</v>
      </c>
      <c r="W4" s="37" t="s">
        <v>2889</v>
      </c>
      <c r="X4" s="37" t="s">
        <v>2890</v>
      </c>
      <c r="Y4" s="37" t="s">
        <v>2891</v>
      </c>
      <c r="Z4" s="145"/>
    </row>
    <row r="5">
      <c r="A5" s="116"/>
      <c r="B5" s="118" t="s">
        <v>2600</v>
      </c>
      <c r="C5" s="185" t="s">
        <v>2584</v>
      </c>
      <c r="D5" s="23" t="s">
        <v>102</v>
      </c>
      <c r="E5" s="185" t="s">
        <v>103</v>
      </c>
      <c r="F5" s="185" t="s">
        <v>2887</v>
      </c>
      <c r="G5" s="23" t="s">
        <v>2892</v>
      </c>
      <c r="H5" s="185" t="s">
        <v>2671</v>
      </c>
      <c r="I5" s="145"/>
      <c r="J5" s="320">
        <v>549999.0</v>
      </c>
      <c r="K5" s="60">
        <v>45965.0</v>
      </c>
      <c r="L5" s="60">
        <v>46146.0</v>
      </c>
      <c r="M5" s="164"/>
      <c r="N5" s="321">
        <v>0.025</v>
      </c>
      <c r="O5" s="34" t="s">
        <v>2594</v>
      </c>
      <c r="P5" s="204"/>
      <c r="Q5" s="322">
        <v>695.0</v>
      </c>
      <c r="R5" s="323" t="s">
        <v>2584</v>
      </c>
      <c r="S5" s="324"/>
      <c r="T5" s="325"/>
      <c r="U5" s="145"/>
      <c r="V5" s="37" t="s">
        <v>53</v>
      </c>
      <c r="W5" s="37" t="s">
        <v>626</v>
      </c>
      <c r="X5" s="37" t="s">
        <v>627</v>
      </c>
      <c r="Y5" s="37" t="s">
        <v>628</v>
      </c>
      <c r="Z5" s="145"/>
    </row>
    <row r="6">
      <c r="A6" s="323"/>
      <c r="B6" s="118" t="s">
        <v>2600</v>
      </c>
      <c r="C6" s="185" t="s">
        <v>2600</v>
      </c>
      <c r="D6" s="23" t="s">
        <v>646</v>
      </c>
      <c r="E6" s="185" t="s">
        <v>54</v>
      </c>
      <c r="F6" s="185" t="s">
        <v>2887</v>
      </c>
      <c r="G6" s="23" t="s">
        <v>2893</v>
      </c>
      <c r="H6" s="185" t="s">
        <v>2883</v>
      </c>
      <c r="I6" s="145"/>
      <c r="J6" s="320">
        <v>499999.0</v>
      </c>
      <c r="K6" s="241"/>
      <c r="L6" s="241"/>
      <c r="M6" s="164"/>
      <c r="N6" s="321">
        <v>0.03</v>
      </c>
      <c r="O6" s="34" t="s">
        <v>2594</v>
      </c>
      <c r="P6" s="204"/>
      <c r="Q6" s="322">
        <v>0.0</v>
      </c>
      <c r="R6" s="323" t="s">
        <v>2584</v>
      </c>
      <c r="S6" s="324"/>
      <c r="T6" s="325"/>
      <c r="U6" s="145"/>
      <c r="V6" s="37" t="s">
        <v>53</v>
      </c>
      <c r="W6" s="57"/>
      <c r="X6" s="57"/>
      <c r="Y6" s="57"/>
      <c r="Z6" s="145"/>
    </row>
    <row r="7">
      <c r="A7" s="323"/>
      <c r="B7" s="118" t="s">
        <v>2600</v>
      </c>
      <c r="C7" s="185" t="s">
        <v>2584</v>
      </c>
      <c r="D7" s="23" t="s">
        <v>214</v>
      </c>
      <c r="E7" s="185" t="s">
        <v>54</v>
      </c>
      <c r="F7" s="185" t="s">
        <v>2887</v>
      </c>
      <c r="G7" s="23" t="s">
        <v>2894</v>
      </c>
      <c r="H7" s="185" t="s">
        <v>2883</v>
      </c>
      <c r="I7" s="145"/>
      <c r="J7" s="320">
        <v>624999.0</v>
      </c>
      <c r="K7" s="60">
        <v>45954.0</v>
      </c>
      <c r="L7" s="60">
        <v>46136.0</v>
      </c>
      <c r="M7" s="164"/>
      <c r="N7" s="321">
        <v>0.02</v>
      </c>
      <c r="O7" s="34" t="s">
        <v>2594</v>
      </c>
      <c r="P7" s="204"/>
      <c r="Q7" s="322">
        <v>0.0</v>
      </c>
      <c r="R7" s="323" t="s">
        <v>2584</v>
      </c>
      <c r="S7" s="324"/>
      <c r="T7" s="325"/>
      <c r="U7" s="145"/>
      <c r="V7" s="37" t="s">
        <v>53</v>
      </c>
      <c r="W7" s="57"/>
      <c r="X7" s="57"/>
      <c r="Y7" s="57"/>
      <c r="Z7" s="145"/>
    </row>
    <row r="8">
      <c r="A8" s="118" t="s">
        <v>2895</v>
      </c>
      <c r="B8" s="118" t="s">
        <v>2583</v>
      </c>
      <c r="C8" s="185" t="s">
        <v>2584</v>
      </c>
      <c r="D8" s="23" t="s">
        <v>646</v>
      </c>
      <c r="E8" s="185" t="s">
        <v>54</v>
      </c>
      <c r="F8" s="341" t="s">
        <v>2896</v>
      </c>
      <c r="G8" s="326" t="s">
        <v>2897</v>
      </c>
      <c r="H8" s="185" t="s">
        <v>2898</v>
      </c>
      <c r="I8" s="145"/>
      <c r="J8" s="320">
        <v>174999.0</v>
      </c>
      <c r="K8" s="60">
        <v>45799.0</v>
      </c>
      <c r="L8" s="60">
        <v>45983.0</v>
      </c>
      <c r="M8" s="164"/>
      <c r="N8" s="332">
        <v>0.02</v>
      </c>
      <c r="O8" s="34">
        <v>764.4</v>
      </c>
      <c r="P8" s="204"/>
      <c r="Q8" s="322">
        <v>695.0</v>
      </c>
      <c r="R8" s="323" t="s">
        <v>2588</v>
      </c>
      <c r="S8" s="324"/>
      <c r="T8" s="325"/>
      <c r="U8" s="145"/>
      <c r="V8" s="37" t="s">
        <v>53</v>
      </c>
      <c r="W8" s="37" t="s">
        <v>2899</v>
      </c>
      <c r="X8" s="37" t="s">
        <v>2900</v>
      </c>
      <c r="Y8" s="37" t="s">
        <v>2901</v>
      </c>
      <c r="Z8" s="145"/>
    </row>
    <row r="9">
      <c r="A9" s="118" t="s">
        <v>2895</v>
      </c>
      <c r="B9" s="118" t="s">
        <v>2583</v>
      </c>
      <c r="C9" s="185" t="s">
        <v>2600</v>
      </c>
      <c r="D9" s="23" t="s">
        <v>646</v>
      </c>
      <c r="E9" s="185" t="s">
        <v>54</v>
      </c>
      <c r="F9" s="342" t="s">
        <v>2896</v>
      </c>
      <c r="G9" s="326" t="s">
        <v>2902</v>
      </c>
      <c r="H9" s="173" t="s">
        <v>2898</v>
      </c>
      <c r="I9" s="145"/>
      <c r="J9" s="320">
        <v>199999.0</v>
      </c>
      <c r="K9" s="60">
        <v>45729.0</v>
      </c>
      <c r="L9" s="60">
        <v>46022.0</v>
      </c>
      <c r="M9" s="164"/>
      <c r="N9" s="332">
        <v>0.05</v>
      </c>
      <c r="O9" s="34">
        <v>891.19</v>
      </c>
      <c r="P9" s="204"/>
      <c r="Q9" s="322">
        <v>695.0</v>
      </c>
      <c r="R9" s="323" t="s">
        <v>2588</v>
      </c>
      <c r="S9" s="324"/>
      <c r="T9" s="325"/>
      <c r="U9" s="145"/>
      <c r="V9" s="37" t="s">
        <v>53</v>
      </c>
      <c r="W9" s="37" t="s">
        <v>2903</v>
      </c>
      <c r="X9" s="37" t="s">
        <v>2904</v>
      </c>
      <c r="Y9" s="37" t="s">
        <v>2905</v>
      </c>
      <c r="Z9" s="145"/>
    </row>
    <row r="10">
      <c r="A10" s="118" t="s">
        <v>2895</v>
      </c>
      <c r="B10" s="118" t="s">
        <v>2583</v>
      </c>
      <c r="C10" s="185" t="s">
        <v>2584</v>
      </c>
      <c r="D10" s="23" t="s">
        <v>646</v>
      </c>
      <c r="E10" s="185" t="s">
        <v>54</v>
      </c>
      <c r="F10" s="342" t="s">
        <v>2896</v>
      </c>
      <c r="G10" s="326" t="s">
        <v>2906</v>
      </c>
      <c r="H10" s="185" t="s">
        <v>2898</v>
      </c>
      <c r="I10" s="145"/>
      <c r="J10" s="320">
        <v>199999.0</v>
      </c>
      <c r="K10" s="60">
        <v>45795.0</v>
      </c>
      <c r="L10" s="60">
        <v>45979.0</v>
      </c>
      <c r="M10" s="164"/>
      <c r="N10" s="332">
        <v>0.04</v>
      </c>
      <c r="O10" s="34">
        <v>260.0</v>
      </c>
      <c r="P10" s="204"/>
      <c r="Q10" s="322">
        <v>695.0</v>
      </c>
      <c r="R10" s="323" t="s">
        <v>2657</v>
      </c>
      <c r="S10" s="324"/>
      <c r="T10" s="325"/>
      <c r="U10" s="145"/>
      <c r="V10" s="37" t="s">
        <v>53</v>
      </c>
      <c r="W10" s="37" t="s">
        <v>2907</v>
      </c>
      <c r="X10" s="37" t="s">
        <v>2908</v>
      </c>
      <c r="Y10" s="37" t="s">
        <v>2909</v>
      </c>
      <c r="Z10" s="145"/>
    </row>
    <row r="11">
      <c r="A11" s="118" t="s">
        <v>2895</v>
      </c>
      <c r="B11" s="118" t="s">
        <v>2583</v>
      </c>
      <c r="C11" s="185" t="s">
        <v>2600</v>
      </c>
      <c r="D11" s="23" t="s">
        <v>646</v>
      </c>
      <c r="E11" s="185" t="s">
        <v>54</v>
      </c>
      <c r="F11" s="342" t="s">
        <v>2896</v>
      </c>
      <c r="G11" s="326" t="s">
        <v>2823</v>
      </c>
      <c r="H11" s="185"/>
      <c r="I11" s="145"/>
      <c r="J11" s="320">
        <v>124999.0</v>
      </c>
      <c r="K11" s="60">
        <v>45776.0</v>
      </c>
      <c r="L11" s="60">
        <v>45959.0</v>
      </c>
      <c r="M11" s="164"/>
      <c r="N11" s="332">
        <v>0.04</v>
      </c>
      <c r="O11" s="331"/>
      <c r="P11" s="204"/>
      <c r="Q11" s="322">
        <v>695.0</v>
      </c>
      <c r="R11" s="323" t="s">
        <v>2588</v>
      </c>
      <c r="S11" s="324"/>
      <c r="T11" s="325"/>
      <c r="U11" s="145"/>
      <c r="V11" s="37" t="s">
        <v>53</v>
      </c>
      <c r="W11" s="37" t="s">
        <v>2910</v>
      </c>
      <c r="X11" s="37" t="s">
        <v>2911</v>
      </c>
      <c r="Y11" s="37" t="s">
        <v>2912</v>
      </c>
      <c r="Z11" s="145"/>
    </row>
    <row r="12">
      <c r="A12" s="343" t="s">
        <v>2913</v>
      </c>
      <c r="B12" s="118" t="s">
        <v>2622</v>
      </c>
      <c r="C12" s="118" t="s">
        <v>2600</v>
      </c>
      <c r="D12" s="118" t="s">
        <v>159</v>
      </c>
      <c r="E12" s="118" t="s">
        <v>54</v>
      </c>
      <c r="F12" s="344" t="s">
        <v>2881</v>
      </c>
      <c r="G12" s="118" t="s">
        <v>2914</v>
      </c>
      <c r="H12" s="323"/>
      <c r="I12" s="145"/>
      <c r="J12" s="328">
        <v>499999.0</v>
      </c>
      <c r="K12" s="334"/>
      <c r="L12" s="334"/>
      <c r="M12" s="164"/>
      <c r="N12" s="31">
        <v>0.05</v>
      </c>
      <c r="O12" s="40"/>
      <c r="P12" s="204"/>
      <c r="Q12" s="322">
        <v>1500.0</v>
      </c>
      <c r="R12" s="323"/>
      <c r="S12" s="324"/>
      <c r="T12" s="325"/>
      <c r="U12" s="145"/>
      <c r="V12" s="323"/>
      <c r="W12" s="323"/>
      <c r="X12" s="323"/>
      <c r="Y12" s="323"/>
      <c r="Z12" s="145"/>
    </row>
    <row r="13">
      <c r="A13" s="343" t="s">
        <v>2915</v>
      </c>
      <c r="B13" s="118" t="s">
        <v>2583</v>
      </c>
      <c r="C13" s="185" t="s">
        <v>2584</v>
      </c>
      <c r="D13" s="23" t="s">
        <v>139</v>
      </c>
      <c r="E13" s="185" t="s">
        <v>103</v>
      </c>
      <c r="F13" s="340" t="s">
        <v>2881</v>
      </c>
      <c r="G13" s="326" t="s">
        <v>2916</v>
      </c>
      <c r="H13" s="185"/>
      <c r="I13" s="145"/>
      <c r="J13" s="320">
        <v>499999.0</v>
      </c>
      <c r="K13" s="60">
        <v>45884.0</v>
      </c>
      <c r="L13" s="60">
        <v>46069.0</v>
      </c>
      <c r="M13" s="164"/>
      <c r="N13" s="332">
        <v>0.02</v>
      </c>
      <c r="O13" s="331"/>
      <c r="P13" s="204"/>
      <c r="Q13" s="322">
        <v>695.0</v>
      </c>
      <c r="R13" s="323" t="s">
        <v>2588</v>
      </c>
      <c r="S13" s="324"/>
      <c r="T13" s="325"/>
      <c r="U13" s="145"/>
      <c r="V13" s="37" t="s">
        <v>53</v>
      </c>
      <c r="W13" s="37" t="s">
        <v>2917</v>
      </c>
      <c r="X13" s="37" t="s">
        <v>2918</v>
      </c>
      <c r="Y13" s="37" t="s">
        <v>2919</v>
      </c>
      <c r="Z13" s="145"/>
    </row>
    <row r="14">
      <c r="A14" s="345"/>
      <c r="B14" s="118" t="s">
        <v>2583</v>
      </c>
      <c r="C14" s="185" t="s">
        <v>2584</v>
      </c>
      <c r="D14" s="23" t="s">
        <v>399</v>
      </c>
      <c r="E14" s="185" t="s">
        <v>103</v>
      </c>
      <c r="F14" s="185" t="s">
        <v>2887</v>
      </c>
      <c r="G14" s="326" t="s">
        <v>2920</v>
      </c>
      <c r="H14" s="185" t="s">
        <v>2898</v>
      </c>
      <c r="I14" s="145"/>
      <c r="J14" s="320">
        <v>599999.0</v>
      </c>
      <c r="K14" s="346">
        <v>45860.0</v>
      </c>
      <c r="L14" s="60">
        <v>46044.0</v>
      </c>
      <c r="M14" s="164"/>
      <c r="N14" s="332">
        <v>0.03</v>
      </c>
      <c r="O14" s="34">
        <v>476.6</v>
      </c>
      <c r="P14" s="204"/>
      <c r="Q14" s="322">
        <v>695.0</v>
      </c>
      <c r="R14" s="323" t="s">
        <v>2588</v>
      </c>
      <c r="S14" s="324"/>
      <c r="T14" s="325"/>
      <c r="U14" s="145"/>
      <c r="V14" s="37" t="s">
        <v>53</v>
      </c>
      <c r="W14" s="37" t="s">
        <v>2921</v>
      </c>
      <c r="X14" s="37" t="s">
        <v>2922</v>
      </c>
      <c r="Y14" s="37" t="s">
        <v>2923</v>
      </c>
      <c r="Z14" s="145"/>
    </row>
    <row r="15">
      <c r="A15" s="118" t="s">
        <v>2924</v>
      </c>
      <c r="B15" s="118" t="s">
        <v>2592</v>
      </c>
      <c r="C15" s="118" t="s">
        <v>2600</v>
      </c>
      <c r="D15" s="118" t="s">
        <v>646</v>
      </c>
      <c r="E15" s="118" t="s">
        <v>54</v>
      </c>
      <c r="F15" s="344" t="s">
        <v>2881</v>
      </c>
      <c r="G15" s="118" t="s">
        <v>2925</v>
      </c>
      <c r="H15" s="323"/>
      <c r="I15" s="145"/>
      <c r="J15" s="328">
        <v>449999.0</v>
      </c>
      <c r="K15" s="334"/>
      <c r="L15" s="334"/>
      <c r="M15" s="164"/>
      <c r="N15" s="31">
        <v>0.03</v>
      </c>
      <c r="O15" s="40"/>
      <c r="P15" s="204"/>
      <c r="Q15" s="322">
        <v>1350.0</v>
      </c>
      <c r="R15" s="323"/>
      <c r="S15" s="324"/>
      <c r="T15" s="325"/>
      <c r="U15" s="145"/>
      <c r="V15" s="323"/>
      <c r="W15" s="323"/>
      <c r="X15" s="323"/>
      <c r="Y15" s="323"/>
      <c r="Z15" s="145"/>
    </row>
    <row r="16">
      <c r="A16" s="323"/>
      <c r="B16" s="118" t="s">
        <v>2583</v>
      </c>
      <c r="C16" s="185" t="s">
        <v>2584</v>
      </c>
      <c r="D16" s="23" t="s">
        <v>139</v>
      </c>
      <c r="E16" s="185" t="s">
        <v>103</v>
      </c>
      <c r="F16" s="185" t="s">
        <v>2887</v>
      </c>
      <c r="G16" s="23" t="s">
        <v>2926</v>
      </c>
      <c r="H16" s="185" t="s">
        <v>2883</v>
      </c>
      <c r="I16" s="145"/>
      <c r="J16" s="320">
        <v>99999.0</v>
      </c>
      <c r="K16" s="241"/>
      <c r="L16" s="241"/>
      <c r="M16" s="164"/>
      <c r="N16" s="321">
        <v>0.03</v>
      </c>
      <c r="O16" s="34">
        <v>448.7</v>
      </c>
      <c r="P16" s="185"/>
      <c r="Q16" s="322">
        <v>0.0</v>
      </c>
      <c r="R16" s="323" t="s">
        <v>2588</v>
      </c>
      <c r="S16" s="324"/>
      <c r="T16" s="325"/>
      <c r="U16" s="145"/>
      <c r="V16" s="37" t="s">
        <v>53</v>
      </c>
      <c r="W16" s="57"/>
      <c r="X16" s="57"/>
      <c r="Y16" s="57"/>
      <c r="Z16" s="145"/>
    </row>
    <row r="17">
      <c r="A17" s="204"/>
      <c r="B17" s="118" t="s">
        <v>2583</v>
      </c>
      <c r="C17" s="185" t="s">
        <v>2584</v>
      </c>
      <c r="D17" s="23" t="s">
        <v>2747</v>
      </c>
      <c r="E17" s="185" t="s">
        <v>54</v>
      </c>
      <c r="F17" s="342" t="s">
        <v>2896</v>
      </c>
      <c r="G17" s="326" t="s">
        <v>2927</v>
      </c>
      <c r="H17" s="185" t="s">
        <v>2898</v>
      </c>
      <c r="I17" s="145"/>
      <c r="J17" s="320">
        <v>109999.0</v>
      </c>
      <c r="K17" s="60">
        <v>45857.0</v>
      </c>
      <c r="L17" s="60">
        <v>46041.0</v>
      </c>
      <c r="M17" s="164"/>
      <c r="N17" s="332">
        <v>0.04</v>
      </c>
      <c r="O17" s="34">
        <v>314.92</v>
      </c>
      <c r="P17" s="185"/>
      <c r="Q17" s="322">
        <v>695.0</v>
      </c>
      <c r="R17" s="323" t="s">
        <v>2588</v>
      </c>
      <c r="S17" s="324"/>
      <c r="T17" s="325"/>
      <c r="U17" s="145"/>
      <c r="V17" s="37" t="s">
        <v>53</v>
      </c>
      <c r="W17" s="37" t="s">
        <v>2928</v>
      </c>
      <c r="X17" s="37" t="s">
        <v>2240</v>
      </c>
      <c r="Y17" s="37" t="s">
        <v>2241</v>
      </c>
      <c r="Z17" s="145"/>
    </row>
    <row r="18">
      <c r="A18" s="118" t="s">
        <v>2929</v>
      </c>
      <c r="B18" s="118" t="s">
        <v>2592</v>
      </c>
      <c r="C18" s="185"/>
      <c r="D18" s="23" t="s">
        <v>341</v>
      </c>
      <c r="E18" s="185" t="s">
        <v>54</v>
      </c>
      <c r="F18" s="347" t="s">
        <v>2843</v>
      </c>
      <c r="G18" s="23" t="s">
        <v>2712</v>
      </c>
      <c r="H18" s="185"/>
      <c r="I18" s="145"/>
      <c r="J18" s="337"/>
      <c r="K18" s="241"/>
      <c r="L18" s="241"/>
      <c r="M18" s="164"/>
      <c r="N18" s="321"/>
      <c r="O18" s="331"/>
      <c r="P18" s="185"/>
      <c r="Q18" s="322">
        <v>0.0</v>
      </c>
      <c r="R18" s="118" t="s">
        <v>2584</v>
      </c>
      <c r="S18" s="324"/>
      <c r="T18" s="325"/>
      <c r="U18" s="145"/>
      <c r="V18" s="57"/>
      <c r="W18" s="37"/>
      <c r="X18" s="37"/>
      <c r="Y18" s="37"/>
      <c r="Z18" s="145"/>
    </row>
    <row r="19">
      <c r="A19" s="323"/>
      <c r="B19" s="118" t="s">
        <v>2584</v>
      </c>
      <c r="C19" s="185" t="s">
        <v>2584</v>
      </c>
      <c r="D19" s="23" t="s">
        <v>362</v>
      </c>
      <c r="E19" s="185" t="s">
        <v>103</v>
      </c>
      <c r="F19" s="185" t="s">
        <v>2887</v>
      </c>
      <c r="G19" s="23" t="s">
        <v>2930</v>
      </c>
      <c r="H19" s="185"/>
      <c r="I19" s="145"/>
      <c r="J19" s="320">
        <v>249999.0</v>
      </c>
      <c r="K19" s="60">
        <v>45973.0</v>
      </c>
      <c r="L19" s="60">
        <v>46147.0</v>
      </c>
      <c r="M19" s="164"/>
      <c r="N19" s="321">
        <v>0.03</v>
      </c>
      <c r="O19" s="34" t="s">
        <v>2594</v>
      </c>
      <c r="P19" s="185"/>
      <c r="Q19" s="322">
        <v>695.0</v>
      </c>
      <c r="R19" s="323" t="s">
        <v>2584</v>
      </c>
      <c r="S19" s="324"/>
      <c r="T19" s="325"/>
      <c r="U19" s="145"/>
      <c r="V19" s="37" t="s">
        <v>53</v>
      </c>
      <c r="W19" s="37" t="s">
        <v>2931</v>
      </c>
      <c r="X19" s="37" t="s">
        <v>2932</v>
      </c>
      <c r="Y19" s="37" t="s">
        <v>736</v>
      </c>
      <c r="Z19" s="145"/>
    </row>
    <row r="20">
      <c r="A20" s="118" t="s">
        <v>2933</v>
      </c>
      <c r="B20" s="118" t="s">
        <v>2583</v>
      </c>
      <c r="C20" s="185" t="s">
        <v>2584</v>
      </c>
      <c r="D20" s="23" t="s">
        <v>139</v>
      </c>
      <c r="E20" s="185" t="s">
        <v>103</v>
      </c>
      <c r="F20" s="342" t="s">
        <v>2896</v>
      </c>
      <c r="G20" s="326" t="s">
        <v>2934</v>
      </c>
      <c r="H20" s="185"/>
      <c r="I20" s="145"/>
      <c r="J20" s="320">
        <v>499999.0</v>
      </c>
      <c r="K20" s="60">
        <v>45864.0</v>
      </c>
      <c r="L20" s="60">
        <v>46048.0</v>
      </c>
      <c r="M20" s="164"/>
      <c r="N20" s="332">
        <v>0.025</v>
      </c>
      <c r="O20" s="331"/>
      <c r="P20" s="185"/>
      <c r="Q20" s="322">
        <v>695.0</v>
      </c>
      <c r="R20" s="323" t="s">
        <v>2588</v>
      </c>
      <c r="S20" s="324"/>
      <c r="T20" s="325"/>
      <c r="U20" s="145"/>
      <c r="V20" s="37" t="s">
        <v>53</v>
      </c>
      <c r="W20" s="37" t="s">
        <v>2935</v>
      </c>
      <c r="X20" s="37" t="s">
        <v>2936</v>
      </c>
      <c r="Y20" s="37" t="s">
        <v>2937</v>
      </c>
      <c r="Z20" s="145"/>
    </row>
    <row r="21">
      <c r="A21" s="116"/>
      <c r="B21" s="118" t="s">
        <v>2583</v>
      </c>
      <c r="C21" s="185" t="s">
        <v>2600</v>
      </c>
      <c r="D21" s="23" t="s">
        <v>184</v>
      </c>
      <c r="E21" s="185" t="s">
        <v>103</v>
      </c>
      <c r="F21" s="185" t="s">
        <v>2887</v>
      </c>
      <c r="G21" s="326" t="s">
        <v>2938</v>
      </c>
      <c r="H21" s="185" t="s">
        <v>2883</v>
      </c>
      <c r="I21" s="145"/>
      <c r="J21" s="320">
        <v>699999.0</v>
      </c>
      <c r="K21" s="60">
        <v>45931.0</v>
      </c>
      <c r="L21" s="60">
        <v>46113.0</v>
      </c>
      <c r="M21" s="164"/>
      <c r="N21" s="321">
        <v>0.03</v>
      </c>
      <c r="O21" s="34">
        <v>472.45</v>
      </c>
      <c r="P21" s="185"/>
      <c r="Q21" s="322">
        <v>695.0</v>
      </c>
      <c r="R21" s="323" t="s">
        <v>2584</v>
      </c>
      <c r="S21" s="324"/>
      <c r="T21" s="325"/>
      <c r="U21" s="145"/>
      <c r="V21" s="37" t="s">
        <v>53</v>
      </c>
      <c r="W21" s="37" t="s">
        <v>770</v>
      </c>
      <c r="X21" s="37" t="s">
        <v>771</v>
      </c>
      <c r="Y21" s="37" t="s">
        <v>772</v>
      </c>
      <c r="Z21" s="145"/>
    </row>
    <row r="22">
      <c r="A22" s="204"/>
      <c r="B22" s="118" t="s">
        <v>2583</v>
      </c>
      <c r="C22" s="185" t="s">
        <v>2600</v>
      </c>
      <c r="D22" s="23" t="s">
        <v>139</v>
      </c>
      <c r="E22" s="185" t="s">
        <v>54</v>
      </c>
      <c r="F22" s="185" t="s">
        <v>2887</v>
      </c>
      <c r="G22" s="326" t="s">
        <v>2939</v>
      </c>
      <c r="H22" s="185" t="s">
        <v>2898</v>
      </c>
      <c r="I22" s="145"/>
      <c r="J22" s="320">
        <v>999999.0</v>
      </c>
      <c r="K22" s="60">
        <v>45819.0</v>
      </c>
      <c r="L22" s="60">
        <v>46002.0</v>
      </c>
      <c r="M22" s="164"/>
      <c r="N22" s="332">
        <v>0.025</v>
      </c>
      <c r="O22" s="348">
        <v>1095.76</v>
      </c>
      <c r="P22" s="185"/>
      <c r="Q22" s="322">
        <v>695.0</v>
      </c>
      <c r="R22" s="323" t="s">
        <v>2588</v>
      </c>
      <c r="S22" s="324"/>
      <c r="T22" s="325"/>
      <c r="U22" s="145"/>
      <c r="V22" s="37" t="s">
        <v>53</v>
      </c>
      <c r="W22" s="37" t="s">
        <v>778</v>
      </c>
      <c r="X22" s="37" t="s">
        <v>779</v>
      </c>
      <c r="Y22" s="37" t="s">
        <v>780</v>
      </c>
      <c r="Z22" s="145"/>
    </row>
    <row r="23">
      <c r="A23" s="323"/>
      <c r="B23" s="118" t="s">
        <v>2583</v>
      </c>
      <c r="C23" s="118" t="s">
        <v>2584</v>
      </c>
      <c r="D23" s="118" t="s">
        <v>184</v>
      </c>
      <c r="E23" s="118" t="s">
        <v>185</v>
      </c>
      <c r="F23" s="118" t="s">
        <v>2887</v>
      </c>
      <c r="G23" s="118" t="s">
        <v>2940</v>
      </c>
      <c r="H23" s="185" t="s">
        <v>185</v>
      </c>
      <c r="I23" s="145"/>
      <c r="J23" s="328">
        <v>515000.0</v>
      </c>
      <c r="K23" s="334"/>
      <c r="L23" s="334"/>
      <c r="M23" s="164"/>
      <c r="N23" s="51"/>
      <c r="O23" s="40"/>
      <c r="P23" s="204"/>
      <c r="Q23" s="322"/>
      <c r="R23" s="323"/>
      <c r="S23" s="324"/>
      <c r="T23" s="325"/>
      <c r="U23" s="145"/>
      <c r="V23" s="323"/>
      <c r="W23" s="323"/>
      <c r="X23" s="323"/>
      <c r="Y23" s="323"/>
      <c r="Z23" s="145"/>
    </row>
    <row r="24">
      <c r="A24" s="323"/>
      <c r="B24" s="118" t="s">
        <v>2584</v>
      </c>
      <c r="C24" s="185" t="s">
        <v>2584</v>
      </c>
      <c r="D24" s="23" t="s">
        <v>184</v>
      </c>
      <c r="E24" s="185" t="s">
        <v>185</v>
      </c>
      <c r="F24" s="185" t="s">
        <v>2887</v>
      </c>
      <c r="G24" s="23" t="s">
        <v>2941</v>
      </c>
      <c r="H24" s="185" t="s">
        <v>185</v>
      </c>
      <c r="I24" s="145"/>
      <c r="J24" s="320">
        <v>449999.0</v>
      </c>
      <c r="K24" s="60">
        <v>45932.0</v>
      </c>
      <c r="L24" s="60">
        <v>46114.0</v>
      </c>
      <c r="M24" s="164"/>
      <c r="N24" s="321"/>
      <c r="O24" s="331"/>
      <c r="P24" s="185"/>
      <c r="Q24" s="322">
        <v>0.0</v>
      </c>
      <c r="R24" s="323" t="s">
        <v>185</v>
      </c>
      <c r="S24" s="324"/>
      <c r="T24" s="325"/>
      <c r="U24" s="145"/>
      <c r="V24" s="37" t="s">
        <v>765</v>
      </c>
      <c r="W24" s="37"/>
      <c r="X24" s="37" t="s">
        <v>766</v>
      </c>
      <c r="Y24" s="199" t="s">
        <v>767</v>
      </c>
      <c r="Z24" s="145"/>
    </row>
    <row r="25">
      <c r="A25" s="323"/>
      <c r="B25" s="118" t="s">
        <v>2584</v>
      </c>
      <c r="C25" s="185" t="s">
        <v>2600</v>
      </c>
      <c r="D25" s="23" t="s">
        <v>184</v>
      </c>
      <c r="E25" s="185" t="s">
        <v>185</v>
      </c>
      <c r="F25" s="185" t="s">
        <v>2887</v>
      </c>
      <c r="G25" s="23" t="s">
        <v>2942</v>
      </c>
      <c r="H25" s="185" t="s">
        <v>185</v>
      </c>
      <c r="I25" s="145"/>
      <c r="J25" s="320">
        <v>499999.0</v>
      </c>
      <c r="K25" s="60">
        <v>45978.0</v>
      </c>
      <c r="L25" s="60">
        <v>45764.0</v>
      </c>
      <c r="M25" s="164"/>
      <c r="N25" s="321">
        <v>0.04</v>
      </c>
      <c r="O25" s="331"/>
      <c r="P25" s="185"/>
      <c r="Q25" s="322">
        <v>0.0</v>
      </c>
      <c r="R25" s="323" t="s">
        <v>185</v>
      </c>
      <c r="S25" s="324"/>
      <c r="T25" s="325"/>
      <c r="U25" s="145"/>
      <c r="V25" s="57"/>
      <c r="W25" s="37" t="s">
        <v>712</v>
      </c>
      <c r="X25" s="37" t="s">
        <v>713</v>
      </c>
      <c r="Y25" s="37" t="s">
        <v>2943</v>
      </c>
      <c r="Z25" s="145"/>
    </row>
    <row r="26">
      <c r="A26" s="116"/>
      <c r="B26" s="118" t="s">
        <v>2584</v>
      </c>
      <c r="C26" s="185" t="s">
        <v>2600</v>
      </c>
      <c r="D26" s="23" t="s">
        <v>184</v>
      </c>
      <c r="E26" s="185" t="s">
        <v>185</v>
      </c>
      <c r="F26" s="185" t="s">
        <v>2887</v>
      </c>
      <c r="G26" s="23" t="s">
        <v>2944</v>
      </c>
      <c r="H26" s="185" t="s">
        <v>185</v>
      </c>
      <c r="I26" s="145"/>
      <c r="J26" s="320">
        <v>649999.0</v>
      </c>
      <c r="K26" s="60">
        <v>45965.0</v>
      </c>
      <c r="L26" s="60">
        <v>46146.0</v>
      </c>
      <c r="M26" s="164"/>
      <c r="N26" s="321">
        <v>0.03</v>
      </c>
      <c r="O26" s="331"/>
      <c r="P26" s="185"/>
      <c r="Q26" s="322">
        <v>0.0</v>
      </c>
      <c r="R26" s="323" t="s">
        <v>185</v>
      </c>
      <c r="S26" s="324"/>
      <c r="T26" s="325"/>
      <c r="U26" s="145"/>
      <c r="V26" s="57"/>
      <c r="W26" s="37" t="s">
        <v>2945</v>
      </c>
      <c r="X26" s="37" t="s">
        <v>2946</v>
      </c>
      <c r="Y26" s="37" t="s">
        <v>2947</v>
      </c>
      <c r="Z26" s="145"/>
    </row>
    <row r="27">
      <c r="A27" s="323"/>
      <c r="B27" s="118" t="s">
        <v>2583</v>
      </c>
      <c r="C27" s="185" t="s">
        <v>2600</v>
      </c>
      <c r="D27" s="23" t="s">
        <v>812</v>
      </c>
      <c r="E27" s="185" t="s">
        <v>103</v>
      </c>
      <c r="F27" s="173" t="s">
        <v>2887</v>
      </c>
      <c r="G27" s="326" t="s">
        <v>2948</v>
      </c>
      <c r="H27" s="185" t="s">
        <v>2883</v>
      </c>
      <c r="I27" s="145"/>
      <c r="J27" s="320">
        <v>699999.0</v>
      </c>
      <c r="K27" s="60">
        <v>45925.0</v>
      </c>
      <c r="L27" s="60">
        <v>46106.0</v>
      </c>
      <c r="M27" s="164"/>
      <c r="N27" s="332">
        <v>0.025</v>
      </c>
      <c r="O27" s="34">
        <v>794.16</v>
      </c>
      <c r="P27" s="185" t="s">
        <v>2686</v>
      </c>
      <c r="Q27" s="322">
        <v>695.0</v>
      </c>
      <c r="R27" s="323" t="s">
        <v>2588</v>
      </c>
      <c r="S27" s="324"/>
      <c r="T27" s="325"/>
      <c r="U27" s="145"/>
      <c r="V27" s="37" t="s">
        <v>53</v>
      </c>
      <c r="W27" s="37" t="s">
        <v>813</v>
      </c>
      <c r="X27" s="37" t="s">
        <v>814</v>
      </c>
      <c r="Y27" s="37" t="s">
        <v>2949</v>
      </c>
      <c r="Z27" s="145"/>
    </row>
    <row r="28">
      <c r="A28" s="116"/>
      <c r="B28" s="118" t="s">
        <v>2592</v>
      </c>
      <c r="C28" s="118" t="s">
        <v>2600</v>
      </c>
      <c r="D28" s="118" t="s">
        <v>102</v>
      </c>
      <c r="E28" s="118" t="s">
        <v>103</v>
      </c>
      <c r="F28" s="118" t="s">
        <v>2887</v>
      </c>
      <c r="G28" s="118" t="s">
        <v>2950</v>
      </c>
      <c r="H28" s="323"/>
      <c r="I28" s="145"/>
      <c r="J28" s="328">
        <v>699999.0</v>
      </c>
      <c r="K28" s="329">
        <v>45997.0</v>
      </c>
      <c r="L28" s="329">
        <v>46179.0</v>
      </c>
      <c r="M28" s="165">
        <v>45995.0</v>
      </c>
      <c r="N28" s="31">
        <v>0.035</v>
      </c>
      <c r="O28" s="330" t="s">
        <v>2594</v>
      </c>
      <c r="P28" s="204"/>
      <c r="Q28" s="322">
        <v>1000.0</v>
      </c>
      <c r="R28" s="118" t="s">
        <v>2588</v>
      </c>
      <c r="S28" s="324"/>
      <c r="T28" s="325"/>
      <c r="U28" s="145"/>
      <c r="V28" s="118" t="s">
        <v>53</v>
      </c>
      <c r="W28" s="118" t="s">
        <v>2951</v>
      </c>
      <c r="X28" s="118" t="s">
        <v>2952</v>
      </c>
      <c r="Y28" s="118" t="s">
        <v>2953</v>
      </c>
      <c r="Z28" s="145"/>
    </row>
    <row r="29">
      <c r="A29" s="116"/>
      <c r="B29" s="118" t="s">
        <v>2583</v>
      </c>
      <c r="C29" s="185" t="s">
        <v>2584</v>
      </c>
      <c r="D29" s="23" t="s">
        <v>300</v>
      </c>
      <c r="E29" s="185" t="s">
        <v>103</v>
      </c>
      <c r="F29" s="185" t="s">
        <v>2887</v>
      </c>
      <c r="G29" s="326" t="s">
        <v>2954</v>
      </c>
      <c r="H29" s="185" t="s">
        <v>2898</v>
      </c>
      <c r="I29" s="145"/>
      <c r="J29" s="320">
        <v>149999.0</v>
      </c>
      <c r="K29" s="60">
        <v>45930.0</v>
      </c>
      <c r="L29" s="60">
        <v>46111.0</v>
      </c>
      <c r="M29" s="164"/>
      <c r="N29" s="321">
        <v>0.05</v>
      </c>
      <c r="O29" s="34">
        <v>393.71</v>
      </c>
      <c r="P29" s="185"/>
      <c r="Q29" s="322">
        <v>695.0</v>
      </c>
      <c r="R29" s="323" t="s">
        <v>2588</v>
      </c>
      <c r="S29" s="324"/>
      <c r="T29" s="325"/>
      <c r="U29" s="145"/>
      <c r="V29" s="37" t="s">
        <v>53</v>
      </c>
      <c r="W29" s="37" t="s">
        <v>795</v>
      </c>
      <c r="X29" s="37" t="s">
        <v>796</v>
      </c>
      <c r="Y29" s="37" t="s">
        <v>797</v>
      </c>
      <c r="Z29" s="145"/>
    </row>
    <row r="30">
      <c r="A30" s="323"/>
      <c r="B30" s="118" t="s">
        <v>2592</v>
      </c>
      <c r="C30" s="185" t="s">
        <v>2584</v>
      </c>
      <c r="D30" s="23" t="s">
        <v>72</v>
      </c>
      <c r="E30" s="185" t="s">
        <v>54</v>
      </c>
      <c r="F30" s="185" t="s">
        <v>2887</v>
      </c>
      <c r="G30" s="23" t="s">
        <v>2955</v>
      </c>
      <c r="H30" s="185" t="s">
        <v>2898</v>
      </c>
      <c r="I30" s="145"/>
      <c r="J30" s="320">
        <v>399999.0</v>
      </c>
      <c r="K30" s="60">
        <v>45951.0</v>
      </c>
      <c r="L30" s="60">
        <v>46133.0</v>
      </c>
      <c r="M30" s="164"/>
      <c r="N30" s="321"/>
      <c r="O30" s="331"/>
      <c r="P30" s="185"/>
      <c r="Q30" s="322">
        <v>0.0</v>
      </c>
      <c r="R30" s="323" t="s">
        <v>2588</v>
      </c>
      <c r="S30" s="324"/>
      <c r="T30" s="325"/>
      <c r="U30" s="145"/>
      <c r="V30" s="37" t="s">
        <v>53</v>
      </c>
      <c r="W30" s="57"/>
      <c r="X30" s="57"/>
      <c r="Y30" s="57"/>
      <c r="Z30" s="145"/>
    </row>
    <row r="31">
      <c r="A31" s="323"/>
      <c r="B31" s="118" t="s">
        <v>2584</v>
      </c>
      <c r="C31" s="185" t="s">
        <v>2584</v>
      </c>
      <c r="D31" s="23" t="s">
        <v>184</v>
      </c>
      <c r="E31" s="185" t="s">
        <v>185</v>
      </c>
      <c r="F31" s="185" t="s">
        <v>2887</v>
      </c>
      <c r="G31" s="23" t="s">
        <v>2956</v>
      </c>
      <c r="H31" s="185" t="s">
        <v>185</v>
      </c>
      <c r="I31" s="145"/>
      <c r="J31" s="320">
        <v>220000.0</v>
      </c>
      <c r="K31" s="60">
        <v>45944.0</v>
      </c>
      <c r="L31" s="60">
        <v>46126.0</v>
      </c>
      <c r="M31" s="164"/>
      <c r="N31" s="321"/>
      <c r="O31" s="331"/>
      <c r="P31" s="185"/>
      <c r="Q31" s="322">
        <v>0.0</v>
      </c>
      <c r="R31" s="323" t="s">
        <v>185</v>
      </c>
      <c r="S31" s="324"/>
      <c r="T31" s="325"/>
      <c r="U31" s="145"/>
      <c r="V31" s="37" t="s">
        <v>53</v>
      </c>
      <c r="W31" s="37" t="s">
        <v>2957</v>
      </c>
      <c r="X31" s="37" t="s">
        <v>2958</v>
      </c>
      <c r="Y31" s="349" t="s">
        <v>2959</v>
      </c>
      <c r="Z31" s="145"/>
    </row>
    <row r="32">
      <c r="A32" s="323"/>
      <c r="B32" s="118" t="s">
        <v>2592</v>
      </c>
      <c r="C32" s="185" t="s">
        <v>2584</v>
      </c>
      <c r="D32" s="23" t="s">
        <v>72</v>
      </c>
      <c r="E32" s="185" t="s">
        <v>54</v>
      </c>
      <c r="F32" s="185" t="s">
        <v>2887</v>
      </c>
      <c r="G32" s="23" t="s">
        <v>2960</v>
      </c>
      <c r="H32" s="185" t="s">
        <v>2883</v>
      </c>
      <c r="I32" s="145"/>
      <c r="J32" s="320">
        <v>599999.0</v>
      </c>
      <c r="K32" s="241"/>
      <c r="L32" s="241"/>
      <c r="M32" s="350"/>
      <c r="N32" s="321"/>
      <c r="O32" s="331"/>
      <c r="P32" s="185"/>
      <c r="Q32" s="322">
        <v>0.0</v>
      </c>
      <c r="R32" s="323" t="s">
        <v>2584</v>
      </c>
      <c r="S32" s="324"/>
      <c r="T32" s="325"/>
      <c r="U32" s="145"/>
      <c r="V32" s="37" t="s">
        <v>53</v>
      </c>
      <c r="W32" s="57"/>
      <c r="X32" s="57"/>
      <c r="Y32" s="57"/>
      <c r="Z32" s="145"/>
    </row>
    <row r="33">
      <c r="A33" s="323"/>
      <c r="B33" s="118" t="s">
        <v>2583</v>
      </c>
      <c r="C33" s="185" t="s">
        <v>2584</v>
      </c>
      <c r="D33" s="23" t="s">
        <v>159</v>
      </c>
      <c r="E33" s="185" t="s">
        <v>54</v>
      </c>
      <c r="F33" s="185" t="s">
        <v>2887</v>
      </c>
      <c r="G33" s="326" t="s">
        <v>2961</v>
      </c>
      <c r="H33" s="185" t="s">
        <v>2671</v>
      </c>
      <c r="I33" s="145"/>
      <c r="J33" s="320">
        <v>399999.0</v>
      </c>
      <c r="K33" s="60">
        <v>45827.0</v>
      </c>
      <c r="L33" s="60">
        <v>46010.0</v>
      </c>
      <c r="M33" s="164"/>
      <c r="N33" s="351">
        <v>1500.0</v>
      </c>
      <c r="O33" s="331"/>
      <c r="P33" s="185"/>
      <c r="Q33" s="322">
        <v>695.0</v>
      </c>
      <c r="R33" s="323" t="s">
        <v>2588</v>
      </c>
      <c r="S33" s="324"/>
      <c r="T33" s="325"/>
      <c r="U33" s="145"/>
      <c r="V33" s="37" t="s">
        <v>53</v>
      </c>
      <c r="W33" s="37" t="s">
        <v>2962</v>
      </c>
      <c r="X33" s="57"/>
      <c r="Y33" s="57"/>
      <c r="Z33" s="145"/>
    </row>
    <row r="34" ht="15.75" customHeight="1">
      <c r="A34" s="204"/>
      <c r="B34" s="118" t="s">
        <v>2583</v>
      </c>
      <c r="C34" s="185" t="s">
        <v>2584</v>
      </c>
      <c r="D34" s="23" t="s">
        <v>184</v>
      </c>
      <c r="E34" s="185" t="s">
        <v>103</v>
      </c>
      <c r="F34" s="340" t="s">
        <v>2881</v>
      </c>
      <c r="G34" s="326" t="s">
        <v>2963</v>
      </c>
      <c r="H34" s="185" t="s">
        <v>2883</v>
      </c>
      <c r="I34" s="145"/>
      <c r="J34" s="338">
        <v>949999.0</v>
      </c>
      <c r="K34" s="352">
        <v>45854.0</v>
      </c>
      <c r="L34" s="353">
        <v>46038.0</v>
      </c>
      <c r="M34" s="164"/>
      <c r="N34" s="354">
        <v>0.03</v>
      </c>
      <c r="O34" s="34">
        <v>588.9</v>
      </c>
      <c r="P34" s="185"/>
      <c r="Q34" s="322">
        <v>695.0</v>
      </c>
      <c r="R34" s="323" t="s">
        <v>2588</v>
      </c>
      <c r="S34" s="324"/>
      <c r="T34" s="325"/>
      <c r="U34" s="145"/>
      <c r="V34" s="37" t="s">
        <v>53</v>
      </c>
      <c r="W34" s="37" t="s">
        <v>2964</v>
      </c>
      <c r="X34" s="37" t="s">
        <v>2965</v>
      </c>
      <c r="Y34" s="37" t="s">
        <v>2966</v>
      </c>
      <c r="Z34" s="145"/>
    </row>
    <row r="35">
      <c r="A35" s="323"/>
      <c r="B35" s="118" t="s">
        <v>2583</v>
      </c>
      <c r="C35" s="118" t="s">
        <v>2610</v>
      </c>
      <c r="D35" s="118" t="s">
        <v>376</v>
      </c>
      <c r="E35" s="118" t="s">
        <v>103</v>
      </c>
      <c r="F35" s="118" t="s">
        <v>2887</v>
      </c>
      <c r="G35" s="118" t="s">
        <v>2967</v>
      </c>
      <c r="H35" s="118" t="s">
        <v>2883</v>
      </c>
      <c r="I35" s="145"/>
      <c r="J35" s="328">
        <v>499999.0</v>
      </c>
      <c r="K35" s="329">
        <v>46037.0</v>
      </c>
      <c r="L35" s="329">
        <v>46220.0</v>
      </c>
      <c r="M35" s="159" t="s">
        <v>2583</v>
      </c>
      <c r="N35" s="333">
        <v>589.0</v>
      </c>
      <c r="O35" s="40"/>
      <c r="P35" s="204"/>
      <c r="Q35" s="322" t="s">
        <v>2583</v>
      </c>
      <c r="R35" s="323"/>
      <c r="S35" s="324"/>
      <c r="T35" s="325"/>
      <c r="U35" s="145"/>
      <c r="V35" s="118" t="s">
        <v>786</v>
      </c>
      <c r="W35" s="118" t="s">
        <v>2740</v>
      </c>
      <c r="X35" s="323"/>
      <c r="Y35" s="118" t="s">
        <v>1297</v>
      </c>
      <c r="Z35" s="145"/>
    </row>
    <row r="36">
      <c r="A36" s="323"/>
      <c r="B36" s="118" t="s">
        <v>2583</v>
      </c>
      <c r="C36" s="185" t="s">
        <v>2584</v>
      </c>
      <c r="D36" s="23" t="s">
        <v>184</v>
      </c>
      <c r="E36" s="185" t="s">
        <v>103</v>
      </c>
      <c r="F36" s="185" t="s">
        <v>2887</v>
      </c>
      <c r="G36" s="326" t="s">
        <v>2968</v>
      </c>
      <c r="H36" s="185" t="s">
        <v>2883</v>
      </c>
      <c r="I36" s="145"/>
      <c r="J36" s="320">
        <v>499999.0</v>
      </c>
      <c r="K36" s="60">
        <v>45824.0</v>
      </c>
      <c r="L36" s="60">
        <v>46189.0</v>
      </c>
      <c r="M36" s="164"/>
      <c r="N36" s="332">
        <v>0.03</v>
      </c>
      <c r="O36" s="331"/>
      <c r="P36" s="185"/>
      <c r="Q36" s="322">
        <v>695.0</v>
      </c>
      <c r="R36" s="323" t="s">
        <v>2588</v>
      </c>
      <c r="S36" s="324"/>
      <c r="T36" s="325"/>
      <c r="U36" s="145"/>
      <c r="V36" s="37" t="s">
        <v>53</v>
      </c>
      <c r="W36" s="37" t="s">
        <v>895</v>
      </c>
      <c r="X36" s="37" t="s">
        <v>896</v>
      </c>
      <c r="Y36" s="37" t="s">
        <v>897</v>
      </c>
      <c r="Z36" s="145"/>
    </row>
    <row r="37">
      <c r="A37" s="323"/>
      <c r="B37" s="118" t="s">
        <v>2592</v>
      </c>
      <c r="C37" s="185" t="s">
        <v>2600</v>
      </c>
      <c r="D37" s="23" t="s">
        <v>139</v>
      </c>
      <c r="E37" s="185" t="s">
        <v>103</v>
      </c>
      <c r="F37" s="185" t="s">
        <v>2887</v>
      </c>
      <c r="G37" s="23" t="s">
        <v>2969</v>
      </c>
      <c r="H37" s="185" t="s">
        <v>2671</v>
      </c>
      <c r="I37" s="145"/>
      <c r="J37" s="320">
        <v>649999.0</v>
      </c>
      <c r="K37" s="60">
        <v>45992.0</v>
      </c>
      <c r="L37" s="60">
        <v>46142.0</v>
      </c>
      <c r="M37" s="164"/>
      <c r="N37" s="321">
        <v>0.015</v>
      </c>
      <c r="O37" s="331"/>
      <c r="P37" s="185"/>
      <c r="Q37" s="322">
        <v>695.0</v>
      </c>
      <c r="R37" s="323" t="s">
        <v>2584</v>
      </c>
      <c r="S37" s="324"/>
      <c r="T37" s="325"/>
      <c r="U37" s="145"/>
      <c r="V37" s="37" t="s">
        <v>2970</v>
      </c>
      <c r="W37" s="37" t="s">
        <v>2971</v>
      </c>
      <c r="X37" s="37" t="s">
        <v>2972</v>
      </c>
      <c r="Y37" s="37" t="s">
        <v>907</v>
      </c>
      <c r="Z37" s="145"/>
    </row>
    <row r="38">
      <c r="A38" s="323"/>
      <c r="B38" s="118" t="s">
        <v>2583</v>
      </c>
      <c r="C38" s="185" t="s">
        <v>2584</v>
      </c>
      <c r="D38" s="23" t="s">
        <v>399</v>
      </c>
      <c r="E38" s="185" t="s">
        <v>103</v>
      </c>
      <c r="F38" s="185" t="s">
        <v>2887</v>
      </c>
      <c r="G38" s="326" t="s">
        <v>2973</v>
      </c>
      <c r="H38" s="185" t="s">
        <v>2883</v>
      </c>
      <c r="I38" s="145"/>
      <c r="J38" s="320">
        <v>549999.0</v>
      </c>
      <c r="K38" s="60">
        <v>45869.0</v>
      </c>
      <c r="L38" s="60">
        <v>46053.0</v>
      </c>
      <c r="M38" s="164"/>
      <c r="N38" s="354">
        <v>0.02</v>
      </c>
      <c r="O38" s="34">
        <v>305.57</v>
      </c>
      <c r="P38" s="185"/>
      <c r="Q38" s="322">
        <v>695.0</v>
      </c>
      <c r="R38" s="323" t="s">
        <v>2588</v>
      </c>
      <c r="S38" s="324"/>
      <c r="T38" s="325"/>
      <c r="U38" s="145"/>
      <c r="V38" s="37" t="s">
        <v>53</v>
      </c>
      <c r="W38" s="37" t="s">
        <v>919</v>
      </c>
      <c r="X38" s="37" t="s">
        <v>920</v>
      </c>
      <c r="Y38" s="37" t="s">
        <v>921</v>
      </c>
      <c r="Z38" s="145"/>
    </row>
    <row r="39">
      <c r="A39" s="323"/>
      <c r="B39" s="118" t="s">
        <v>2622</v>
      </c>
      <c r="C39" s="118" t="s">
        <v>2610</v>
      </c>
      <c r="D39" s="118" t="s">
        <v>574</v>
      </c>
      <c r="E39" s="118" t="s">
        <v>103</v>
      </c>
      <c r="F39" s="118" t="s">
        <v>2887</v>
      </c>
      <c r="G39" s="118" t="s">
        <v>2974</v>
      </c>
      <c r="H39" s="118" t="s">
        <v>2898</v>
      </c>
      <c r="I39" s="145"/>
      <c r="J39" s="328">
        <v>639990.0</v>
      </c>
      <c r="K39" s="329">
        <v>46039.0</v>
      </c>
      <c r="L39" s="329">
        <v>46220.0</v>
      </c>
      <c r="M39" s="165">
        <v>46037.0</v>
      </c>
      <c r="N39" s="31">
        <v>0.02</v>
      </c>
      <c r="O39" s="330" t="s">
        <v>2594</v>
      </c>
      <c r="P39" s="204"/>
      <c r="Q39" s="322">
        <v>850.0</v>
      </c>
      <c r="R39" s="118" t="s">
        <v>2588</v>
      </c>
      <c r="S39" s="324"/>
      <c r="T39" s="325"/>
      <c r="U39" s="145"/>
      <c r="V39" s="118" t="s">
        <v>53</v>
      </c>
      <c r="W39" s="118" t="s">
        <v>2975</v>
      </c>
      <c r="X39" s="118" t="s">
        <v>2976</v>
      </c>
      <c r="Y39" s="118" t="s">
        <v>2977</v>
      </c>
      <c r="Z39" s="145"/>
    </row>
    <row r="40">
      <c r="A40" s="323"/>
      <c r="B40" s="118" t="s">
        <v>2583</v>
      </c>
      <c r="C40" s="185" t="s">
        <v>2600</v>
      </c>
      <c r="D40" s="23" t="s">
        <v>139</v>
      </c>
      <c r="E40" s="185" t="s">
        <v>103</v>
      </c>
      <c r="F40" s="342" t="s">
        <v>2896</v>
      </c>
      <c r="G40" s="326" t="s">
        <v>2978</v>
      </c>
      <c r="H40" s="185"/>
      <c r="I40" s="145"/>
      <c r="J40" s="320">
        <v>299999.0</v>
      </c>
      <c r="K40" s="60">
        <v>45777.0</v>
      </c>
      <c r="L40" s="60">
        <v>45960.0</v>
      </c>
      <c r="M40" s="164"/>
      <c r="N40" s="332">
        <v>0.025</v>
      </c>
      <c r="O40" s="331"/>
      <c r="P40" s="185"/>
      <c r="Q40" s="322">
        <v>695.0</v>
      </c>
      <c r="R40" s="323" t="s">
        <v>2588</v>
      </c>
      <c r="S40" s="324"/>
      <c r="T40" s="325"/>
      <c r="U40" s="145"/>
      <c r="V40" s="37" t="s">
        <v>53</v>
      </c>
      <c r="W40" s="37" t="s">
        <v>2979</v>
      </c>
      <c r="X40" s="37" t="s">
        <v>513</v>
      </c>
      <c r="Y40" s="37" t="s">
        <v>2980</v>
      </c>
      <c r="Z40" s="145"/>
    </row>
    <row r="41">
      <c r="A41" s="323"/>
      <c r="B41" s="118" t="s">
        <v>2583</v>
      </c>
      <c r="C41" s="173" t="s">
        <v>2584</v>
      </c>
      <c r="D41" s="23" t="s">
        <v>139</v>
      </c>
      <c r="E41" s="185" t="s">
        <v>103</v>
      </c>
      <c r="F41" s="185" t="s">
        <v>2887</v>
      </c>
      <c r="G41" s="326" t="s">
        <v>2981</v>
      </c>
      <c r="H41" s="185" t="s">
        <v>2883</v>
      </c>
      <c r="I41" s="145"/>
      <c r="J41" s="320">
        <v>649999.0</v>
      </c>
      <c r="K41" s="60">
        <v>45841.0</v>
      </c>
      <c r="L41" s="60">
        <v>46027.0</v>
      </c>
      <c r="M41" s="164"/>
      <c r="N41" s="332">
        <v>0.0225</v>
      </c>
      <c r="O41" s="34">
        <v>580.2</v>
      </c>
      <c r="P41" s="185"/>
      <c r="Q41" s="322">
        <v>695.0</v>
      </c>
      <c r="R41" s="323" t="s">
        <v>2588</v>
      </c>
      <c r="S41" s="324"/>
      <c r="T41" s="325"/>
      <c r="U41" s="145"/>
      <c r="V41" s="37" t="s">
        <v>53</v>
      </c>
      <c r="W41" s="37" t="s">
        <v>2982</v>
      </c>
      <c r="X41" s="37" t="s">
        <v>2983</v>
      </c>
      <c r="Y41" s="37" t="s">
        <v>1013</v>
      </c>
      <c r="Z41" s="145"/>
    </row>
    <row r="42">
      <c r="A42" s="323"/>
      <c r="B42" s="118" t="s">
        <v>2592</v>
      </c>
      <c r="C42" s="185" t="s">
        <v>2610</v>
      </c>
      <c r="D42" s="37" t="s">
        <v>641</v>
      </c>
      <c r="E42" s="185" t="s">
        <v>103</v>
      </c>
      <c r="F42" s="185" t="s">
        <v>2887</v>
      </c>
      <c r="G42" s="23" t="s">
        <v>2984</v>
      </c>
      <c r="H42" s="185" t="s">
        <v>2883</v>
      </c>
      <c r="I42" s="145"/>
      <c r="J42" s="320">
        <v>599999.0</v>
      </c>
      <c r="K42" s="60">
        <v>46020.0</v>
      </c>
      <c r="L42" s="60">
        <v>46202.0</v>
      </c>
      <c r="M42" s="165">
        <v>46019.0</v>
      </c>
      <c r="N42" s="321">
        <v>0.04</v>
      </c>
      <c r="O42" s="34" t="s">
        <v>2602</v>
      </c>
      <c r="P42" s="185"/>
      <c r="Q42" s="322">
        <v>695.0</v>
      </c>
      <c r="R42" s="118" t="s">
        <v>2588</v>
      </c>
      <c r="S42" s="324"/>
      <c r="T42" s="325"/>
      <c r="U42" s="145"/>
      <c r="V42" s="37" t="s">
        <v>53</v>
      </c>
      <c r="W42" s="37" t="s">
        <v>2985</v>
      </c>
      <c r="X42" s="37" t="s">
        <v>2986</v>
      </c>
      <c r="Y42" s="37" t="s">
        <v>1021</v>
      </c>
      <c r="Z42" s="145"/>
    </row>
    <row r="43">
      <c r="A43" s="323"/>
      <c r="B43" s="118" t="s">
        <v>2592</v>
      </c>
      <c r="C43" s="185" t="s">
        <v>2584</v>
      </c>
      <c r="D43" s="23" t="s">
        <v>840</v>
      </c>
      <c r="E43" s="185" t="s">
        <v>103</v>
      </c>
      <c r="F43" s="185" t="s">
        <v>2887</v>
      </c>
      <c r="G43" s="23" t="s">
        <v>2987</v>
      </c>
      <c r="H43" s="185" t="s">
        <v>2898</v>
      </c>
      <c r="I43" s="145"/>
      <c r="J43" s="320">
        <v>499999.0</v>
      </c>
      <c r="K43" s="60">
        <v>45935.0</v>
      </c>
      <c r="L43" s="60">
        <v>46058.0</v>
      </c>
      <c r="M43" s="164"/>
      <c r="N43" s="321">
        <v>0.03</v>
      </c>
      <c r="O43" s="34" t="s">
        <v>2594</v>
      </c>
      <c r="P43" s="185"/>
      <c r="Q43" s="322">
        <v>695.0</v>
      </c>
      <c r="R43" s="323" t="s">
        <v>2584</v>
      </c>
      <c r="S43" s="324"/>
      <c r="T43" s="325"/>
      <c r="U43" s="145"/>
      <c r="V43" s="37" t="s">
        <v>53</v>
      </c>
      <c r="W43" s="37" t="s">
        <v>1004</v>
      </c>
      <c r="X43" s="37" t="s">
        <v>1005</v>
      </c>
      <c r="Y43" s="37" t="s">
        <v>1006</v>
      </c>
      <c r="Z43" s="145"/>
    </row>
    <row r="44">
      <c r="A44" s="323"/>
      <c r="B44" s="118" t="s">
        <v>2622</v>
      </c>
      <c r="C44" s="118" t="s">
        <v>2600</v>
      </c>
      <c r="D44" s="118" t="s">
        <v>646</v>
      </c>
      <c r="E44" s="118" t="s">
        <v>54</v>
      </c>
      <c r="F44" s="344" t="s">
        <v>2721</v>
      </c>
      <c r="G44" s="118" t="s">
        <v>2988</v>
      </c>
      <c r="H44" s="323"/>
      <c r="I44" s="145"/>
      <c r="J44" s="328">
        <v>424999.0</v>
      </c>
      <c r="K44" s="329">
        <v>46078.0</v>
      </c>
      <c r="L44" s="329">
        <v>46259.0</v>
      </c>
      <c r="M44" s="165">
        <v>46078.0</v>
      </c>
      <c r="N44" s="31">
        <v>0.04</v>
      </c>
      <c r="O44" s="40"/>
      <c r="P44" s="204"/>
      <c r="Q44" s="322">
        <v>1350.0</v>
      </c>
      <c r="R44" s="323"/>
      <c r="S44" s="324"/>
      <c r="T44" s="325"/>
      <c r="U44" s="145"/>
      <c r="V44" s="323"/>
      <c r="W44" s="323"/>
      <c r="X44" s="323"/>
      <c r="Y44" s="323"/>
      <c r="Z44" s="145"/>
    </row>
    <row r="45">
      <c r="A45" s="323"/>
      <c r="B45" s="118" t="s">
        <v>2583</v>
      </c>
      <c r="C45" s="185" t="s">
        <v>2600</v>
      </c>
      <c r="D45" s="23" t="s">
        <v>288</v>
      </c>
      <c r="E45" s="185" t="s">
        <v>103</v>
      </c>
      <c r="F45" s="342" t="s">
        <v>2896</v>
      </c>
      <c r="G45" s="326" t="s">
        <v>2989</v>
      </c>
      <c r="H45" s="185"/>
      <c r="I45" s="145"/>
      <c r="J45" s="320">
        <v>449999.0</v>
      </c>
      <c r="K45" s="60">
        <v>45903.0</v>
      </c>
      <c r="L45" s="60">
        <v>46084.0</v>
      </c>
      <c r="M45" s="164"/>
      <c r="N45" s="321">
        <v>0.04</v>
      </c>
      <c r="O45" s="34"/>
      <c r="P45" s="185"/>
      <c r="Q45" s="322">
        <v>695.0</v>
      </c>
      <c r="R45" s="323" t="s">
        <v>2588</v>
      </c>
      <c r="S45" s="324"/>
      <c r="T45" s="325"/>
      <c r="U45" s="145"/>
      <c r="V45" s="37" t="s">
        <v>53</v>
      </c>
      <c r="W45" s="37" t="s">
        <v>2990</v>
      </c>
      <c r="X45" s="37" t="s">
        <v>2991</v>
      </c>
      <c r="Y45" s="37" t="s">
        <v>2992</v>
      </c>
      <c r="Z45" s="145"/>
    </row>
    <row r="46">
      <c r="A46" s="323"/>
      <c r="B46" s="118" t="s">
        <v>2592</v>
      </c>
      <c r="C46" s="118" t="s">
        <v>2600</v>
      </c>
      <c r="D46" s="118" t="s">
        <v>332</v>
      </c>
      <c r="E46" s="118" t="s">
        <v>103</v>
      </c>
      <c r="F46" s="118" t="s">
        <v>2887</v>
      </c>
      <c r="G46" s="118" t="s">
        <v>2993</v>
      </c>
      <c r="H46" s="118" t="s">
        <v>2883</v>
      </c>
      <c r="I46" s="145"/>
      <c r="J46" s="328">
        <v>589999.0</v>
      </c>
      <c r="K46" s="329">
        <v>46028.0</v>
      </c>
      <c r="L46" s="329">
        <v>46209.0</v>
      </c>
      <c r="M46" s="165">
        <v>46387.0</v>
      </c>
      <c r="N46" s="31">
        <v>0.035</v>
      </c>
      <c r="O46" s="330" t="s">
        <v>2602</v>
      </c>
      <c r="P46" s="204"/>
      <c r="Q46" s="322">
        <v>0.0</v>
      </c>
      <c r="R46" s="118" t="s">
        <v>2588</v>
      </c>
      <c r="S46" s="324"/>
      <c r="T46" s="325"/>
      <c r="U46" s="145"/>
      <c r="V46" s="118" t="s">
        <v>53</v>
      </c>
      <c r="W46" s="118" t="s">
        <v>1112</v>
      </c>
      <c r="X46" s="118" t="s">
        <v>1113</v>
      </c>
      <c r="Y46" s="118" t="s">
        <v>1114</v>
      </c>
      <c r="Z46" s="145"/>
    </row>
    <row r="47">
      <c r="A47" s="204"/>
      <c r="B47" s="323"/>
      <c r="C47" s="118" t="s">
        <v>2610</v>
      </c>
      <c r="D47" s="118" t="s">
        <v>214</v>
      </c>
      <c r="E47" s="118" t="s">
        <v>54</v>
      </c>
      <c r="F47" s="118" t="s">
        <v>2887</v>
      </c>
      <c r="G47" s="118" t="s">
        <v>2994</v>
      </c>
      <c r="H47" s="118" t="s">
        <v>2671</v>
      </c>
      <c r="I47" s="145"/>
      <c r="J47" s="328">
        <v>749999.0</v>
      </c>
      <c r="K47" s="329">
        <v>46043.0</v>
      </c>
      <c r="L47" s="329">
        <v>46224.0</v>
      </c>
      <c r="M47" s="165">
        <v>46043.0</v>
      </c>
      <c r="N47" s="31">
        <v>0.0225</v>
      </c>
      <c r="O47" s="40"/>
      <c r="P47" s="204"/>
      <c r="Q47" s="322">
        <v>1350.0</v>
      </c>
      <c r="R47" s="118" t="s">
        <v>2588</v>
      </c>
      <c r="S47" s="324"/>
      <c r="T47" s="325"/>
      <c r="U47" s="145"/>
      <c r="V47" s="118" t="s">
        <v>53</v>
      </c>
      <c r="W47" s="323"/>
      <c r="X47" s="323"/>
      <c r="Y47" s="323"/>
      <c r="Z47" s="145"/>
    </row>
    <row r="48">
      <c r="A48" s="204"/>
      <c r="B48" s="118" t="s">
        <v>2583</v>
      </c>
      <c r="C48" s="185" t="s">
        <v>2600</v>
      </c>
      <c r="D48" s="23" t="s">
        <v>332</v>
      </c>
      <c r="E48" s="185" t="s">
        <v>103</v>
      </c>
      <c r="F48" s="185" t="s">
        <v>2887</v>
      </c>
      <c r="G48" s="23" t="s">
        <v>2995</v>
      </c>
      <c r="H48" s="185" t="s">
        <v>2680</v>
      </c>
      <c r="I48" s="145"/>
      <c r="J48" s="320">
        <v>135000.0</v>
      </c>
      <c r="K48" s="60">
        <v>45944.0</v>
      </c>
      <c r="L48" s="60">
        <v>46094.0</v>
      </c>
      <c r="M48" s="164"/>
      <c r="N48" s="321">
        <v>0.04</v>
      </c>
      <c r="O48" s="34">
        <v>577.44</v>
      </c>
      <c r="P48" s="185"/>
      <c r="Q48" s="322">
        <v>0.0</v>
      </c>
      <c r="R48" s="323" t="s">
        <v>2588</v>
      </c>
      <c r="S48" s="324"/>
      <c r="T48" s="325"/>
      <c r="U48" s="145"/>
      <c r="V48" s="37" t="s">
        <v>53</v>
      </c>
      <c r="W48" s="37" t="s">
        <v>2996</v>
      </c>
      <c r="X48" s="37" t="s">
        <v>2997</v>
      </c>
      <c r="Y48" s="37" t="s">
        <v>2998</v>
      </c>
      <c r="Z48" s="145"/>
    </row>
    <row r="49">
      <c r="A49" s="323"/>
      <c r="B49" s="118" t="s">
        <v>2592</v>
      </c>
      <c r="C49" s="185" t="s">
        <v>2600</v>
      </c>
      <c r="D49" s="23" t="s">
        <v>399</v>
      </c>
      <c r="E49" s="185" t="s">
        <v>103</v>
      </c>
      <c r="F49" s="185" t="s">
        <v>2887</v>
      </c>
      <c r="G49" s="23" t="s">
        <v>2999</v>
      </c>
      <c r="H49" s="185" t="s">
        <v>2898</v>
      </c>
      <c r="I49" s="145"/>
      <c r="J49" s="320">
        <v>524999.0</v>
      </c>
      <c r="K49" s="60">
        <v>45983.0</v>
      </c>
      <c r="L49" s="60">
        <v>46164.0</v>
      </c>
      <c r="M49" s="164"/>
      <c r="N49" s="321">
        <v>0.035</v>
      </c>
      <c r="O49" s="34" t="s">
        <v>2602</v>
      </c>
      <c r="P49" s="185"/>
      <c r="Q49" s="322">
        <v>0.0</v>
      </c>
      <c r="R49" s="323" t="s">
        <v>2588</v>
      </c>
      <c r="S49" s="324"/>
      <c r="T49" s="325"/>
      <c r="U49" s="145"/>
      <c r="V49" s="37" t="s">
        <v>53</v>
      </c>
      <c r="W49" s="37" t="s">
        <v>1229</v>
      </c>
      <c r="X49" s="37" t="s">
        <v>1230</v>
      </c>
      <c r="Y49" s="37" t="s">
        <v>1231</v>
      </c>
      <c r="Z49" s="145"/>
    </row>
    <row r="50">
      <c r="A50" s="323"/>
      <c r="B50" s="118" t="s">
        <v>2583</v>
      </c>
      <c r="C50" s="185" t="s">
        <v>2584</v>
      </c>
      <c r="D50" s="23" t="s">
        <v>139</v>
      </c>
      <c r="E50" s="185" t="s">
        <v>103</v>
      </c>
      <c r="F50" s="185" t="s">
        <v>2887</v>
      </c>
      <c r="G50" s="326" t="s">
        <v>3000</v>
      </c>
      <c r="H50" s="185" t="s">
        <v>2898</v>
      </c>
      <c r="I50" s="145"/>
      <c r="J50" s="320">
        <v>599999.0</v>
      </c>
      <c r="K50" s="60">
        <v>45877.0</v>
      </c>
      <c r="L50" s="60">
        <v>46061.0</v>
      </c>
      <c r="M50" s="164"/>
      <c r="N50" s="332">
        <v>0.0175</v>
      </c>
      <c r="O50" s="331"/>
      <c r="P50" s="185"/>
      <c r="Q50" s="322">
        <v>695.0</v>
      </c>
      <c r="R50" s="323" t="s">
        <v>2588</v>
      </c>
      <c r="S50" s="324"/>
      <c r="T50" s="325"/>
      <c r="U50" s="145"/>
      <c r="V50" s="37" t="s">
        <v>53</v>
      </c>
      <c r="W50" s="37" t="s">
        <v>3001</v>
      </c>
      <c r="X50" s="37" t="s">
        <v>1155</v>
      </c>
      <c r="Y50" s="37" t="s">
        <v>1156</v>
      </c>
      <c r="Z50" s="145"/>
    </row>
    <row r="51">
      <c r="A51" s="323"/>
      <c r="B51" s="118" t="s">
        <v>2583</v>
      </c>
      <c r="C51" s="185" t="s">
        <v>2584</v>
      </c>
      <c r="D51" s="23" t="s">
        <v>159</v>
      </c>
      <c r="E51" s="185" t="s">
        <v>54</v>
      </c>
      <c r="F51" s="185" t="s">
        <v>2887</v>
      </c>
      <c r="G51" s="326" t="s">
        <v>3002</v>
      </c>
      <c r="H51" s="185" t="s">
        <v>2898</v>
      </c>
      <c r="I51" s="145"/>
      <c r="J51" s="320">
        <v>299999.0</v>
      </c>
      <c r="K51" s="60">
        <v>45707.0</v>
      </c>
      <c r="L51" s="60">
        <v>46142.0</v>
      </c>
      <c r="M51" s="164"/>
      <c r="N51" s="332">
        <v>0.03</v>
      </c>
      <c r="O51" s="331"/>
      <c r="P51" s="185"/>
      <c r="Q51" s="322">
        <v>695.0</v>
      </c>
      <c r="R51" s="323" t="s">
        <v>2657</v>
      </c>
      <c r="S51" s="324"/>
      <c r="T51" s="325"/>
      <c r="U51" s="145"/>
      <c r="V51" s="37" t="s">
        <v>53</v>
      </c>
      <c r="W51" s="37" t="s">
        <v>3003</v>
      </c>
      <c r="X51" s="37" t="s">
        <v>3004</v>
      </c>
      <c r="Y51" s="37" t="s">
        <v>3005</v>
      </c>
      <c r="Z51" s="145"/>
    </row>
    <row r="52">
      <c r="A52" s="323"/>
      <c r="B52" s="118" t="s">
        <v>2583</v>
      </c>
      <c r="C52" s="118" t="s">
        <v>2610</v>
      </c>
      <c r="D52" s="118" t="s">
        <v>376</v>
      </c>
      <c r="E52" s="118" t="s">
        <v>103</v>
      </c>
      <c r="F52" s="118" t="s">
        <v>2887</v>
      </c>
      <c r="G52" s="118" t="s">
        <v>3006</v>
      </c>
      <c r="H52" s="118" t="s">
        <v>2898</v>
      </c>
      <c r="I52" s="145"/>
      <c r="J52" s="328">
        <v>599999.0</v>
      </c>
      <c r="K52" s="329">
        <v>46033.0</v>
      </c>
      <c r="L52" s="329">
        <v>46214.0</v>
      </c>
      <c r="M52" s="165">
        <v>46032.0</v>
      </c>
      <c r="N52" s="31">
        <v>0.04</v>
      </c>
      <c r="O52" s="40"/>
      <c r="P52" s="204"/>
      <c r="Q52" s="322">
        <v>695.0</v>
      </c>
      <c r="R52" s="118" t="s">
        <v>2588</v>
      </c>
      <c r="S52" s="324"/>
      <c r="T52" s="325"/>
      <c r="U52" s="145"/>
      <c r="V52" s="118" t="s">
        <v>53</v>
      </c>
      <c r="W52" s="118" t="s">
        <v>3007</v>
      </c>
      <c r="X52" s="118" t="s">
        <v>3008</v>
      </c>
      <c r="Y52" s="118" t="s">
        <v>1291</v>
      </c>
      <c r="Z52" s="145"/>
    </row>
    <row r="53">
      <c r="A53" s="204"/>
      <c r="B53" s="118" t="s">
        <v>2583</v>
      </c>
      <c r="C53" s="118" t="s">
        <v>2600</v>
      </c>
      <c r="D53" s="118" t="s">
        <v>184</v>
      </c>
      <c r="E53" s="118" t="s">
        <v>103</v>
      </c>
      <c r="F53" s="118" t="s">
        <v>2887</v>
      </c>
      <c r="G53" s="118" t="s">
        <v>3009</v>
      </c>
      <c r="H53" s="323"/>
      <c r="I53" s="145"/>
      <c r="J53" s="328">
        <v>1399999.0</v>
      </c>
      <c r="K53" s="329">
        <v>46009.0</v>
      </c>
      <c r="L53" s="329">
        <v>46173.0</v>
      </c>
      <c r="M53" s="165">
        <v>46379.0</v>
      </c>
      <c r="N53" s="31">
        <v>0.02</v>
      </c>
      <c r="O53" s="40"/>
      <c r="P53" s="204"/>
      <c r="Q53" s="322">
        <v>595.0</v>
      </c>
      <c r="R53" s="118" t="s">
        <v>185</v>
      </c>
      <c r="S53" s="324"/>
      <c r="T53" s="325"/>
      <c r="U53" s="145"/>
      <c r="V53" s="118" t="s">
        <v>3010</v>
      </c>
      <c r="W53" s="118" t="s">
        <v>3011</v>
      </c>
      <c r="X53" s="118" t="s">
        <v>3012</v>
      </c>
      <c r="Y53" s="118" t="s">
        <v>1097</v>
      </c>
      <c r="Z53" s="145"/>
    </row>
    <row r="54">
      <c r="A54" s="204"/>
      <c r="B54" s="118" t="s">
        <v>2592</v>
      </c>
      <c r="C54" s="185" t="s">
        <v>2584</v>
      </c>
      <c r="D54" s="23" t="s">
        <v>139</v>
      </c>
      <c r="E54" s="185" t="s">
        <v>103</v>
      </c>
      <c r="F54" s="185" t="s">
        <v>2887</v>
      </c>
      <c r="G54" s="23" t="s">
        <v>3013</v>
      </c>
      <c r="H54" s="185" t="s">
        <v>2898</v>
      </c>
      <c r="I54" s="145"/>
      <c r="J54" s="320">
        <v>649999.0</v>
      </c>
      <c r="K54" s="60">
        <v>45974.0</v>
      </c>
      <c r="L54" s="60">
        <v>46155.0</v>
      </c>
      <c r="M54" s="164"/>
      <c r="N54" s="321">
        <v>0.02</v>
      </c>
      <c r="O54" s="34" t="s">
        <v>2594</v>
      </c>
      <c r="P54" s="185"/>
      <c r="Q54" s="322">
        <v>695.0</v>
      </c>
      <c r="R54" s="323" t="s">
        <v>2584</v>
      </c>
      <c r="S54" s="324"/>
      <c r="T54" s="325"/>
      <c r="U54" s="145"/>
      <c r="V54" s="37" t="s">
        <v>53</v>
      </c>
      <c r="W54" s="37" t="s">
        <v>1251</v>
      </c>
      <c r="X54" s="37" t="s">
        <v>1252</v>
      </c>
      <c r="Y54" s="37" t="s">
        <v>1253</v>
      </c>
      <c r="Z54" s="145"/>
    </row>
    <row r="55">
      <c r="A55" s="204"/>
      <c r="B55" s="118" t="s">
        <v>2592</v>
      </c>
      <c r="C55" s="185" t="s">
        <v>2584</v>
      </c>
      <c r="D55" s="23" t="s">
        <v>1303</v>
      </c>
      <c r="E55" s="185" t="s">
        <v>54</v>
      </c>
      <c r="F55" s="185" t="s">
        <v>2887</v>
      </c>
      <c r="G55" s="23" t="s">
        <v>3014</v>
      </c>
      <c r="H55" s="185" t="s">
        <v>2898</v>
      </c>
      <c r="I55" s="145"/>
      <c r="J55" s="320">
        <v>356000.0</v>
      </c>
      <c r="K55" s="60">
        <v>45952.0</v>
      </c>
      <c r="L55" s="60">
        <v>46134.0</v>
      </c>
      <c r="M55" s="164"/>
      <c r="N55" s="321">
        <v>0.05</v>
      </c>
      <c r="O55" s="331"/>
      <c r="P55" s="185"/>
      <c r="Q55" s="322">
        <v>0.0</v>
      </c>
      <c r="R55" s="323" t="s">
        <v>2584</v>
      </c>
      <c r="S55" s="324"/>
      <c r="T55" s="325"/>
      <c r="U55" s="145"/>
      <c r="V55" s="37" t="s">
        <v>53</v>
      </c>
      <c r="W55" s="37" t="s">
        <v>3015</v>
      </c>
      <c r="X55" s="37" t="s">
        <v>3016</v>
      </c>
      <c r="Y55" s="37" t="s">
        <v>3017</v>
      </c>
      <c r="Z55" s="145"/>
    </row>
    <row r="56">
      <c r="A56" s="227" t="s">
        <v>3018</v>
      </c>
      <c r="B56" s="118" t="s">
        <v>2592</v>
      </c>
      <c r="C56" s="118" t="s">
        <v>2600</v>
      </c>
      <c r="D56" s="118" t="s">
        <v>288</v>
      </c>
      <c r="E56" s="118" t="s">
        <v>103</v>
      </c>
      <c r="F56" s="344" t="s">
        <v>2881</v>
      </c>
      <c r="G56" s="118" t="s">
        <v>3019</v>
      </c>
      <c r="H56" s="118" t="s">
        <v>2883</v>
      </c>
      <c r="I56" s="145"/>
      <c r="J56" s="328">
        <v>349999.0</v>
      </c>
      <c r="K56" s="329">
        <v>46027.0</v>
      </c>
      <c r="L56" s="329">
        <v>46209.0</v>
      </c>
      <c r="M56" s="165">
        <v>46027.0</v>
      </c>
      <c r="N56" s="31">
        <v>0.02</v>
      </c>
      <c r="O56" s="330" t="s">
        <v>2594</v>
      </c>
      <c r="P56" s="204"/>
      <c r="Q56" s="322">
        <v>1345.0</v>
      </c>
      <c r="R56" s="118" t="s">
        <v>2588</v>
      </c>
      <c r="S56" s="324"/>
      <c r="T56" s="325"/>
      <c r="U56" s="145"/>
      <c r="V56" s="118" t="s">
        <v>53</v>
      </c>
      <c r="W56" s="118" t="s">
        <v>3020</v>
      </c>
      <c r="X56" s="118" t="s">
        <v>3021</v>
      </c>
      <c r="Y56" s="118" t="s">
        <v>3022</v>
      </c>
      <c r="Z56" s="145"/>
    </row>
    <row r="57">
      <c r="A57" s="204"/>
      <c r="B57" s="118" t="s">
        <v>2622</v>
      </c>
      <c r="C57" s="118" t="s">
        <v>2584</v>
      </c>
      <c r="D57" s="118" t="s">
        <v>3023</v>
      </c>
      <c r="E57" s="118" t="s">
        <v>54</v>
      </c>
      <c r="F57" s="118" t="s">
        <v>2887</v>
      </c>
      <c r="G57" s="118" t="s">
        <v>3024</v>
      </c>
      <c r="H57" s="118" t="s">
        <v>2898</v>
      </c>
      <c r="I57" s="145"/>
      <c r="J57" s="328">
        <v>449999.0</v>
      </c>
      <c r="K57" s="329">
        <v>46054.0</v>
      </c>
      <c r="L57" s="329">
        <v>46265.0</v>
      </c>
      <c r="M57" s="165">
        <v>46056.0</v>
      </c>
      <c r="N57" s="31">
        <v>0.05</v>
      </c>
      <c r="O57" s="40"/>
      <c r="P57" s="204"/>
      <c r="Q57" s="322">
        <v>1395.0</v>
      </c>
      <c r="R57" s="118" t="s">
        <v>2584</v>
      </c>
      <c r="S57" s="324"/>
      <c r="T57" s="325"/>
      <c r="U57" s="145"/>
      <c r="V57" s="37" t="s">
        <v>53</v>
      </c>
      <c r="W57" s="118" t="s">
        <v>1328</v>
      </c>
      <c r="X57" s="118" t="s">
        <v>3025</v>
      </c>
      <c r="Y57" s="323"/>
      <c r="Z57" s="145"/>
    </row>
    <row r="58">
      <c r="A58" s="227"/>
      <c r="B58" s="118" t="s">
        <v>2592</v>
      </c>
      <c r="C58" s="185" t="s">
        <v>2600</v>
      </c>
      <c r="D58" s="23" t="s">
        <v>288</v>
      </c>
      <c r="E58" s="185" t="s">
        <v>103</v>
      </c>
      <c r="F58" s="185" t="s">
        <v>2887</v>
      </c>
      <c r="G58" s="23" t="s">
        <v>3026</v>
      </c>
      <c r="H58" s="185" t="s">
        <v>2671</v>
      </c>
      <c r="I58" s="145"/>
      <c r="J58" s="337"/>
      <c r="K58" s="241"/>
      <c r="L58" s="241"/>
      <c r="M58" s="164"/>
      <c r="N58" s="321"/>
      <c r="O58" s="331"/>
      <c r="P58" s="185"/>
      <c r="Q58" s="322">
        <v>0.0</v>
      </c>
      <c r="R58" s="323"/>
      <c r="S58" s="324"/>
      <c r="T58" s="325"/>
      <c r="U58" s="145"/>
      <c r="V58" s="37" t="s">
        <v>53</v>
      </c>
      <c r="W58" s="37"/>
      <c r="X58" s="37"/>
      <c r="Y58" s="37"/>
      <c r="Z58" s="145"/>
    </row>
    <row r="59" ht="15.75" customHeight="1">
      <c r="A59" s="204"/>
      <c r="B59" s="118" t="s">
        <v>2583</v>
      </c>
      <c r="C59" s="185" t="s">
        <v>2584</v>
      </c>
      <c r="D59" s="23" t="s">
        <v>139</v>
      </c>
      <c r="E59" s="185" t="s">
        <v>103</v>
      </c>
      <c r="F59" s="342" t="s">
        <v>2896</v>
      </c>
      <c r="G59" s="326" t="s">
        <v>3027</v>
      </c>
      <c r="H59" s="185" t="s">
        <v>2883</v>
      </c>
      <c r="I59" s="145"/>
      <c r="J59" s="320">
        <v>349999.0</v>
      </c>
      <c r="K59" s="60">
        <v>45929.0</v>
      </c>
      <c r="L59" s="60">
        <v>46110.0</v>
      </c>
      <c r="M59" s="164"/>
      <c r="N59" s="321">
        <v>0.025</v>
      </c>
      <c r="O59" s="331"/>
      <c r="P59" s="185"/>
      <c r="Q59" s="322">
        <v>0.0</v>
      </c>
      <c r="R59" s="323" t="s">
        <v>2588</v>
      </c>
      <c r="S59" s="324"/>
      <c r="T59" s="325"/>
      <c r="U59" s="145"/>
      <c r="V59" s="37" t="s">
        <v>53</v>
      </c>
      <c r="W59" s="37" t="s">
        <v>3028</v>
      </c>
      <c r="X59" s="37" t="s">
        <v>3029</v>
      </c>
      <c r="Y59" s="37" t="s">
        <v>3030</v>
      </c>
      <c r="Z59" s="145"/>
    </row>
    <row r="60">
      <c r="A60" s="204"/>
      <c r="B60" s="118" t="s">
        <v>2583</v>
      </c>
      <c r="C60" s="118" t="s">
        <v>2600</v>
      </c>
      <c r="D60" s="118" t="s">
        <v>184</v>
      </c>
      <c r="E60" s="118" t="s">
        <v>185</v>
      </c>
      <c r="F60" s="118" t="s">
        <v>2887</v>
      </c>
      <c r="G60" s="118" t="s">
        <v>3031</v>
      </c>
      <c r="H60" s="323"/>
      <c r="I60" s="145"/>
      <c r="J60" s="328">
        <v>248999.0</v>
      </c>
      <c r="K60" s="329">
        <v>46063.0</v>
      </c>
      <c r="L60" s="329">
        <v>46213.0</v>
      </c>
      <c r="M60" s="165">
        <v>46068.0</v>
      </c>
      <c r="N60" s="31">
        <v>0.04</v>
      </c>
      <c r="O60" s="40"/>
      <c r="P60" s="204"/>
      <c r="Q60" s="322">
        <v>0.0</v>
      </c>
      <c r="R60" s="118" t="s">
        <v>185</v>
      </c>
      <c r="S60" s="324"/>
      <c r="T60" s="325"/>
      <c r="U60" s="145"/>
      <c r="V60" s="118" t="s">
        <v>1164</v>
      </c>
      <c r="W60" s="118" t="s">
        <v>3032</v>
      </c>
      <c r="X60" s="118" t="s">
        <v>1165</v>
      </c>
      <c r="Y60" s="118" t="s">
        <v>1166</v>
      </c>
      <c r="Z60" s="145"/>
    </row>
    <row r="61">
      <c r="A61" s="204"/>
      <c r="B61" s="118" t="s">
        <v>2622</v>
      </c>
      <c r="C61" s="118" t="s">
        <v>2584</v>
      </c>
      <c r="D61" s="118" t="s">
        <v>742</v>
      </c>
      <c r="E61" s="118" t="s">
        <v>103</v>
      </c>
      <c r="F61" s="118" t="s">
        <v>2887</v>
      </c>
      <c r="G61" s="118" t="s">
        <v>3033</v>
      </c>
      <c r="H61" s="323"/>
      <c r="I61" s="145"/>
      <c r="J61" s="328">
        <v>149999.0</v>
      </c>
      <c r="K61" s="329">
        <v>46034.0</v>
      </c>
      <c r="L61" s="329">
        <v>46185.0</v>
      </c>
      <c r="M61" s="165">
        <v>46035.0</v>
      </c>
      <c r="N61" s="31">
        <v>0.025</v>
      </c>
      <c r="O61" s="330" t="s">
        <v>2594</v>
      </c>
      <c r="P61" s="204"/>
      <c r="Q61" s="322">
        <v>0.0</v>
      </c>
      <c r="R61" s="118" t="s">
        <v>2588</v>
      </c>
      <c r="S61" s="324"/>
      <c r="T61" s="325"/>
      <c r="U61" s="145"/>
      <c r="V61" s="118" t="s">
        <v>53</v>
      </c>
      <c r="W61" s="118" t="s">
        <v>3034</v>
      </c>
      <c r="X61" s="118" t="s">
        <v>1264</v>
      </c>
      <c r="Y61" s="118" t="s">
        <v>1265</v>
      </c>
      <c r="Z61" s="145"/>
    </row>
    <row r="62">
      <c r="A62" s="227"/>
      <c r="B62" s="118" t="s">
        <v>2583</v>
      </c>
      <c r="C62" s="118" t="s">
        <v>2610</v>
      </c>
      <c r="D62" s="118" t="s">
        <v>376</v>
      </c>
      <c r="E62" s="118" t="s">
        <v>103</v>
      </c>
      <c r="F62" s="118" t="s">
        <v>2887</v>
      </c>
      <c r="G62" s="118" t="s">
        <v>3035</v>
      </c>
      <c r="H62" s="118" t="s">
        <v>2883</v>
      </c>
      <c r="I62" s="145"/>
      <c r="J62" s="328">
        <v>699999.0</v>
      </c>
      <c r="K62" s="329">
        <v>46051.0</v>
      </c>
      <c r="L62" s="329">
        <v>46232.0</v>
      </c>
      <c r="M62" s="159" t="s">
        <v>53</v>
      </c>
      <c r="N62" s="333">
        <v>589.0</v>
      </c>
      <c r="O62" s="40"/>
      <c r="P62" s="204"/>
      <c r="Q62" s="322">
        <v>0.0</v>
      </c>
      <c r="R62" s="118" t="s">
        <v>2588</v>
      </c>
      <c r="S62" s="324"/>
      <c r="T62" s="325"/>
      <c r="U62" s="145"/>
      <c r="V62" s="118" t="s">
        <v>786</v>
      </c>
      <c r="W62" s="118" t="s">
        <v>2740</v>
      </c>
      <c r="X62" s="323"/>
      <c r="Y62" s="118" t="s">
        <v>1297</v>
      </c>
      <c r="Z62" s="145"/>
    </row>
    <row r="63">
      <c r="A63" s="204"/>
      <c r="B63" s="118" t="s">
        <v>2583</v>
      </c>
      <c r="C63" s="118" t="s">
        <v>2584</v>
      </c>
      <c r="D63" s="118" t="s">
        <v>184</v>
      </c>
      <c r="E63" s="118" t="s">
        <v>185</v>
      </c>
      <c r="F63" s="118" t="s">
        <v>2887</v>
      </c>
      <c r="G63" s="118" t="s">
        <v>3036</v>
      </c>
      <c r="H63" s="323"/>
      <c r="I63" s="145"/>
      <c r="J63" s="328">
        <v>699999.0</v>
      </c>
      <c r="K63" s="329">
        <v>46028.0</v>
      </c>
      <c r="L63" s="329">
        <v>46179.0</v>
      </c>
      <c r="M63" s="165">
        <v>46050.0</v>
      </c>
      <c r="N63" s="31">
        <v>0.02</v>
      </c>
      <c r="O63" s="40"/>
      <c r="P63" s="204"/>
      <c r="Q63" s="322"/>
      <c r="R63" s="323"/>
      <c r="S63" s="324"/>
      <c r="T63" s="325"/>
      <c r="U63" s="145"/>
      <c r="V63" s="118" t="s">
        <v>53</v>
      </c>
      <c r="W63" s="118" t="s">
        <v>2354</v>
      </c>
      <c r="X63" s="118" t="s">
        <v>3037</v>
      </c>
      <c r="Y63" s="355" t="s">
        <v>3038</v>
      </c>
      <c r="Z63" s="145"/>
    </row>
    <row r="64" ht="15.75" customHeight="1">
      <c r="A64" s="204"/>
      <c r="B64" s="118" t="s">
        <v>2583</v>
      </c>
      <c r="C64" s="118" t="s">
        <v>2600</v>
      </c>
      <c r="D64" s="118" t="s">
        <v>184</v>
      </c>
      <c r="E64" s="118" t="s">
        <v>185</v>
      </c>
      <c r="F64" s="118" t="s">
        <v>2887</v>
      </c>
      <c r="G64" s="118" t="s">
        <v>3039</v>
      </c>
      <c r="H64" s="323"/>
      <c r="I64" s="145"/>
      <c r="J64" s="328">
        <v>599999.0</v>
      </c>
      <c r="K64" s="329">
        <v>46042.0</v>
      </c>
      <c r="L64" s="329">
        <v>46223.0</v>
      </c>
      <c r="M64" s="164"/>
      <c r="N64" s="31">
        <v>0.03</v>
      </c>
      <c r="O64" s="40"/>
      <c r="P64" s="204"/>
      <c r="Q64" s="322"/>
      <c r="R64" s="323"/>
      <c r="S64" s="324"/>
      <c r="T64" s="325"/>
      <c r="U64" s="145"/>
      <c r="V64" s="118" t="s">
        <v>53</v>
      </c>
      <c r="W64" s="118" t="s">
        <v>1359</v>
      </c>
      <c r="X64" s="118" t="s">
        <v>1360</v>
      </c>
      <c r="Y64" s="118" t="s">
        <v>1361</v>
      </c>
      <c r="Z64" s="145"/>
    </row>
    <row r="65">
      <c r="A65" s="227"/>
      <c r="B65" s="118" t="s">
        <v>2583</v>
      </c>
      <c r="C65" s="185" t="s">
        <v>2600</v>
      </c>
      <c r="D65" s="37" t="s">
        <v>184</v>
      </c>
      <c r="E65" s="185" t="s">
        <v>185</v>
      </c>
      <c r="F65" s="185" t="s">
        <v>2887</v>
      </c>
      <c r="G65" s="23" t="s">
        <v>3040</v>
      </c>
      <c r="H65" s="185"/>
      <c r="I65" s="145"/>
      <c r="J65" s="320">
        <v>999000.0</v>
      </c>
      <c r="K65" s="60">
        <v>46009.0</v>
      </c>
      <c r="L65" s="60">
        <v>46159.0</v>
      </c>
      <c r="M65" s="165">
        <v>46014.0</v>
      </c>
      <c r="N65" s="321"/>
      <c r="O65" s="34"/>
      <c r="P65" s="185"/>
      <c r="Q65" s="322"/>
      <c r="R65" s="118"/>
      <c r="S65" s="324"/>
      <c r="T65" s="325"/>
      <c r="U65" s="145"/>
      <c r="V65" s="118" t="s">
        <v>53</v>
      </c>
      <c r="W65" s="37" t="s">
        <v>3041</v>
      </c>
      <c r="X65" s="37" t="s">
        <v>1082</v>
      </c>
      <c r="Y65" s="355" t="s">
        <v>3042</v>
      </c>
      <c r="Z65" s="145"/>
    </row>
    <row r="66" ht="15.75" customHeight="1">
      <c r="A66" s="227"/>
      <c r="B66" s="118" t="s">
        <v>2583</v>
      </c>
      <c r="C66" s="118" t="s">
        <v>2600</v>
      </c>
      <c r="D66" s="118" t="s">
        <v>184</v>
      </c>
      <c r="E66" s="118" t="s">
        <v>185</v>
      </c>
      <c r="F66" s="118" t="s">
        <v>2887</v>
      </c>
      <c r="G66" s="118" t="s">
        <v>3043</v>
      </c>
      <c r="H66" s="323"/>
      <c r="I66" s="145"/>
      <c r="J66" s="328">
        <v>499999.0</v>
      </c>
      <c r="K66" s="329">
        <v>46042.0</v>
      </c>
      <c r="L66" s="329">
        <v>46223.0</v>
      </c>
      <c r="M66" s="164"/>
      <c r="N66" s="51"/>
      <c r="O66" s="40"/>
      <c r="P66" s="204"/>
      <c r="Q66" s="322"/>
      <c r="R66" s="323"/>
      <c r="S66" s="324"/>
      <c r="T66" s="325"/>
      <c r="U66" s="145"/>
      <c r="V66" s="118" t="s">
        <v>53</v>
      </c>
      <c r="W66" s="118" t="s">
        <v>1415</v>
      </c>
      <c r="X66" s="118" t="s">
        <v>3044</v>
      </c>
      <c r="Y66" s="118" t="s">
        <v>1417</v>
      </c>
      <c r="Z66" s="145"/>
    </row>
    <row r="67" ht="15.75" customHeight="1">
      <c r="A67" s="227" t="s">
        <v>3045</v>
      </c>
      <c r="B67" s="118" t="s">
        <v>2592</v>
      </c>
      <c r="C67" s="118" t="s">
        <v>2584</v>
      </c>
      <c r="D67" s="118" t="s">
        <v>288</v>
      </c>
      <c r="E67" s="118" t="s">
        <v>103</v>
      </c>
      <c r="F67" s="344" t="s">
        <v>2881</v>
      </c>
      <c r="G67" s="118" t="s">
        <v>3046</v>
      </c>
      <c r="H67" s="323"/>
      <c r="I67" s="145"/>
      <c r="J67" s="328">
        <v>349999.0</v>
      </c>
      <c r="K67" s="329">
        <v>46084.0</v>
      </c>
      <c r="L67" s="329">
        <v>46268.0</v>
      </c>
      <c r="M67" s="165">
        <v>46083.0</v>
      </c>
      <c r="N67" s="31">
        <v>0.03</v>
      </c>
      <c r="O67" s="40"/>
      <c r="P67" s="204"/>
      <c r="Q67" s="322">
        <v>1345.0</v>
      </c>
      <c r="R67" s="118" t="s">
        <v>2588</v>
      </c>
      <c r="S67" s="324"/>
      <c r="T67" s="325"/>
      <c r="U67" s="145"/>
      <c r="V67" s="118" t="s">
        <v>53</v>
      </c>
      <c r="W67" s="118" t="s">
        <v>3047</v>
      </c>
      <c r="X67" s="118" t="s">
        <v>3048</v>
      </c>
      <c r="Y67" s="118" t="s">
        <v>0</v>
      </c>
      <c r="Z67" s="145"/>
    </row>
    <row r="68" ht="15.75" customHeight="1">
      <c r="A68" s="227"/>
      <c r="B68" s="118" t="s">
        <v>2583</v>
      </c>
      <c r="C68" s="118" t="s">
        <v>2584</v>
      </c>
      <c r="D68" s="118" t="s">
        <v>376</v>
      </c>
      <c r="E68" s="118" t="s">
        <v>103</v>
      </c>
      <c r="F68" s="118" t="s">
        <v>2887</v>
      </c>
      <c r="G68" s="159" t="s">
        <v>3049</v>
      </c>
      <c r="H68" s="118" t="s">
        <v>2883</v>
      </c>
      <c r="I68" s="145"/>
      <c r="J68" s="328">
        <v>549999.0</v>
      </c>
      <c r="K68" s="329">
        <v>46024.0</v>
      </c>
      <c r="L68" s="329">
        <v>46205.0</v>
      </c>
      <c r="M68" s="159" t="s">
        <v>53</v>
      </c>
      <c r="N68" s="118" t="s">
        <v>114</v>
      </c>
      <c r="O68" s="40"/>
      <c r="P68" s="204"/>
      <c r="Q68" s="322" t="s">
        <v>53</v>
      </c>
      <c r="R68" s="118" t="s">
        <v>2588</v>
      </c>
      <c r="S68" s="324"/>
      <c r="T68" s="325"/>
      <c r="U68" s="145"/>
      <c r="V68" s="118" t="s">
        <v>2739</v>
      </c>
      <c r="W68" s="118" t="s">
        <v>2740</v>
      </c>
      <c r="X68" s="323"/>
      <c r="Y68" s="118" t="s">
        <v>1297</v>
      </c>
      <c r="Z68" s="145"/>
    </row>
    <row r="69" ht="15.75" customHeight="1">
      <c r="A69" s="204"/>
      <c r="B69" s="118" t="s">
        <v>2583</v>
      </c>
      <c r="C69" s="118" t="s">
        <v>2600</v>
      </c>
      <c r="D69" s="118" t="s">
        <v>184</v>
      </c>
      <c r="E69" s="118" t="s">
        <v>185</v>
      </c>
      <c r="F69" s="118" t="s">
        <v>2887</v>
      </c>
      <c r="G69" s="118" t="s">
        <v>3050</v>
      </c>
      <c r="H69" s="323"/>
      <c r="I69" s="145"/>
      <c r="J69" s="328">
        <v>749999.0</v>
      </c>
      <c r="K69" s="329">
        <v>46066.0</v>
      </c>
      <c r="L69" s="329">
        <v>46216.0</v>
      </c>
      <c r="M69" s="165">
        <v>46068.0</v>
      </c>
      <c r="N69" s="31">
        <v>0.035</v>
      </c>
      <c r="O69" s="40"/>
      <c r="P69" s="204"/>
      <c r="Q69" s="322">
        <v>0.0</v>
      </c>
      <c r="R69" s="118" t="s">
        <v>185</v>
      </c>
      <c r="S69" s="324"/>
      <c r="T69" s="325"/>
      <c r="U69" s="145"/>
      <c r="V69" s="118" t="s">
        <v>53</v>
      </c>
      <c r="W69" s="118" t="s">
        <v>3051</v>
      </c>
      <c r="X69" s="118" t="s">
        <v>3052</v>
      </c>
      <c r="Y69" s="118" t="s">
        <v>1470</v>
      </c>
      <c r="Z69" s="145"/>
    </row>
    <row r="70">
      <c r="A70" s="227"/>
      <c r="B70" s="118" t="s">
        <v>2592</v>
      </c>
      <c r="C70" s="118" t="s">
        <v>2610</v>
      </c>
      <c r="D70" s="118" t="s">
        <v>139</v>
      </c>
      <c r="E70" s="118" t="s">
        <v>103</v>
      </c>
      <c r="F70" s="118" t="s">
        <v>2887</v>
      </c>
      <c r="G70" s="118" t="s">
        <v>3053</v>
      </c>
      <c r="H70" s="118" t="s">
        <v>2898</v>
      </c>
      <c r="I70" s="145"/>
      <c r="J70" s="328">
        <v>999999.0</v>
      </c>
      <c r="K70" s="329">
        <v>46039.0</v>
      </c>
      <c r="L70" s="329">
        <v>46190.0</v>
      </c>
      <c r="M70" s="165">
        <v>46038.0</v>
      </c>
      <c r="N70" s="31">
        <v>0.025</v>
      </c>
      <c r="O70" s="40"/>
      <c r="P70" s="204"/>
      <c r="Q70" s="322">
        <v>995.0</v>
      </c>
      <c r="R70" s="118" t="s">
        <v>2588</v>
      </c>
      <c r="S70" s="324"/>
      <c r="T70" s="325"/>
      <c r="U70" s="145"/>
      <c r="V70" s="118" t="s">
        <v>53</v>
      </c>
      <c r="W70" s="118" t="s">
        <v>3054</v>
      </c>
      <c r="X70" s="118" t="s">
        <v>3055</v>
      </c>
      <c r="Y70" s="118" t="s">
        <v>3056</v>
      </c>
      <c r="Z70" s="145"/>
    </row>
    <row r="71">
      <c r="A71" s="204"/>
      <c r="B71" s="118" t="s">
        <v>2583</v>
      </c>
      <c r="C71" s="118" t="s">
        <v>2610</v>
      </c>
      <c r="D71" s="118" t="s">
        <v>376</v>
      </c>
      <c r="E71" s="118" t="s">
        <v>103</v>
      </c>
      <c r="F71" s="118" t="s">
        <v>2887</v>
      </c>
      <c r="G71" s="118" t="s">
        <v>3057</v>
      </c>
      <c r="H71" s="118" t="s">
        <v>2898</v>
      </c>
      <c r="I71" s="145"/>
      <c r="J71" s="328">
        <v>349999.0</v>
      </c>
      <c r="K71" s="329">
        <v>46064.0</v>
      </c>
      <c r="L71" s="329">
        <v>46065.0</v>
      </c>
      <c r="M71" s="165">
        <v>46246.0</v>
      </c>
      <c r="N71" s="333">
        <v>589.0</v>
      </c>
      <c r="O71" s="40"/>
      <c r="P71" s="204"/>
      <c r="Q71" s="322">
        <v>0.0</v>
      </c>
      <c r="R71" s="118" t="s">
        <v>2588</v>
      </c>
      <c r="S71" s="324"/>
      <c r="T71" s="325"/>
      <c r="U71" s="145"/>
      <c r="V71" s="118" t="s">
        <v>786</v>
      </c>
      <c r="W71" s="118" t="s">
        <v>2740</v>
      </c>
      <c r="X71" s="323"/>
      <c r="Y71" s="118" t="s">
        <v>1297</v>
      </c>
      <c r="Z71" s="145"/>
    </row>
    <row r="72">
      <c r="A72" s="227"/>
      <c r="B72" s="118" t="s">
        <v>2622</v>
      </c>
      <c r="C72" s="118" t="s">
        <v>2600</v>
      </c>
      <c r="D72" s="118" t="s">
        <v>102</v>
      </c>
      <c r="E72" s="118" t="s">
        <v>103</v>
      </c>
      <c r="F72" s="118" t="s">
        <v>2887</v>
      </c>
      <c r="G72" s="118" t="s">
        <v>3058</v>
      </c>
      <c r="H72" s="323"/>
      <c r="I72" s="145"/>
      <c r="J72" s="328">
        <v>449999.0</v>
      </c>
      <c r="K72" s="329">
        <v>46044.0</v>
      </c>
      <c r="L72" s="329">
        <v>46225.0</v>
      </c>
      <c r="M72" s="165">
        <v>46043.0</v>
      </c>
      <c r="N72" s="31">
        <v>0.035</v>
      </c>
      <c r="O72" s="330" t="s">
        <v>2594</v>
      </c>
      <c r="P72" s="204"/>
      <c r="Q72" s="322">
        <v>1250.0</v>
      </c>
      <c r="R72" s="323"/>
      <c r="S72" s="324"/>
      <c r="T72" s="325"/>
      <c r="U72" s="145"/>
      <c r="V72" s="118" t="s">
        <v>53</v>
      </c>
      <c r="W72" s="118" t="s">
        <v>1473</v>
      </c>
      <c r="X72" s="118" t="s">
        <v>1474</v>
      </c>
      <c r="Y72" s="118" t="s">
        <v>1475</v>
      </c>
      <c r="Z72" s="145"/>
    </row>
    <row r="73">
      <c r="A73" s="204"/>
      <c r="B73" s="118" t="s">
        <v>2622</v>
      </c>
      <c r="C73" s="118" t="s">
        <v>2600</v>
      </c>
      <c r="D73" s="118" t="s">
        <v>159</v>
      </c>
      <c r="E73" s="118" t="s">
        <v>54</v>
      </c>
      <c r="F73" s="118" t="s">
        <v>2887</v>
      </c>
      <c r="G73" s="118" t="s">
        <v>3059</v>
      </c>
      <c r="H73" s="118" t="s">
        <v>2898</v>
      </c>
      <c r="I73" s="145"/>
      <c r="J73" s="328">
        <v>439999.0</v>
      </c>
      <c r="K73" s="329">
        <v>46050.0</v>
      </c>
      <c r="L73" s="329">
        <v>46231.0</v>
      </c>
      <c r="M73" s="165">
        <v>46049.0</v>
      </c>
      <c r="N73" s="31">
        <v>0.045</v>
      </c>
      <c r="O73" s="40"/>
      <c r="P73" s="204"/>
      <c r="Q73" s="322">
        <v>1500.0</v>
      </c>
      <c r="R73" s="118" t="s">
        <v>2588</v>
      </c>
      <c r="S73" s="324"/>
      <c r="T73" s="325"/>
      <c r="U73" s="145"/>
      <c r="V73" s="118" t="s">
        <v>53</v>
      </c>
      <c r="W73" s="118" t="s">
        <v>3060</v>
      </c>
      <c r="X73" s="118" t="s">
        <v>1667</v>
      </c>
      <c r="Y73" s="118" t="s">
        <v>3061</v>
      </c>
      <c r="Z73" s="145"/>
    </row>
    <row r="74">
      <c r="A74" s="204"/>
      <c r="B74" s="118" t="s">
        <v>2592</v>
      </c>
      <c r="C74" s="185" t="s">
        <v>2600</v>
      </c>
      <c r="D74" s="23" t="s">
        <v>72</v>
      </c>
      <c r="E74" s="185" t="s">
        <v>54</v>
      </c>
      <c r="F74" s="344" t="s">
        <v>2881</v>
      </c>
      <c r="G74" s="23" t="s">
        <v>3062</v>
      </c>
      <c r="H74" s="185"/>
      <c r="I74" s="145"/>
      <c r="J74" s="337"/>
      <c r="K74" s="241"/>
      <c r="L74" s="241"/>
      <c r="M74" s="164"/>
      <c r="N74" s="321"/>
      <c r="O74" s="331"/>
      <c r="P74" s="185"/>
      <c r="Q74" s="322">
        <v>0.0</v>
      </c>
      <c r="R74" s="323"/>
      <c r="S74" s="324"/>
      <c r="T74" s="325"/>
      <c r="U74" s="145"/>
      <c r="V74" s="37" t="s">
        <v>53</v>
      </c>
      <c r="W74" s="37" t="s">
        <v>3063</v>
      </c>
      <c r="X74" s="37" t="s">
        <v>3064</v>
      </c>
      <c r="Y74" s="37" t="s">
        <v>3065</v>
      </c>
      <c r="Z74" s="145"/>
    </row>
    <row r="75">
      <c r="A75" s="227"/>
      <c r="B75" s="118" t="s">
        <v>2592</v>
      </c>
      <c r="C75" s="118" t="s">
        <v>2584</v>
      </c>
      <c r="D75" s="118" t="s">
        <v>159</v>
      </c>
      <c r="E75" s="118" t="s">
        <v>54</v>
      </c>
      <c r="F75" s="344" t="s">
        <v>2881</v>
      </c>
      <c r="G75" s="118" t="s">
        <v>3066</v>
      </c>
      <c r="H75" s="323"/>
      <c r="I75" s="145"/>
      <c r="J75" s="338"/>
      <c r="K75" s="334"/>
      <c r="L75" s="334"/>
      <c r="M75" s="164"/>
      <c r="N75" s="51"/>
      <c r="O75" s="40"/>
      <c r="P75" s="204"/>
      <c r="Q75" s="322">
        <v>0.0</v>
      </c>
      <c r="R75" s="323"/>
      <c r="S75" s="324"/>
      <c r="T75" s="325"/>
      <c r="U75" s="145"/>
      <c r="V75" s="37" t="s">
        <v>53</v>
      </c>
      <c r="W75" s="323"/>
      <c r="X75" s="323"/>
      <c r="Y75" s="323"/>
      <c r="Z75" s="145"/>
    </row>
    <row r="76">
      <c r="A76" s="204"/>
      <c r="B76" s="118" t="s">
        <v>2622</v>
      </c>
      <c r="C76" s="118" t="s">
        <v>2600</v>
      </c>
      <c r="D76" s="118" t="s">
        <v>646</v>
      </c>
      <c r="E76" s="118" t="s">
        <v>54</v>
      </c>
      <c r="F76" s="344" t="s">
        <v>2585</v>
      </c>
      <c r="G76" s="118" t="s">
        <v>3067</v>
      </c>
      <c r="H76" s="323"/>
      <c r="I76" s="145"/>
      <c r="J76" s="328">
        <v>249999.0</v>
      </c>
      <c r="K76" s="329">
        <v>46098.0</v>
      </c>
      <c r="L76" s="329">
        <v>46282.0</v>
      </c>
      <c r="M76" s="356">
        <v>46098.0</v>
      </c>
      <c r="N76" s="31">
        <v>0.02</v>
      </c>
      <c r="O76" s="40"/>
      <c r="P76" s="204"/>
      <c r="Q76" s="322">
        <v>850.0</v>
      </c>
      <c r="R76" s="323"/>
      <c r="S76" s="324"/>
      <c r="T76" s="325"/>
      <c r="U76" s="145"/>
      <c r="V76" s="323"/>
      <c r="W76" s="118" t="s">
        <v>3068</v>
      </c>
      <c r="X76" s="118" t="s">
        <v>3069</v>
      </c>
      <c r="Y76" s="118" t="s">
        <v>3070</v>
      </c>
      <c r="Z76" s="145"/>
    </row>
    <row r="77">
      <c r="A77" s="204"/>
      <c r="B77" s="118" t="s">
        <v>2592</v>
      </c>
      <c r="C77" s="185" t="s">
        <v>2600</v>
      </c>
      <c r="D77" s="37" t="s">
        <v>641</v>
      </c>
      <c r="E77" s="185" t="s">
        <v>103</v>
      </c>
      <c r="F77" s="185" t="s">
        <v>2887</v>
      </c>
      <c r="G77" s="23" t="s">
        <v>3071</v>
      </c>
      <c r="H77" s="185" t="s">
        <v>2883</v>
      </c>
      <c r="I77" s="145"/>
      <c r="J77" s="320">
        <v>599999.0</v>
      </c>
      <c r="K77" s="60">
        <v>46020.0</v>
      </c>
      <c r="L77" s="60">
        <v>46202.0</v>
      </c>
      <c r="M77" s="165">
        <v>46019.0</v>
      </c>
      <c r="N77" s="321">
        <v>0.025</v>
      </c>
      <c r="O77" s="34" t="s">
        <v>2602</v>
      </c>
      <c r="P77" s="185"/>
      <c r="Q77" s="322">
        <v>695.0</v>
      </c>
      <c r="R77" s="118" t="s">
        <v>2588</v>
      </c>
      <c r="S77" s="324"/>
      <c r="T77" s="325"/>
      <c r="U77" s="145"/>
      <c r="V77" s="37" t="s">
        <v>53</v>
      </c>
      <c r="W77" s="37" t="s">
        <v>1603</v>
      </c>
      <c r="X77" s="37" t="s">
        <v>1604</v>
      </c>
      <c r="Y77" s="37" t="s">
        <v>1605</v>
      </c>
      <c r="Z77" s="145"/>
    </row>
    <row r="78">
      <c r="A78" s="204"/>
      <c r="B78" s="118" t="s">
        <v>2592</v>
      </c>
      <c r="C78" s="185" t="s">
        <v>2600</v>
      </c>
      <c r="D78" s="23" t="s">
        <v>812</v>
      </c>
      <c r="E78" s="185" t="s">
        <v>103</v>
      </c>
      <c r="F78" s="185" t="s">
        <v>2887</v>
      </c>
      <c r="G78" s="23" t="s">
        <v>3072</v>
      </c>
      <c r="H78" s="185" t="s">
        <v>2883</v>
      </c>
      <c r="I78" s="145"/>
      <c r="J78" s="320">
        <v>649999.0</v>
      </c>
      <c r="K78" s="60">
        <v>46010.0</v>
      </c>
      <c r="L78" s="60">
        <v>46192.0</v>
      </c>
      <c r="M78" s="165">
        <v>46009.0</v>
      </c>
      <c r="N78" s="321">
        <v>0.045</v>
      </c>
      <c r="O78" s="34" t="s">
        <v>2602</v>
      </c>
      <c r="P78" s="185"/>
      <c r="Q78" s="322">
        <v>1345.0</v>
      </c>
      <c r="R78" s="323" t="s">
        <v>2588</v>
      </c>
      <c r="S78" s="324"/>
      <c r="T78" s="325"/>
      <c r="U78" s="145"/>
      <c r="V78" s="37" t="s">
        <v>3073</v>
      </c>
      <c r="W78" s="37" t="s">
        <v>3074</v>
      </c>
      <c r="X78" s="37" t="s">
        <v>3075</v>
      </c>
      <c r="Y78" s="37" t="s">
        <v>3076</v>
      </c>
      <c r="Z78" s="145"/>
    </row>
    <row r="79">
      <c r="A79" s="227" t="s">
        <v>3077</v>
      </c>
      <c r="B79" s="118" t="s">
        <v>2622</v>
      </c>
      <c r="C79" s="118" t="s">
        <v>2600</v>
      </c>
      <c r="D79" s="118" t="s">
        <v>102</v>
      </c>
      <c r="E79" s="118" t="s">
        <v>103</v>
      </c>
      <c r="F79" s="344" t="s">
        <v>2881</v>
      </c>
      <c r="G79" s="118" t="s">
        <v>3078</v>
      </c>
      <c r="H79" s="323"/>
      <c r="I79" s="145"/>
      <c r="J79" s="328">
        <v>749000.0</v>
      </c>
      <c r="K79" s="334"/>
      <c r="L79" s="334"/>
      <c r="M79" s="165">
        <v>46026.0</v>
      </c>
      <c r="N79" s="31">
        <v>0.035</v>
      </c>
      <c r="O79" s="40"/>
      <c r="P79" s="204"/>
      <c r="Q79" s="322">
        <v>1500.0</v>
      </c>
      <c r="R79" s="323"/>
      <c r="S79" s="324"/>
      <c r="T79" s="325"/>
      <c r="U79" s="145"/>
      <c r="V79" s="118" t="s">
        <v>53</v>
      </c>
      <c r="W79" s="118" t="s">
        <v>3079</v>
      </c>
      <c r="X79" s="118" t="s">
        <v>3080</v>
      </c>
      <c r="Y79" s="118" t="s">
        <v>3081</v>
      </c>
      <c r="Z79" s="145"/>
    </row>
    <row r="80">
      <c r="A80" s="227" t="s">
        <v>3082</v>
      </c>
      <c r="B80" s="118" t="s">
        <v>2622</v>
      </c>
      <c r="C80" s="118" t="s">
        <v>2600</v>
      </c>
      <c r="D80" s="118" t="s">
        <v>102</v>
      </c>
      <c r="E80" s="118" t="s">
        <v>103</v>
      </c>
      <c r="F80" s="344" t="s">
        <v>2881</v>
      </c>
      <c r="G80" s="118" t="s">
        <v>3083</v>
      </c>
      <c r="H80" s="323"/>
      <c r="I80" s="145"/>
      <c r="J80" s="328">
        <v>375000.0</v>
      </c>
      <c r="K80" s="334"/>
      <c r="L80" s="334"/>
      <c r="M80" s="165">
        <v>46079.0</v>
      </c>
      <c r="N80" s="31">
        <v>0.0225</v>
      </c>
      <c r="O80" s="40"/>
      <c r="P80" s="204"/>
      <c r="Q80" s="322">
        <v>1250.0</v>
      </c>
      <c r="R80" s="323"/>
      <c r="S80" s="324"/>
      <c r="T80" s="325"/>
      <c r="U80" s="145"/>
      <c r="V80" s="118" t="s">
        <v>3084</v>
      </c>
      <c r="W80" s="118" t="s">
        <v>3085</v>
      </c>
      <c r="X80" s="118" t="s">
        <v>3086</v>
      </c>
      <c r="Y80" s="118" t="s">
        <v>3087</v>
      </c>
      <c r="Z80" s="145"/>
    </row>
    <row r="81">
      <c r="A81" s="227" t="s">
        <v>3088</v>
      </c>
      <c r="B81" s="118" t="s">
        <v>2622</v>
      </c>
      <c r="C81" s="118" t="s">
        <v>2600</v>
      </c>
      <c r="D81" s="118" t="s">
        <v>102</v>
      </c>
      <c r="E81" s="118" t="s">
        <v>103</v>
      </c>
      <c r="F81" s="344" t="s">
        <v>2881</v>
      </c>
      <c r="G81" s="118" t="s">
        <v>3089</v>
      </c>
      <c r="H81" s="323"/>
      <c r="I81" s="145"/>
      <c r="J81" s="328">
        <v>899999.0</v>
      </c>
      <c r="K81" s="334"/>
      <c r="L81" s="334"/>
      <c r="M81" s="165">
        <v>46114.0</v>
      </c>
      <c r="N81" s="31">
        <v>0.03</v>
      </c>
      <c r="O81" s="40"/>
      <c r="P81" s="204"/>
      <c r="Q81" s="322">
        <v>1250.0</v>
      </c>
      <c r="R81" s="323"/>
      <c r="S81" s="324"/>
      <c r="T81" s="325"/>
      <c r="U81" s="145"/>
      <c r="V81" s="323"/>
      <c r="W81" s="323"/>
      <c r="X81" s="323"/>
      <c r="Y81" s="323"/>
      <c r="Z81" s="145"/>
    </row>
    <row r="82">
      <c r="A82" s="227" t="s">
        <v>3090</v>
      </c>
      <c r="B82" s="118" t="s">
        <v>2592</v>
      </c>
      <c r="C82" s="185" t="s">
        <v>2584</v>
      </c>
      <c r="D82" s="23" t="s">
        <v>742</v>
      </c>
      <c r="E82" s="185" t="s">
        <v>103</v>
      </c>
      <c r="F82" s="340" t="s">
        <v>2881</v>
      </c>
      <c r="G82" s="23" t="s">
        <v>3091</v>
      </c>
      <c r="H82" s="185"/>
      <c r="I82" s="145"/>
      <c r="J82" s="320">
        <v>565000.0</v>
      </c>
      <c r="K82" s="60">
        <v>46001.0</v>
      </c>
      <c r="L82" s="60">
        <v>46183.0</v>
      </c>
      <c r="M82" s="165">
        <v>46000.0</v>
      </c>
      <c r="N82" s="321">
        <v>0.02</v>
      </c>
      <c r="O82" s="331"/>
      <c r="P82" s="185"/>
      <c r="Q82" s="322">
        <v>0.0</v>
      </c>
      <c r="R82" s="323" t="s">
        <v>2584</v>
      </c>
      <c r="S82" s="324"/>
      <c r="T82" s="325"/>
      <c r="U82" s="145"/>
      <c r="V82" s="37" t="s">
        <v>53</v>
      </c>
      <c r="W82" s="37" t="s">
        <v>3092</v>
      </c>
      <c r="X82" s="37" t="s">
        <v>3093</v>
      </c>
      <c r="Y82" s="37" t="s">
        <v>3094</v>
      </c>
      <c r="Z82" s="145"/>
    </row>
    <row r="83">
      <c r="A83" s="118" t="s">
        <v>3095</v>
      </c>
      <c r="B83" s="118" t="s">
        <v>2592</v>
      </c>
      <c r="C83" s="118" t="s">
        <v>2610</v>
      </c>
      <c r="D83" s="118" t="s">
        <v>641</v>
      </c>
      <c r="E83" s="118" t="s">
        <v>103</v>
      </c>
      <c r="F83" s="344" t="s">
        <v>2881</v>
      </c>
      <c r="G83" s="118" t="s">
        <v>3096</v>
      </c>
      <c r="H83" s="118" t="s">
        <v>2898</v>
      </c>
      <c r="I83" s="145"/>
      <c r="J83" s="328">
        <v>1049999.0</v>
      </c>
      <c r="K83" s="329">
        <v>46036.0</v>
      </c>
      <c r="L83" s="329">
        <v>46217.0</v>
      </c>
      <c r="M83" s="165">
        <v>46035.0</v>
      </c>
      <c r="N83" s="31">
        <v>0.03</v>
      </c>
      <c r="O83" s="330" t="s">
        <v>2602</v>
      </c>
      <c r="P83" s="204"/>
      <c r="Q83" s="322">
        <v>1350.0</v>
      </c>
      <c r="R83" s="118" t="s">
        <v>2588</v>
      </c>
      <c r="S83" s="324"/>
      <c r="T83" s="325"/>
      <c r="U83" s="145"/>
      <c r="V83" s="118" t="s">
        <v>3097</v>
      </c>
      <c r="W83" s="118" t="s">
        <v>3098</v>
      </c>
      <c r="X83" s="118" t="s">
        <v>3099</v>
      </c>
      <c r="Y83" s="118" t="s">
        <v>3100</v>
      </c>
      <c r="Z83" s="145"/>
    </row>
    <row r="84">
      <c r="A84" s="204"/>
      <c r="B84" s="118" t="s">
        <v>2622</v>
      </c>
      <c r="C84" s="118" t="s">
        <v>2600</v>
      </c>
      <c r="D84" s="118" t="s">
        <v>102</v>
      </c>
      <c r="E84" s="118" t="s">
        <v>103</v>
      </c>
      <c r="F84" s="118" t="s">
        <v>2887</v>
      </c>
      <c r="G84" s="118" t="s">
        <v>3101</v>
      </c>
      <c r="H84" s="118" t="s">
        <v>2883</v>
      </c>
      <c r="I84" s="145"/>
      <c r="J84" s="328">
        <v>249999.0</v>
      </c>
      <c r="K84" s="329">
        <v>46042.0</v>
      </c>
      <c r="L84" s="329">
        <v>46223.0</v>
      </c>
      <c r="M84" s="165">
        <v>46039.0</v>
      </c>
      <c r="N84" s="31">
        <v>0.03</v>
      </c>
      <c r="O84" s="330" t="s">
        <v>2594</v>
      </c>
      <c r="P84" s="204"/>
      <c r="Q84" s="322">
        <v>0.0</v>
      </c>
      <c r="R84" s="118" t="s">
        <v>2588</v>
      </c>
      <c r="S84" s="324"/>
      <c r="T84" s="325"/>
      <c r="U84" s="145"/>
      <c r="V84" s="118" t="s">
        <v>1681</v>
      </c>
      <c r="W84" s="118" t="s">
        <v>3102</v>
      </c>
      <c r="X84" s="118" t="s">
        <v>1682</v>
      </c>
      <c r="Y84" s="118" t="s">
        <v>1683</v>
      </c>
      <c r="Z84" s="145"/>
    </row>
    <row r="85">
      <c r="A85" s="227"/>
      <c r="B85" s="118" t="s">
        <v>2592</v>
      </c>
      <c r="C85" s="185" t="s">
        <v>2584</v>
      </c>
      <c r="D85" s="23" t="s">
        <v>812</v>
      </c>
      <c r="E85" s="185" t="s">
        <v>103</v>
      </c>
      <c r="F85" s="185" t="s">
        <v>2887</v>
      </c>
      <c r="G85" s="23" t="s">
        <v>3103</v>
      </c>
      <c r="H85" s="185" t="s">
        <v>2883</v>
      </c>
      <c r="I85" s="145"/>
      <c r="J85" s="320">
        <v>449999.0</v>
      </c>
      <c r="K85" s="60">
        <v>46011.0</v>
      </c>
      <c r="L85" s="60">
        <v>46193.0</v>
      </c>
      <c r="M85" s="165">
        <v>46010.0</v>
      </c>
      <c r="N85" s="321">
        <v>0.04</v>
      </c>
      <c r="O85" s="331"/>
      <c r="P85" s="185"/>
      <c r="Q85" s="322">
        <v>1345.0</v>
      </c>
      <c r="R85" s="323" t="s">
        <v>2588</v>
      </c>
      <c r="S85" s="324"/>
      <c r="T85" s="325"/>
      <c r="U85" s="145"/>
      <c r="V85" s="37" t="s">
        <v>53</v>
      </c>
      <c r="W85" s="37" t="s">
        <v>1435</v>
      </c>
      <c r="X85" s="37" t="s">
        <v>1436</v>
      </c>
      <c r="Y85" s="37" t="s">
        <v>1437</v>
      </c>
      <c r="Z85" s="145"/>
    </row>
    <row r="86">
      <c r="A86" s="227"/>
      <c r="B86" s="118" t="s">
        <v>2592</v>
      </c>
      <c r="C86" s="118" t="s">
        <v>2610</v>
      </c>
      <c r="D86" s="118" t="s">
        <v>812</v>
      </c>
      <c r="E86" s="118" t="s">
        <v>103</v>
      </c>
      <c r="F86" s="118" t="s">
        <v>2887</v>
      </c>
      <c r="G86" s="118" t="s">
        <v>3104</v>
      </c>
      <c r="H86" s="323"/>
      <c r="I86" s="145"/>
      <c r="J86" s="328">
        <v>189999.0</v>
      </c>
      <c r="K86" s="329">
        <v>46064.0</v>
      </c>
      <c r="L86" s="329">
        <v>46245.0</v>
      </c>
      <c r="M86" s="165">
        <v>46064.0</v>
      </c>
      <c r="N86" s="31">
        <v>0.02</v>
      </c>
      <c r="O86" s="40"/>
      <c r="P86" s="204"/>
      <c r="Q86" s="322"/>
      <c r="R86" s="323"/>
      <c r="S86" s="324"/>
      <c r="T86" s="325"/>
      <c r="U86" s="145"/>
      <c r="V86" s="118" t="s">
        <v>53</v>
      </c>
      <c r="W86" s="118" t="s">
        <v>1618</v>
      </c>
      <c r="X86" s="118" t="s">
        <v>1619</v>
      </c>
      <c r="Y86" s="118" t="s">
        <v>1620</v>
      </c>
      <c r="Z86" s="145"/>
    </row>
    <row r="87">
      <c r="A87" s="357" t="s">
        <v>3105</v>
      </c>
      <c r="B87" s="118" t="s">
        <v>2592</v>
      </c>
      <c r="C87" s="118" t="s">
        <v>2610</v>
      </c>
      <c r="D87" s="118" t="s">
        <v>719</v>
      </c>
      <c r="E87" s="118" t="s">
        <v>54</v>
      </c>
      <c r="F87" s="344" t="s">
        <v>2881</v>
      </c>
      <c r="G87" s="118" t="s">
        <v>3106</v>
      </c>
      <c r="H87" s="118" t="s">
        <v>2671</v>
      </c>
      <c r="I87" s="145"/>
      <c r="J87" s="328">
        <v>559999.0</v>
      </c>
      <c r="K87" s="329">
        <v>46056.0</v>
      </c>
      <c r="L87" s="329">
        <v>46237.0</v>
      </c>
      <c r="M87" s="165">
        <v>46056.0</v>
      </c>
      <c r="N87" s="31">
        <v>0.03</v>
      </c>
      <c r="O87" s="40"/>
      <c r="P87" s="204"/>
      <c r="Q87" s="322">
        <v>1350.0</v>
      </c>
      <c r="R87" s="323"/>
      <c r="S87" s="324"/>
      <c r="T87" s="325"/>
      <c r="U87" s="145"/>
      <c r="V87" s="37" t="s">
        <v>53</v>
      </c>
      <c r="W87" s="118" t="s">
        <v>3107</v>
      </c>
      <c r="X87" s="118" t="s">
        <v>3108</v>
      </c>
      <c r="Y87" s="118" t="s">
        <v>3109</v>
      </c>
      <c r="Z87" s="145"/>
    </row>
    <row r="88">
      <c r="A88" s="227" t="s">
        <v>3110</v>
      </c>
      <c r="B88" s="118" t="s">
        <v>2584</v>
      </c>
      <c r="C88" s="118" t="s">
        <v>2584</v>
      </c>
      <c r="D88" s="118" t="s">
        <v>3111</v>
      </c>
      <c r="E88" s="118" t="s">
        <v>54</v>
      </c>
      <c r="F88" s="118" t="s">
        <v>2887</v>
      </c>
      <c r="G88" s="118" t="s">
        <v>3112</v>
      </c>
      <c r="H88" s="323"/>
      <c r="I88" s="145"/>
      <c r="J88" s="328">
        <v>480000.0</v>
      </c>
      <c r="K88" s="329">
        <v>46037.0</v>
      </c>
      <c r="L88" s="329">
        <v>46188.0</v>
      </c>
      <c r="M88" s="165">
        <v>46041.0</v>
      </c>
      <c r="N88" s="31"/>
      <c r="O88" s="358">
        <v>1500.0</v>
      </c>
      <c r="P88" s="204"/>
      <c r="Q88" s="322">
        <v>0.0</v>
      </c>
      <c r="R88" s="118"/>
      <c r="S88" s="324"/>
      <c r="T88" s="325"/>
      <c r="U88" s="145"/>
      <c r="V88" s="37" t="s">
        <v>53</v>
      </c>
      <c r="W88" s="323"/>
      <c r="X88" s="323"/>
      <c r="Y88" s="323"/>
      <c r="Z88" s="145"/>
    </row>
    <row r="89">
      <c r="A89" s="204"/>
      <c r="B89" s="118" t="s">
        <v>2584</v>
      </c>
      <c r="C89" s="118" t="s">
        <v>2584</v>
      </c>
      <c r="D89" s="118" t="s">
        <v>88</v>
      </c>
      <c r="E89" s="118" t="s">
        <v>54</v>
      </c>
      <c r="F89" s="118" t="s">
        <v>2887</v>
      </c>
      <c r="G89" s="118" t="s">
        <v>3113</v>
      </c>
      <c r="H89" s="118" t="s">
        <v>2671</v>
      </c>
      <c r="I89" s="145"/>
      <c r="J89" s="328">
        <v>429990.0</v>
      </c>
      <c r="K89" s="329">
        <v>46034.0</v>
      </c>
      <c r="L89" s="329">
        <v>46215.0</v>
      </c>
      <c r="M89" s="165">
        <v>46042.0</v>
      </c>
      <c r="N89" s="31">
        <v>0.045</v>
      </c>
      <c r="O89" s="40"/>
      <c r="P89" s="204"/>
      <c r="Q89" s="322">
        <v>1395.0</v>
      </c>
      <c r="R89" s="118"/>
      <c r="S89" s="324"/>
      <c r="T89" s="325"/>
      <c r="U89" s="145"/>
      <c r="V89" s="37" t="s">
        <v>53</v>
      </c>
      <c r="W89" s="118" t="s">
        <v>3114</v>
      </c>
      <c r="X89" s="118" t="s">
        <v>1626</v>
      </c>
      <c r="Y89" s="118" t="s">
        <v>3115</v>
      </c>
      <c r="Z89" s="145"/>
    </row>
    <row r="90">
      <c r="A90" s="204"/>
      <c r="B90" s="118" t="s">
        <v>2583</v>
      </c>
      <c r="C90" s="118" t="s">
        <v>2610</v>
      </c>
      <c r="D90" s="118" t="s">
        <v>255</v>
      </c>
      <c r="E90" s="118" t="s">
        <v>103</v>
      </c>
      <c r="F90" s="118" t="s">
        <v>2887</v>
      </c>
      <c r="G90" s="118" t="s">
        <v>3116</v>
      </c>
      <c r="H90" s="118" t="s">
        <v>2898</v>
      </c>
      <c r="I90" s="145"/>
      <c r="J90" s="328">
        <v>199999.0</v>
      </c>
      <c r="K90" s="329">
        <v>46078.0</v>
      </c>
      <c r="L90" s="329">
        <v>46259.0</v>
      </c>
      <c r="M90" s="165">
        <v>46076.0</v>
      </c>
      <c r="N90" s="31">
        <v>0.04</v>
      </c>
      <c r="O90" s="40"/>
      <c r="P90" s="227" t="s">
        <v>3117</v>
      </c>
      <c r="Q90" s="322">
        <v>695.0</v>
      </c>
      <c r="R90" s="118" t="s">
        <v>2588</v>
      </c>
      <c r="S90" s="324"/>
      <c r="T90" s="325"/>
      <c r="U90" s="145"/>
      <c r="V90" s="118" t="s">
        <v>1700</v>
      </c>
      <c r="W90" s="118" t="s">
        <v>3118</v>
      </c>
      <c r="X90" s="118" t="s">
        <v>1701</v>
      </c>
      <c r="Y90" s="118" t="s">
        <v>1702</v>
      </c>
      <c r="Z90" s="145"/>
    </row>
    <row r="91">
      <c r="A91" s="204"/>
      <c r="B91" s="323" t="s">
        <v>2592</v>
      </c>
      <c r="C91" s="323" t="s">
        <v>2600</v>
      </c>
      <c r="D91" s="323" t="s">
        <v>288</v>
      </c>
      <c r="E91" s="323" t="s">
        <v>103</v>
      </c>
      <c r="F91" s="359" t="s">
        <v>2881</v>
      </c>
      <c r="G91" s="323" t="s">
        <v>3119</v>
      </c>
      <c r="H91" s="204"/>
      <c r="I91" s="145"/>
      <c r="J91" s="338">
        <v>299999.0</v>
      </c>
      <c r="K91" s="334">
        <v>46031.0</v>
      </c>
      <c r="L91" s="334">
        <v>46212.0</v>
      </c>
      <c r="M91" s="164">
        <v>46030.0</v>
      </c>
      <c r="N91" s="51">
        <v>0.02</v>
      </c>
      <c r="O91" s="40" t="s">
        <v>2602</v>
      </c>
      <c r="P91" s="204"/>
      <c r="Q91" s="360">
        <v>1345.0</v>
      </c>
      <c r="R91" s="323" t="s">
        <v>2588</v>
      </c>
      <c r="S91" s="204"/>
      <c r="T91" s="361"/>
      <c r="U91" s="145"/>
      <c r="V91" s="323" t="s">
        <v>53</v>
      </c>
      <c r="W91" s="323" t="s">
        <v>2400</v>
      </c>
      <c r="X91" s="323" t="s">
        <v>2401</v>
      </c>
      <c r="Y91" s="323" t="s">
        <v>2402</v>
      </c>
      <c r="Z91" s="145"/>
    </row>
    <row r="92">
      <c r="A92" s="227"/>
      <c r="B92" s="323" t="s">
        <v>2592</v>
      </c>
      <c r="C92" s="323" t="s">
        <v>2584</v>
      </c>
      <c r="D92" s="350" t="s">
        <v>399</v>
      </c>
      <c r="E92" s="323" t="s">
        <v>103</v>
      </c>
      <c r="F92" s="323" t="s">
        <v>2887</v>
      </c>
      <c r="G92" s="350" t="s">
        <v>3120</v>
      </c>
      <c r="H92" s="323" t="s">
        <v>2587</v>
      </c>
      <c r="I92" s="145"/>
      <c r="J92" s="338">
        <v>749999.0</v>
      </c>
      <c r="K92" s="334">
        <v>45932.0</v>
      </c>
      <c r="L92" s="334">
        <v>46114.0</v>
      </c>
      <c r="M92" s="362"/>
      <c r="N92" s="51">
        <v>0.02</v>
      </c>
      <c r="O92" s="38" t="s">
        <v>2602</v>
      </c>
      <c r="P92" s="204"/>
      <c r="Q92" s="360">
        <v>695.0</v>
      </c>
      <c r="R92" s="323" t="s">
        <v>2588</v>
      </c>
      <c r="S92" s="204"/>
      <c r="T92" s="361"/>
      <c r="U92" s="145"/>
      <c r="V92" s="323" t="s">
        <v>53</v>
      </c>
      <c r="W92" s="323" t="s">
        <v>1025</v>
      </c>
      <c r="X92" s="323" t="s">
        <v>1026</v>
      </c>
      <c r="Y92" s="323" t="s">
        <v>1027</v>
      </c>
      <c r="Z92" s="145"/>
    </row>
    <row r="93">
      <c r="A93" s="227" t="s">
        <v>3121</v>
      </c>
      <c r="B93" s="118" t="s">
        <v>2583</v>
      </c>
      <c r="C93" s="118" t="s">
        <v>2600</v>
      </c>
      <c r="D93" s="23" t="s">
        <v>184</v>
      </c>
      <c r="E93" s="118" t="s">
        <v>185</v>
      </c>
      <c r="F93" s="344" t="s">
        <v>2881</v>
      </c>
      <c r="G93" s="118" t="s">
        <v>3122</v>
      </c>
      <c r="H93" s="323"/>
      <c r="I93" s="145"/>
      <c r="J93" s="328">
        <v>799999.0</v>
      </c>
      <c r="K93" s="329">
        <v>46122.0</v>
      </c>
      <c r="L93" s="329">
        <v>46295.0</v>
      </c>
      <c r="M93" s="165">
        <v>46125.0</v>
      </c>
      <c r="N93" s="31">
        <v>0.03</v>
      </c>
      <c r="O93" s="40"/>
      <c r="P93" s="204"/>
      <c r="Q93" s="322">
        <v>0.0</v>
      </c>
      <c r="R93" s="118" t="s">
        <v>185</v>
      </c>
      <c r="S93" s="324"/>
      <c r="T93" s="325"/>
      <c r="U93" s="145"/>
      <c r="V93" s="118" t="s">
        <v>53</v>
      </c>
      <c r="W93" s="118" t="s">
        <v>1725</v>
      </c>
      <c r="X93" s="118" t="s">
        <v>3123</v>
      </c>
      <c r="Y93" s="118" t="s">
        <v>3124</v>
      </c>
      <c r="Z93" s="145"/>
    </row>
    <row r="94">
      <c r="A94" s="204"/>
      <c r="B94" s="118" t="s">
        <v>2583</v>
      </c>
      <c r="C94" s="185" t="s">
        <v>2600</v>
      </c>
      <c r="D94" s="23" t="s">
        <v>646</v>
      </c>
      <c r="E94" s="185" t="s">
        <v>54</v>
      </c>
      <c r="F94" s="185" t="s">
        <v>2887</v>
      </c>
      <c r="G94" s="23" t="s">
        <v>3125</v>
      </c>
      <c r="H94" s="185" t="s">
        <v>2898</v>
      </c>
      <c r="I94" s="145"/>
      <c r="J94" s="320">
        <v>64999.0</v>
      </c>
      <c r="K94" s="241"/>
      <c r="L94" s="241"/>
      <c r="M94" s="164"/>
      <c r="N94" s="321">
        <v>0.05</v>
      </c>
      <c r="O94" s="34">
        <v>734.93</v>
      </c>
      <c r="P94" s="185"/>
      <c r="Q94" s="324"/>
      <c r="R94" s="323" t="s">
        <v>2588</v>
      </c>
      <c r="S94" s="324"/>
      <c r="T94" s="325"/>
      <c r="U94" s="145"/>
      <c r="V94" s="37" t="s">
        <v>53</v>
      </c>
      <c r="W94" s="57"/>
      <c r="X94" s="57"/>
      <c r="Y94" s="57"/>
      <c r="Z94" s="145"/>
    </row>
    <row r="95">
      <c r="A95" s="204"/>
      <c r="B95" s="118" t="s">
        <v>2592</v>
      </c>
      <c r="C95" s="118" t="s">
        <v>2600</v>
      </c>
      <c r="D95" s="118" t="s">
        <v>214</v>
      </c>
      <c r="E95" s="118" t="s">
        <v>54</v>
      </c>
      <c r="F95" s="118" t="s">
        <v>2887</v>
      </c>
      <c r="G95" s="118" t="s">
        <v>3126</v>
      </c>
      <c r="H95" s="118" t="s">
        <v>2680</v>
      </c>
      <c r="I95" s="145"/>
      <c r="J95" s="328">
        <v>599999.0</v>
      </c>
      <c r="K95" s="329">
        <v>46082.0</v>
      </c>
      <c r="L95" s="329">
        <v>46266.0</v>
      </c>
      <c r="M95" s="165">
        <v>46081.0</v>
      </c>
      <c r="N95" s="31">
        <v>0.025</v>
      </c>
      <c r="O95" s="40"/>
      <c r="P95" s="204"/>
      <c r="Q95" s="322">
        <v>1350.0</v>
      </c>
      <c r="R95" s="118" t="s">
        <v>2588</v>
      </c>
      <c r="S95" s="324"/>
      <c r="T95" s="325"/>
      <c r="U95" s="145"/>
      <c r="V95" s="323"/>
      <c r="W95" s="118" t="s">
        <v>3127</v>
      </c>
      <c r="X95" s="118" t="s">
        <v>1760</v>
      </c>
      <c r="Y95" s="118" t="s">
        <v>3128</v>
      </c>
      <c r="Z95" s="145"/>
    </row>
    <row r="96">
      <c r="A96" s="204"/>
      <c r="B96" s="118" t="s">
        <v>2622</v>
      </c>
      <c r="C96" s="118" t="s">
        <v>2600</v>
      </c>
      <c r="D96" s="118" t="s">
        <v>646</v>
      </c>
      <c r="E96" s="118" t="s">
        <v>54</v>
      </c>
      <c r="F96" s="118" t="s">
        <v>2887</v>
      </c>
      <c r="G96" s="118" t="s">
        <v>3129</v>
      </c>
      <c r="H96" s="118" t="s">
        <v>2898</v>
      </c>
      <c r="I96" s="145"/>
      <c r="J96" s="328">
        <v>299999.0</v>
      </c>
      <c r="K96" s="329">
        <v>46080.0</v>
      </c>
      <c r="L96" s="329">
        <v>46261.0</v>
      </c>
      <c r="M96" s="165">
        <v>46080.0</v>
      </c>
      <c r="N96" s="31">
        <v>0.045</v>
      </c>
      <c r="O96" s="40"/>
      <c r="P96" s="204"/>
      <c r="Q96" s="322">
        <v>1350.0</v>
      </c>
      <c r="R96" s="118" t="s">
        <v>2588</v>
      </c>
      <c r="S96" s="324"/>
      <c r="T96" s="325"/>
      <c r="U96" s="145"/>
      <c r="V96" s="118" t="s">
        <v>3130</v>
      </c>
      <c r="W96" s="118" t="s">
        <v>1788</v>
      </c>
      <c r="X96" s="118" t="s">
        <v>1789</v>
      </c>
      <c r="Y96" s="118" t="s">
        <v>1790</v>
      </c>
      <c r="Z96" s="145"/>
    </row>
    <row r="97">
      <c r="A97" s="227"/>
      <c r="B97" s="118" t="s">
        <v>2592</v>
      </c>
      <c r="C97" s="118" t="s">
        <v>2584</v>
      </c>
      <c r="D97" s="23" t="s">
        <v>288</v>
      </c>
      <c r="E97" s="118" t="s">
        <v>103</v>
      </c>
      <c r="F97" s="344" t="s">
        <v>2881</v>
      </c>
      <c r="G97" s="118" t="s">
        <v>3131</v>
      </c>
      <c r="H97" s="323"/>
      <c r="I97" s="145"/>
      <c r="J97" s="328">
        <v>199999.0</v>
      </c>
      <c r="K97" s="329">
        <v>46109.0</v>
      </c>
      <c r="L97" s="329">
        <v>46293.0</v>
      </c>
      <c r="M97" s="165">
        <v>46104.0</v>
      </c>
      <c r="N97" s="31">
        <v>0.04</v>
      </c>
      <c r="O97" s="330"/>
      <c r="P97" s="204"/>
      <c r="Q97" s="322">
        <v>1345.0</v>
      </c>
      <c r="R97" s="118" t="s">
        <v>2588</v>
      </c>
      <c r="S97" s="324"/>
      <c r="T97" s="325"/>
      <c r="U97" s="145"/>
      <c r="V97" s="118" t="s">
        <v>53</v>
      </c>
      <c r="W97" s="118" t="s">
        <v>3132</v>
      </c>
      <c r="X97" s="118" t="s">
        <v>3133</v>
      </c>
      <c r="Y97" s="118" t="s">
        <v>3134</v>
      </c>
      <c r="Z97" s="145"/>
    </row>
    <row r="98">
      <c r="A98" s="227" t="s">
        <v>3135</v>
      </c>
      <c r="B98" s="118" t="s">
        <v>2592</v>
      </c>
      <c r="C98" s="118" t="s">
        <v>2584</v>
      </c>
      <c r="D98" s="23" t="s">
        <v>542</v>
      </c>
      <c r="E98" s="118" t="s">
        <v>54</v>
      </c>
      <c r="F98" s="344" t="s">
        <v>2881</v>
      </c>
      <c r="G98" s="118" t="s">
        <v>3136</v>
      </c>
      <c r="H98" s="323"/>
      <c r="I98" s="145"/>
      <c r="J98" s="328">
        <v>490000.0</v>
      </c>
      <c r="K98" s="329">
        <v>46150.0</v>
      </c>
      <c r="L98" s="329">
        <v>46334.0</v>
      </c>
      <c r="M98" s="165">
        <v>46153.0</v>
      </c>
      <c r="N98" s="31">
        <v>0.05</v>
      </c>
      <c r="O98" s="40"/>
      <c r="P98" s="204"/>
      <c r="Q98" s="322">
        <v>1500.0</v>
      </c>
      <c r="R98" s="323"/>
      <c r="S98" s="324"/>
      <c r="T98" s="325"/>
      <c r="U98" s="145"/>
      <c r="V98" s="323"/>
      <c r="W98" s="323"/>
      <c r="X98" s="323"/>
      <c r="Y98" s="323"/>
      <c r="Z98" s="145"/>
    </row>
    <row r="99">
      <c r="A99" s="227" t="s">
        <v>3137</v>
      </c>
      <c r="B99" s="118" t="s">
        <v>2592</v>
      </c>
      <c r="C99" s="323"/>
      <c r="D99" s="118" t="s">
        <v>424</v>
      </c>
      <c r="E99" s="118" t="s">
        <v>54</v>
      </c>
      <c r="F99" s="344" t="s">
        <v>2881</v>
      </c>
      <c r="G99" s="118" t="s">
        <v>3138</v>
      </c>
      <c r="H99" s="323"/>
      <c r="I99" s="145"/>
      <c r="J99" s="328">
        <v>94999.0</v>
      </c>
      <c r="K99" s="329">
        <v>46045.0</v>
      </c>
      <c r="L99" s="329">
        <v>46226.0</v>
      </c>
      <c r="M99" s="165">
        <v>46045.0</v>
      </c>
      <c r="N99" s="31">
        <v>0.04</v>
      </c>
      <c r="O99" s="40"/>
      <c r="P99" s="204"/>
      <c r="Q99" s="322">
        <v>1345.0</v>
      </c>
      <c r="R99" s="118" t="s">
        <v>2588</v>
      </c>
      <c r="S99" s="324"/>
      <c r="T99" s="325"/>
      <c r="U99" s="145"/>
      <c r="V99" s="118" t="s">
        <v>53</v>
      </c>
      <c r="W99" s="118" t="s">
        <v>3139</v>
      </c>
      <c r="X99" s="118" t="s">
        <v>3140</v>
      </c>
      <c r="Y99" s="118" t="s">
        <v>3141</v>
      </c>
      <c r="Z99" s="145"/>
    </row>
    <row r="100" ht="15.75" customHeight="1">
      <c r="A100" s="204"/>
      <c r="B100" s="118" t="s">
        <v>2592</v>
      </c>
      <c r="C100" s="118" t="s">
        <v>2600</v>
      </c>
      <c r="D100" s="23" t="s">
        <v>633</v>
      </c>
      <c r="E100" s="118" t="s">
        <v>103</v>
      </c>
      <c r="F100" s="118" t="s">
        <v>2887</v>
      </c>
      <c r="G100" s="118" t="s">
        <v>3142</v>
      </c>
      <c r="H100" s="118" t="s">
        <v>2898</v>
      </c>
      <c r="I100" s="145"/>
      <c r="J100" s="328">
        <v>499999.0</v>
      </c>
      <c r="K100" s="329">
        <v>46119.0</v>
      </c>
      <c r="L100" s="329">
        <v>46302.0</v>
      </c>
      <c r="M100" s="165">
        <v>46122.0</v>
      </c>
      <c r="N100" s="31">
        <v>0.05</v>
      </c>
      <c r="O100" s="40"/>
      <c r="P100" s="204"/>
      <c r="Q100" s="322"/>
      <c r="R100" s="323"/>
      <c r="S100" s="324"/>
      <c r="T100" s="325"/>
      <c r="U100" s="145"/>
      <c r="V100" s="323"/>
      <c r="W100" s="323"/>
      <c r="X100" s="323"/>
      <c r="Y100" s="323"/>
      <c r="Z100" s="145"/>
    </row>
    <row r="101">
      <c r="A101" s="227" t="s">
        <v>3143</v>
      </c>
      <c r="B101" s="118" t="s">
        <v>2592</v>
      </c>
      <c r="C101" s="185" t="s">
        <v>2610</v>
      </c>
      <c r="D101" s="23" t="s">
        <v>139</v>
      </c>
      <c r="E101" s="185" t="s">
        <v>103</v>
      </c>
      <c r="F101" s="340" t="s">
        <v>2881</v>
      </c>
      <c r="G101" s="23" t="s">
        <v>3144</v>
      </c>
      <c r="H101" s="185" t="s">
        <v>2587</v>
      </c>
      <c r="I101" s="145"/>
      <c r="J101" s="320">
        <v>749999.0</v>
      </c>
      <c r="K101" s="60">
        <v>45973.0</v>
      </c>
      <c r="L101" s="60">
        <v>46154.0</v>
      </c>
      <c r="M101" s="164"/>
      <c r="N101" s="321">
        <v>0.02</v>
      </c>
      <c r="O101" s="34" t="s">
        <v>2594</v>
      </c>
      <c r="P101" s="185"/>
      <c r="Q101" s="322">
        <v>695.0</v>
      </c>
      <c r="R101" s="323" t="s">
        <v>2584</v>
      </c>
      <c r="S101" s="324"/>
      <c r="T101" s="325"/>
      <c r="U101" s="145"/>
      <c r="V101" s="37" t="s">
        <v>53</v>
      </c>
      <c r="W101" s="37" t="s">
        <v>3145</v>
      </c>
      <c r="X101" s="37" t="s">
        <v>3146</v>
      </c>
      <c r="Y101" s="37" t="s">
        <v>3147</v>
      </c>
      <c r="Z101" s="145"/>
    </row>
    <row r="102">
      <c r="A102" s="204"/>
      <c r="B102" s="118" t="s">
        <v>2592</v>
      </c>
      <c r="C102" s="185" t="s">
        <v>2600</v>
      </c>
      <c r="D102" s="37" t="s">
        <v>341</v>
      </c>
      <c r="E102" s="185" t="s">
        <v>54</v>
      </c>
      <c r="F102" s="185" t="s">
        <v>2887</v>
      </c>
      <c r="G102" s="23" t="s">
        <v>3148</v>
      </c>
      <c r="H102" s="185" t="s">
        <v>2587</v>
      </c>
      <c r="I102" s="145"/>
      <c r="J102" s="320">
        <v>625000.0</v>
      </c>
      <c r="K102" s="363">
        <v>46025.0</v>
      </c>
      <c r="L102" s="60">
        <v>46176.0</v>
      </c>
      <c r="M102" s="60">
        <v>46029.0</v>
      </c>
      <c r="N102" s="321">
        <v>0.025</v>
      </c>
      <c r="O102" s="34">
        <v>1345.0</v>
      </c>
      <c r="P102" s="185"/>
      <c r="Q102" s="322"/>
      <c r="R102" s="118" t="s">
        <v>2588</v>
      </c>
      <c r="S102" s="324"/>
      <c r="T102" s="325"/>
      <c r="U102" s="145"/>
      <c r="V102" s="37" t="s">
        <v>53</v>
      </c>
      <c r="W102" s="37"/>
      <c r="X102" s="37"/>
      <c r="Y102" s="37"/>
      <c r="Z102" s="145"/>
    </row>
    <row r="103">
      <c r="A103" s="204"/>
      <c r="B103" s="118" t="s">
        <v>2592</v>
      </c>
      <c r="C103" s="118" t="s">
        <v>2584</v>
      </c>
      <c r="D103" s="118" t="s">
        <v>72</v>
      </c>
      <c r="E103" s="118" t="s">
        <v>54</v>
      </c>
      <c r="F103" s="118" t="s">
        <v>2887</v>
      </c>
      <c r="G103" s="118" t="s">
        <v>3149</v>
      </c>
      <c r="H103" s="323"/>
      <c r="I103" s="145"/>
      <c r="J103" s="328">
        <v>599999.0</v>
      </c>
      <c r="K103" s="329">
        <v>46049.0</v>
      </c>
      <c r="L103" s="329">
        <v>46227.0</v>
      </c>
      <c r="M103" s="165">
        <v>46048.0</v>
      </c>
      <c r="N103" s="31">
        <v>0.02</v>
      </c>
      <c r="O103" s="40"/>
      <c r="P103" s="204"/>
      <c r="Q103" s="322">
        <v>1350.0</v>
      </c>
      <c r="R103" s="118" t="s">
        <v>2584</v>
      </c>
      <c r="S103" s="324"/>
      <c r="T103" s="325"/>
      <c r="U103" s="145"/>
      <c r="V103" s="37" t="s">
        <v>53</v>
      </c>
      <c r="W103" s="323"/>
      <c r="X103" s="323"/>
      <c r="Y103" s="323"/>
      <c r="Z103" s="145"/>
    </row>
    <row r="104">
      <c r="A104" s="204"/>
      <c r="B104" s="118" t="s">
        <v>2592</v>
      </c>
      <c r="C104" s="118" t="s">
        <v>2600</v>
      </c>
      <c r="D104" s="118" t="s">
        <v>646</v>
      </c>
      <c r="E104" s="118" t="s">
        <v>54</v>
      </c>
      <c r="F104" s="118" t="s">
        <v>2887</v>
      </c>
      <c r="G104" s="118" t="s">
        <v>3150</v>
      </c>
      <c r="H104" s="118" t="s">
        <v>2612</v>
      </c>
      <c r="I104" s="145"/>
      <c r="J104" s="328">
        <v>874999.0</v>
      </c>
      <c r="K104" s="329">
        <v>46032.0</v>
      </c>
      <c r="L104" s="329">
        <v>46213.0</v>
      </c>
      <c r="M104" s="165">
        <v>46031.0</v>
      </c>
      <c r="N104" s="31">
        <v>0.03</v>
      </c>
      <c r="O104" s="40"/>
      <c r="P104" s="204"/>
      <c r="Q104" s="322">
        <v>1350.0</v>
      </c>
      <c r="R104" s="118" t="s">
        <v>2588</v>
      </c>
      <c r="S104" s="324"/>
      <c r="T104" s="325"/>
      <c r="U104" s="145"/>
      <c r="V104" s="118" t="s">
        <v>3151</v>
      </c>
      <c r="W104" s="118" t="s">
        <v>3152</v>
      </c>
      <c r="X104" s="118"/>
      <c r="Y104" s="118" t="s">
        <v>1912</v>
      </c>
      <c r="Z104" s="145"/>
    </row>
    <row r="105">
      <c r="A105" s="204"/>
      <c r="B105" s="118" t="s">
        <v>2583</v>
      </c>
      <c r="C105" s="185" t="s">
        <v>2600</v>
      </c>
      <c r="D105" s="23" t="s">
        <v>641</v>
      </c>
      <c r="E105" s="185" t="s">
        <v>103</v>
      </c>
      <c r="F105" s="173" t="s">
        <v>2887</v>
      </c>
      <c r="G105" s="326" t="s">
        <v>3153</v>
      </c>
      <c r="H105" s="185" t="s">
        <v>2680</v>
      </c>
      <c r="I105" s="145"/>
      <c r="J105" s="320">
        <v>89999.0</v>
      </c>
      <c r="K105" s="60">
        <v>45946.0</v>
      </c>
      <c r="L105" s="60">
        <v>46219.0</v>
      </c>
      <c r="M105" s="164"/>
      <c r="N105" s="332">
        <v>0.05</v>
      </c>
      <c r="O105" s="34">
        <v>899.86</v>
      </c>
      <c r="P105" s="185"/>
      <c r="Q105" s="322">
        <v>695.0</v>
      </c>
      <c r="R105" s="323" t="s">
        <v>2588</v>
      </c>
      <c r="S105" s="324"/>
      <c r="T105" s="325"/>
      <c r="U105" s="145"/>
      <c r="V105" s="37" t="s">
        <v>53</v>
      </c>
      <c r="W105" s="37" t="s">
        <v>1940</v>
      </c>
      <c r="X105" s="37" t="s">
        <v>1941</v>
      </c>
      <c r="Y105" s="37" t="s">
        <v>1942</v>
      </c>
      <c r="Z105" s="145"/>
    </row>
    <row r="106">
      <c r="A106" s="204"/>
      <c r="B106" s="323" t="s">
        <v>2622</v>
      </c>
      <c r="C106" s="323" t="s">
        <v>2610</v>
      </c>
      <c r="D106" s="323" t="s">
        <v>399</v>
      </c>
      <c r="E106" s="323" t="s">
        <v>103</v>
      </c>
      <c r="F106" s="323" t="s">
        <v>2887</v>
      </c>
      <c r="G106" s="323" t="s">
        <v>3154</v>
      </c>
      <c r="H106" s="323" t="s">
        <v>2883</v>
      </c>
      <c r="I106" s="145"/>
      <c r="J106" s="338">
        <v>599999.0</v>
      </c>
      <c r="K106" s="334">
        <v>46093.0</v>
      </c>
      <c r="L106" s="334">
        <v>46277.0</v>
      </c>
      <c r="M106" s="164">
        <v>46092.0</v>
      </c>
      <c r="N106" s="51">
        <v>0.02</v>
      </c>
      <c r="O106" s="364"/>
      <c r="P106" s="204"/>
      <c r="Q106" s="360">
        <v>595.0</v>
      </c>
      <c r="R106" s="204"/>
      <c r="S106" s="204"/>
      <c r="T106" s="361"/>
      <c r="U106" s="145"/>
      <c r="V106" s="323" t="s">
        <v>53</v>
      </c>
      <c r="W106" s="323" t="s">
        <v>1882</v>
      </c>
      <c r="X106" s="204"/>
      <c r="Y106" s="323" t="s">
        <v>1883</v>
      </c>
      <c r="Z106" s="145"/>
    </row>
    <row r="107">
      <c r="A107" s="204"/>
      <c r="B107" s="323" t="s">
        <v>2592</v>
      </c>
      <c r="C107" s="323" t="s">
        <v>2584</v>
      </c>
      <c r="D107" s="323" t="s">
        <v>399</v>
      </c>
      <c r="E107" s="323" t="s">
        <v>103</v>
      </c>
      <c r="F107" s="323" t="s">
        <v>2887</v>
      </c>
      <c r="G107" s="323" t="s">
        <v>3155</v>
      </c>
      <c r="H107" s="323" t="s">
        <v>2671</v>
      </c>
      <c r="I107" s="145"/>
      <c r="J107" s="338">
        <v>199999.0</v>
      </c>
      <c r="K107" s="334">
        <v>46059.0</v>
      </c>
      <c r="L107" s="334">
        <v>46240.0</v>
      </c>
      <c r="M107" s="164">
        <v>46057.0</v>
      </c>
      <c r="N107" s="51">
        <v>0.02</v>
      </c>
      <c r="O107" s="364"/>
      <c r="P107" s="204"/>
      <c r="Q107" s="360">
        <v>1345.0</v>
      </c>
      <c r="R107" s="323" t="s">
        <v>2584</v>
      </c>
      <c r="S107" s="204"/>
      <c r="T107" s="361"/>
      <c r="U107" s="145"/>
      <c r="V107" s="323" t="s">
        <v>53</v>
      </c>
      <c r="W107" s="323" t="s">
        <v>1767</v>
      </c>
      <c r="X107" s="323" t="s">
        <v>1768</v>
      </c>
      <c r="Y107" s="323" t="s">
        <v>1769</v>
      </c>
      <c r="Z107" s="145"/>
    </row>
    <row r="108">
      <c r="A108" s="227" t="s">
        <v>3156</v>
      </c>
      <c r="B108" s="118" t="s">
        <v>2592</v>
      </c>
      <c r="C108" s="118" t="s">
        <v>2584</v>
      </c>
      <c r="D108" s="118" t="s">
        <v>646</v>
      </c>
      <c r="E108" s="118" t="s">
        <v>54</v>
      </c>
      <c r="F108" s="344" t="s">
        <v>2881</v>
      </c>
      <c r="G108" s="118" t="s">
        <v>3157</v>
      </c>
      <c r="H108" s="323"/>
      <c r="I108" s="145"/>
      <c r="J108" s="328">
        <v>549999.0</v>
      </c>
      <c r="K108" s="329">
        <v>46041.0</v>
      </c>
      <c r="L108" s="329">
        <v>46222.0</v>
      </c>
      <c r="M108" s="165">
        <v>46044.0</v>
      </c>
      <c r="N108" s="31">
        <v>0.03</v>
      </c>
      <c r="O108" s="40"/>
      <c r="P108" s="204"/>
      <c r="Q108" s="322">
        <v>1350.0</v>
      </c>
      <c r="R108" s="118" t="s">
        <v>2588</v>
      </c>
      <c r="S108" s="324"/>
      <c r="T108" s="325"/>
      <c r="U108" s="145"/>
      <c r="V108" s="37" t="s">
        <v>53</v>
      </c>
      <c r="W108" s="323"/>
      <c r="X108" s="323"/>
      <c r="Y108" s="323"/>
      <c r="Z108" s="145"/>
    </row>
    <row r="109" ht="15.75" customHeight="1">
      <c r="A109" s="204"/>
      <c r="B109" s="118" t="s">
        <v>2592</v>
      </c>
      <c r="C109" s="118" t="s">
        <v>2600</v>
      </c>
      <c r="D109" s="118" t="s">
        <v>288</v>
      </c>
      <c r="E109" s="118" t="s">
        <v>103</v>
      </c>
      <c r="F109" s="118" t="s">
        <v>2887</v>
      </c>
      <c r="G109" s="118" t="s">
        <v>3158</v>
      </c>
      <c r="H109" s="118" t="s">
        <v>2883</v>
      </c>
      <c r="I109" s="145"/>
      <c r="J109" s="328">
        <v>399999.0</v>
      </c>
      <c r="K109" s="329">
        <v>46100.0</v>
      </c>
      <c r="L109" s="329">
        <v>46284.0</v>
      </c>
      <c r="M109" s="165">
        <v>46099.0</v>
      </c>
      <c r="N109" s="31">
        <v>0.04</v>
      </c>
      <c r="O109" s="330" t="s">
        <v>2602</v>
      </c>
      <c r="P109" s="204"/>
      <c r="Q109" s="322">
        <v>1345.0</v>
      </c>
      <c r="R109" s="118" t="s">
        <v>2588</v>
      </c>
      <c r="S109" s="324"/>
      <c r="T109" s="325"/>
      <c r="U109" s="145"/>
      <c r="V109" s="118" t="s">
        <v>53</v>
      </c>
      <c r="W109" s="118" t="s">
        <v>2012</v>
      </c>
      <c r="X109" s="118" t="s">
        <v>2013</v>
      </c>
      <c r="Y109" s="118" t="s">
        <v>2014</v>
      </c>
      <c r="Z109" s="145"/>
    </row>
    <row r="110">
      <c r="A110" s="204"/>
      <c r="B110" s="118" t="s">
        <v>2592</v>
      </c>
      <c r="C110" s="118" t="s">
        <v>2584</v>
      </c>
      <c r="D110" s="118" t="s">
        <v>139</v>
      </c>
      <c r="E110" s="118" t="s">
        <v>103</v>
      </c>
      <c r="F110" s="118" t="s">
        <v>2887</v>
      </c>
      <c r="G110" s="118" t="s">
        <v>3159</v>
      </c>
      <c r="H110" s="118" t="s">
        <v>2671</v>
      </c>
      <c r="I110" s="145"/>
      <c r="J110" s="328">
        <v>399999.0</v>
      </c>
      <c r="K110" s="329">
        <v>46051.0</v>
      </c>
      <c r="L110" s="329">
        <v>46232.0</v>
      </c>
      <c r="M110" s="165">
        <v>46050.0</v>
      </c>
      <c r="N110" s="31">
        <v>0.025</v>
      </c>
      <c r="O110" s="40"/>
      <c r="P110" s="204"/>
      <c r="Q110" s="322">
        <v>995.0</v>
      </c>
      <c r="R110" s="323"/>
      <c r="S110" s="324"/>
      <c r="T110" s="325"/>
      <c r="U110" s="145"/>
      <c r="V110" s="37" t="s">
        <v>53</v>
      </c>
      <c r="W110" s="118" t="s">
        <v>3160</v>
      </c>
      <c r="X110" s="118" t="s">
        <v>3161</v>
      </c>
      <c r="Y110" s="118" t="s">
        <v>3162</v>
      </c>
      <c r="Z110" s="145"/>
    </row>
    <row r="111">
      <c r="A111" s="204"/>
      <c r="B111" s="118" t="s">
        <v>2584</v>
      </c>
      <c r="C111" s="118" t="s">
        <v>2610</v>
      </c>
      <c r="D111" s="23" t="s">
        <v>376</v>
      </c>
      <c r="E111" s="118" t="s">
        <v>103</v>
      </c>
      <c r="F111" s="118" t="s">
        <v>2887</v>
      </c>
      <c r="G111" s="118" t="s">
        <v>3163</v>
      </c>
      <c r="H111" s="118" t="s">
        <v>2883</v>
      </c>
      <c r="I111" s="145"/>
      <c r="J111" s="328">
        <v>799999.0</v>
      </c>
      <c r="K111" s="329">
        <v>46125.0</v>
      </c>
      <c r="L111" s="329">
        <v>46308.0</v>
      </c>
      <c r="M111" s="159" t="s">
        <v>53</v>
      </c>
      <c r="N111" s="333">
        <v>589.0</v>
      </c>
      <c r="O111" s="40"/>
      <c r="P111" s="204"/>
      <c r="Q111" s="322">
        <v>0.0</v>
      </c>
      <c r="R111" s="118" t="s">
        <v>2588</v>
      </c>
      <c r="S111" s="324"/>
      <c r="T111" s="325"/>
      <c r="U111" s="145"/>
      <c r="V111" s="118" t="s">
        <v>786</v>
      </c>
      <c r="W111" s="118" t="s">
        <v>2740</v>
      </c>
      <c r="X111" s="323"/>
      <c r="Y111" s="118" t="s">
        <v>1297</v>
      </c>
      <c r="Z111" s="145"/>
    </row>
    <row r="112">
      <c r="A112" s="204"/>
      <c r="B112" s="118" t="s">
        <v>2592</v>
      </c>
      <c r="C112" s="118" t="s">
        <v>2610</v>
      </c>
      <c r="D112" s="23" t="s">
        <v>633</v>
      </c>
      <c r="E112" s="118" t="s">
        <v>103</v>
      </c>
      <c r="F112" s="118" t="s">
        <v>2887</v>
      </c>
      <c r="G112" s="118" t="s">
        <v>3164</v>
      </c>
      <c r="H112" s="118" t="s">
        <v>2671</v>
      </c>
      <c r="I112" s="145"/>
      <c r="J112" s="328">
        <v>999999.0</v>
      </c>
      <c r="K112" s="329">
        <v>46082.0</v>
      </c>
      <c r="L112" s="329">
        <v>46267.0</v>
      </c>
      <c r="M112" s="165">
        <v>46084.0</v>
      </c>
      <c r="N112" s="31">
        <v>0.05</v>
      </c>
      <c r="O112" s="40"/>
      <c r="P112" s="204"/>
      <c r="Q112" s="322">
        <v>1345.0</v>
      </c>
      <c r="R112" s="118" t="s">
        <v>2588</v>
      </c>
      <c r="S112" s="324"/>
      <c r="T112" s="325"/>
      <c r="U112" s="145"/>
      <c r="V112" s="118" t="s">
        <v>3165</v>
      </c>
      <c r="W112" s="118" t="s">
        <v>3166</v>
      </c>
      <c r="X112" s="118" t="s">
        <v>3167</v>
      </c>
      <c r="Y112" s="118" t="s">
        <v>3168</v>
      </c>
      <c r="Z112" s="145"/>
    </row>
    <row r="113">
      <c r="A113" s="204"/>
      <c r="B113" s="118" t="s">
        <v>2592</v>
      </c>
      <c r="C113" s="323"/>
      <c r="D113" s="118" t="s">
        <v>214</v>
      </c>
      <c r="E113" s="118" t="s">
        <v>54</v>
      </c>
      <c r="F113" s="118" t="s">
        <v>2887</v>
      </c>
      <c r="G113" s="118" t="s">
        <v>3169</v>
      </c>
      <c r="H113" s="118" t="s">
        <v>2898</v>
      </c>
      <c r="I113" s="145"/>
      <c r="J113" s="328">
        <v>799999.0</v>
      </c>
      <c r="K113" s="329">
        <v>46103.0</v>
      </c>
      <c r="L113" s="329">
        <v>46287.0</v>
      </c>
      <c r="M113" s="165">
        <v>46103.0</v>
      </c>
      <c r="N113" s="31">
        <v>0.03</v>
      </c>
      <c r="O113" s="40"/>
      <c r="P113" s="204"/>
      <c r="Q113" s="322">
        <v>1350.0</v>
      </c>
      <c r="R113" s="118" t="s">
        <v>2588</v>
      </c>
      <c r="S113" s="324"/>
      <c r="T113" s="325"/>
      <c r="U113" s="145"/>
      <c r="V113" s="323"/>
      <c r="W113" s="118" t="s">
        <v>3170</v>
      </c>
      <c r="X113" s="118" t="s">
        <v>3171</v>
      </c>
      <c r="Y113" s="118" t="s">
        <v>2035</v>
      </c>
      <c r="Z113" s="145"/>
    </row>
    <row r="114" ht="15.75" customHeight="1">
      <c r="A114" s="204"/>
      <c r="B114" s="118" t="s">
        <v>2592</v>
      </c>
      <c r="C114" s="118" t="s">
        <v>2610</v>
      </c>
      <c r="D114" s="118" t="s">
        <v>214</v>
      </c>
      <c r="E114" s="118" t="s">
        <v>54</v>
      </c>
      <c r="F114" s="118" t="s">
        <v>2887</v>
      </c>
      <c r="G114" s="118" t="s">
        <v>3172</v>
      </c>
      <c r="H114" s="118" t="s">
        <v>2612</v>
      </c>
      <c r="I114" s="145"/>
      <c r="J114" s="328">
        <v>599999.0</v>
      </c>
      <c r="K114" s="329">
        <v>46104.0</v>
      </c>
      <c r="L114" s="329">
        <v>46288.0</v>
      </c>
      <c r="M114" s="165">
        <v>46104.0</v>
      </c>
      <c r="N114" s="31">
        <v>0.03</v>
      </c>
      <c r="O114" s="40"/>
      <c r="P114" s="204"/>
      <c r="Q114" s="322">
        <v>1350.0</v>
      </c>
      <c r="R114" s="118" t="s">
        <v>2588</v>
      </c>
      <c r="S114" s="324"/>
      <c r="T114" s="325"/>
      <c r="U114" s="145"/>
      <c r="V114" s="323"/>
      <c r="W114" s="118" t="s">
        <v>3173</v>
      </c>
      <c r="X114" s="118" t="s">
        <v>3174</v>
      </c>
      <c r="Y114" s="118" t="s">
        <v>3175</v>
      </c>
      <c r="Z114" s="145"/>
    </row>
    <row r="115">
      <c r="A115" s="204"/>
      <c r="B115" s="365"/>
      <c r="C115" s="185" t="s">
        <v>2600</v>
      </c>
      <c r="D115" s="37" t="s">
        <v>159</v>
      </c>
      <c r="E115" s="185" t="s">
        <v>54</v>
      </c>
      <c r="F115" s="185" t="s">
        <v>2887</v>
      </c>
      <c r="G115" s="23" t="s">
        <v>3176</v>
      </c>
      <c r="H115" s="185" t="s">
        <v>2898</v>
      </c>
      <c r="I115" s="145"/>
      <c r="J115" s="320">
        <v>299999.0</v>
      </c>
      <c r="K115" s="60">
        <v>46013.0</v>
      </c>
      <c r="L115" s="60">
        <v>46195.0</v>
      </c>
      <c r="M115" s="165">
        <v>46013.0</v>
      </c>
      <c r="N115" s="321">
        <v>0.05</v>
      </c>
      <c r="O115" s="331"/>
      <c r="P115" s="185"/>
      <c r="Q115" s="322">
        <v>1500.0</v>
      </c>
      <c r="R115" s="118" t="s">
        <v>2588</v>
      </c>
      <c r="S115" s="324"/>
      <c r="T115" s="325"/>
      <c r="U115" s="145"/>
      <c r="V115" s="118" t="s">
        <v>53</v>
      </c>
      <c r="W115" s="37"/>
      <c r="X115" s="37"/>
      <c r="Y115" s="37"/>
      <c r="Z115" s="145"/>
    </row>
    <row r="116">
      <c r="A116" s="227" t="s">
        <v>3177</v>
      </c>
      <c r="B116" s="118" t="s">
        <v>2592</v>
      </c>
      <c r="C116" s="118" t="s">
        <v>2610</v>
      </c>
      <c r="D116" s="118" t="s">
        <v>719</v>
      </c>
      <c r="E116" s="118" t="s">
        <v>54</v>
      </c>
      <c r="F116" s="344" t="s">
        <v>2881</v>
      </c>
      <c r="G116" s="118" t="s">
        <v>3178</v>
      </c>
      <c r="H116" s="323"/>
      <c r="I116" s="145"/>
      <c r="J116" s="328">
        <v>679999.0</v>
      </c>
      <c r="K116" s="329">
        <v>46070.0</v>
      </c>
      <c r="L116" s="329">
        <v>46251.0</v>
      </c>
      <c r="M116" s="165">
        <v>46070.0</v>
      </c>
      <c r="N116" s="31">
        <v>0.02</v>
      </c>
      <c r="O116" s="40"/>
      <c r="P116" s="204"/>
      <c r="Q116" s="322">
        <v>1350.0</v>
      </c>
      <c r="R116" s="118" t="s">
        <v>2588</v>
      </c>
      <c r="S116" s="324"/>
      <c r="T116" s="325"/>
      <c r="U116" s="145"/>
      <c r="V116" s="323"/>
      <c r="W116" s="118" t="s">
        <v>3179</v>
      </c>
      <c r="X116" s="118" t="s">
        <v>3180</v>
      </c>
      <c r="Y116" s="118" t="s">
        <v>3181</v>
      </c>
      <c r="Z116" s="145"/>
    </row>
    <row r="117">
      <c r="A117" s="227" t="s">
        <v>3182</v>
      </c>
      <c r="B117" s="118" t="s">
        <v>2592</v>
      </c>
      <c r="C117" s="118" t="s">
        <v>2584</v>
      </c>
      <c r="D117" s="118" t="s">
        <v>719</v>
      </c>
      <c r="E117" s="118" t="s">
        <v>54</v>
      </c>
      <c r="F117" s="118" t="s">
        <v>2887</v>
      </c>
      <c r="G117" s="118" t="s">
        <v>3183</v>
      </c>
      <c r="H117" s="323"/>
      <c r="I117" s="145"/>
      <c r="J117" s="328">
        <v>649999.0</v>
      </c>
      <c r="K117" s="329">
        <v>46086.0</v>
      </c>
      <c r="L117" s="329">
        <v>46270.0</v>
      </c>
      <c r="M117" s="165">
        <v>46086.0</v>
      </c>
      <c r="N117" s="31">
        <v>0.04</v>
      </c>
      <c r="O117" s="40"/>
      <c r="P117" s="204"/>
      <c r="Q117" s="322">
        <v>1350.0</v>
      </c>
      <c r="R117" s="118" t="s">
        <v>2588</v>
      </c>
      <c r="S117" s="324"/>
      <c r="T117" s="325"/>
      <c r="U117" s="145"/>
      <c r="V117" s="323"/>
      <c r="W117" s="118" t="s">
        <v>3184</v>
      </c>
      <c r="X117" s="118" t="s">
        <v>3185</v>
      </c>
      <c r="Y117" s="118" t="s">
        <v>3186</v>
      </c>
      <c r="Z117" s="145"/>
    </row>
    <row r="118">
      <c r="A118" s="227" t="s">
        <v>3187</v>
      </c>
      <c r="B118" s="118" t="s">
        <v>2584</v>
      </c>
      <c r="C118" s="118" t="s">
        <v>2584</v>
      </c>
      <c r="D118" s="118" t="s">
        <v>1073</v>
      </c>
      <c r="E118" s="118" t="s">
        <v>54</v>
      </c>
      <c r="F118" s="118" t="s">
        <v>2887</v>
      </c>
      <c r="G118" s="118" t="s">
        <v>3188</v>
      </c>
      <c r="H118" s="323"/>
      <c r="I118" s="145"/>
      <c r="J118" s="328">
        <v>499900.0</v>
      </c>
      <c r="K118" s="329">
        <v>46104.0</v>
      </c>
      <c r="L118" s="329">
        <v>46226.0</v>
      </c>
      <c r="M118" s="165">
        <v>46104.0</v>
      </c>
      <c r="N118" s="31">
        <v>0.03</v>
      </c>
      <c r="O118" s="40"/>
      <c r="P118" s="204"/>
      <c r="Q118" s="322">
        <v>0.0</v>
      </c>
      <c r="R118" s="323"/>
      <c r="S118" s="324"/>
      <c r="T118" s="325"/>
      <c r="U118" s="145"/>
      <c r="V118" s="323"/>
      <c r="W118" s="118" t="s">
        <v>3189</v>
      </c>
      <c r="X118" s="118" t="s">
        <v>1866</v>
      </c>
      <c r="Y118" s="118" t="s">
        <v>1867</v>
      </c>
      <c r="Z118" s="145"/>
    </row>
    <row r="119">
      <c r="A119" s="227" t="s">
        <v>3190</v>
      </c>
      <c r="B119" s="118" t="s">
        <v>2583</v>
      </c>
      <c r="C119" s="185" t="s">
        <v>2600</v>
      </c>
      <c r="D119" s="23" t="s">
        <v>646</v>
      </c>
      <c r="E119" s="185" t="s">
        <v>54</v>
      </c>
      <c r="F119" s="185" t="s">
        <v>2887</v>
      </c>
      <c r="G119" s="23" t="s">
        <v>3191</v>
      </c>
      <c r="H119" s="185" t="s">
        <v>2883</v>
      </c>
      <c r="I119" s="145"/>
      <c r="J119" s="320">
        <v>249999.0</v>
      </c>
      <c r="K119" s="241"/>
      <c r="L119" s="241"/>
      <c r="M119" s="164"/>
      <c r="N119" s="321">
        <v>0.05</v>
      </c>
      <c r="O119" s="34">
        <v>690.58</v>
      </c>
      <c r="P119" s="185"/>
      <c r="Q119" s="322">
        <v>0.0</v>
      </c>
      <c r="R119" s="323" t="s">
        <v>2584</v>
      </c>
      <c r="S119" s="324"/>
      <c r="T119" s="325"/>
      <c r="U119" s="145"/>
      <c r="V119" s="37" t="s">
        <v>53</v>
      </c>
      <c r="W119" s="57"/>
      <c r="X119" s="57"/>
      <c r="Y119" s="57"/>
      <c r="Z119" s="145"/>
    </row>
    <row r="120">
      <c r="A120" s="204"/>
      <c r="B120" s="118" t="s">
        <v>2583</v>
      </c>
      <c r="C120" s="185" t="s">
        <v>2584</v>
      </c>
      <c r="D120" s="23" t="s">
        <v>139</v>
      </c>
      <c r="E120" s="185" t="s">
        <v>103</v>
      </c>
      <c r="F120" s="185" t="s">
        <v>2887</v>
      </c>
      <c r="G120" s="326" t="s">
        <v>3192</v>
      </c>
      <c r="H120" s="185" t="s">
        <v>2898</v>
      </c>
      <c r="I120" s="145"/>
      <c r="J120" s="320">
        <v>649999.0</v>
      </c>
      <c r="K120" s="60">
        <v>45902.0</v>
      </c>
      <c r="L120" s="60">
        <v>46267.0</v>
      </c>
      <c r="M120" s="164"/>
      <c r="N120" s="321">
        <v>0.025</v>
      </c>
      <c r="O120" s="331"/>
      <c r="P120" s="185"/>
      <c r="Q120" s="322">
        <v>695.0</v>
      </c>
      <c r="R120" s="323" t="s">
        <v>2588</v>
      </c>
      <c r="S120" s="324"/>
      <c r="T120" s="325"/>
      <c r="U120" s="145"/>
      <c r="V120" s="37" t="s">
        <v>53</v>
      </c>
      <c r="W120" s="37" t="s">
        <v>2078</v>
      </c>
      <c r="X120" s="37" t="s">
        <v>3193</v>
      </c>
      <c r="Y120" s="37" t="s">
        <v>3194</v>
      </c>
      <c r="Z120" s="145"/>
    </row>
    <row r="121">
      <c r="A121" s="204"/>
      <c r="B121" s="323" t="s">
        <v>2622</v>
      </c>
      <c r="C121" s="323" t="s">
        <v>2600</v>
      </c>
      <c r="D121" s="323" t="s">
        <v>399</v>
      </c>
      <c r="E121" s="323" t="s">
        <v>103</v>
      </c>
      <c r="F121" s="323" t="s">
        <v>2887</v>
      </c>
      <c r="G121" s="323" t="s">
        <v>3195</v>
      </c>
      <c r="H121" s="323" t="s">
        <v>2898</v>
      </c>
      <c r="I121" s="145"/>
      <c r="J121" s="338">
        <v>399999.0</v>
      </c>
      <c r="K121" s="334">
        <v>46067.0</v>
      </c>
      <c r="L121" s="334">
        <v>46248.0</v>
      </c>
      <c r="M121" s="164">
        <v>46065.0</v>
      </c>
      <c r="N121" s="51">
        <v>0.025</v>
      </c>
      <c r="O121" s="40" t="s">
        <v>2602</v>
      </c>
      <c r="P121" s="204"/>
      <c r="Q121" s="360">
        <v>1345.0</v>
      </c>
      <c r="R121" s="323" t="s">
        <v>2588</v>
      </c>
      <c r="S121" s="204"/>
      <c r="T121" s="361"/>
      <c r="U121" s="145"/>
      <c r="V121" s="323" t="s">
        <v>53</v>
      </c>
      <c r="W121" s="323" t="s">
        <v>3196</v>
      </c>
      <c r="X121" s="323" t="s">
        <v>3197</v>
      </c>
      <c r="Y121" s="323" t="s">
        <v>2057</v>
      </c>
      <c r="Z121" s="145"/>
    </row>
    <row r="122">
      <c r="A122" s="204"/>
      <c r="B122" s="323" t="s">
        <v>2592</v>
      </c>
      <c r="C122" s="323" t="s">
        <v>2600</v>
      </c>
      <c r="D122" s="323" t="s">
        <v>139</v>
      </c>
      <c r="E122" s="323" t="s">
        <v>103</v>
      </c>
      <c r="F122" s="323" t="s">
        <v>2887</v>
      </c>
      <c r="G122" s="323" t="s">
        <v>3198</v>
      </c>
      <c r="H122" s="204"/>
      <c r="I122" s="145"/>
      <c r="J122" s="338">
        <v>599999.0</v>
      </c>
      <c r="K122" s="334">
        <v>46053.0</v>
      </c>
      <c r="L122" s="334">
        <v>46234.0</v>
      </c>
      <c r="M122" s="164">
        <v>46052.0</v>
      </c>
      <c r="N122" s="51">
        <v>0.025</v>
      </c>
      <c r="O122" s="364"/>
      <c r="P122" s="204"/>
      <c r="Q122" s="360">
        <v>995.0</v>
      </c>
      <c r="R122" s="323" t="s">
        <v>2588</v>
      </c>
      <c r="S122" s="204"/>
      <c r="T122" s="361"/>
      <c r="U122" s="145"/>
      <c r="V122" s="323" t="s">
        <v>53</v>
      </c>
      <c r="W122" s="323" t="s">
        <v>3199</v>
      </c>
      <c r="X122" s="323" t="s">
        <v>3200</v>
      </c>
      <c r="Y122" s="323" t="s">
        <v>3201</v>
      </c>
      <c r="Z122" s="145"/>
    </row>
    <row r="123">
      <c r="A123" s="204"/>
      <c r="B123" s="323" t="s">
        <v>2622</v>
      </c>
      <c r="C123" s="323" t="s">
        <v>2584</v>
      </c>
      <c r="D123" s="350" t="s">
        <v>102</v>
      </c>
      <c r="E123" s="323" t="s">
        <v>103</v>
      </c>
      <c r="F123" s="323" t="s">
        <v>2887</v>
      </c>
      <c r="G123" s="323" t="s">
        <v>3202</v>
      </c>
      <c r="H123" s="204"/>
      <c r="I123" s="145"/>
      <c r="J123" s="338">
        <v>299999.0</v>
      </c>
      <c r="K123" s="334">
        <v>46134.0</v>
      </c>
      <c r="L123" s="334">
        <v>46317.0</v>
      </c>
      <c r="M123" s="164">
        <v>46132.0</v>
      </c>
      <c r="N123" s="51">
        <v>0.03</v>
      </c>
      <c r="O123" s="364"/>
      <c r="P123" s="204"/>
      <c r="Q123" s="360">
        <v>1250.0</v>
      </c>
      <c r="R123" s="323" t="s">
        <v>2588</v>
      </c>
      <c r="S123" s="204"/>
      <c r="T123" s="361"/>
      <c r="U123" s="145"/>
      <c r="V123" s="323" t="s">
        <v>2048</v>
      </c>
      <c r="W123" s="323" t="s">
        <v>3203</v>
      </c>
      <c r="X123" s="323" t="s">
        <v>3204</v>
      </c>
      <c r="Y123" s="323" t="s">
        <v>2050</v>
      </c>
      <c r="Z123" s="145"/>
    </row>
    <row r="124">
      <c r="A124" s="204"/>
      <c r="B124" s="323" t="s">
        <v>2583</v>
      </c>
      <c r="C124" s="323" t="s">
        <v>2600</v>
      </c>
      <c r="D124" s="350" t="s">
        <v>171</v>
      </c>
      <c r="E124" s="323" t="s">
        <v>185</v>
      </c>
      <c r="F124" s="323" t="s">
        <v>2887</v>
      </c>
      <c r="G124" s="323" t="s">
        <v>3205</v>
      </c>
      <c r="H124" s="204"/>
      <c r="I124" s="145"/>
      <c r="J124" s="338">
        <v>59999.0</v>
      </c>
      <c r="K124" s="334">
        <v>46120.0</v>
      </c>
      <c r="L124" s="334">
        <v>46303.0</v>
      </c>
      <c r="M124" s="164">
        <v>46134.0</v>
      </c>
      <c r="N124" s="51" t="s">
        <v>114</v>
      </c>
      <c r="O124" s="364"/>
      <c r="P124" s="204"/>
      <c r="Q124" s="360">
        <v>1270.0</v>
      </c>
      <c r="R124" s="323" t="s">
        <v>185</v>
      </c>
      <c r="S124" s="204"/>
      <c r="T124" s="361"/>
      <c r="U124" s="145"/>
      <c r="V124" s="323" t="s">
        <v>53</v>
      </c>
      <c r="W124" s="323" t="s">
        <v>1795</v>
      </c>
      <c r="X124" s="323" t="s">
        <v>1796</v>
      </c>
      <c r="Y124" s="323" t="s">
        <v>1734</v>
      </c>
      <c r="Z124" s="145"/>
    </row>
    <row r="125">
      <c r="A125" s="204"/>
      <c r="B125" s="118" t="s">
        <v>2622</v>
      </c>
      <c r="C125" s="118" t="s">
        <v>2584</v>
      </c>
      <c r="D125" s="118" t="s">
        <v>102</v>
      </c>
      <c r="E125" s="118" t="s">
        <v>103</v>
      </c>
      <c r="F125" s="118" t="s">
        <v>2887</v>
      </c>
      <c r="G125" s="118" t="s">
        <v>3206</v>
      </c>
      <c r="H125" s="118" t="s">
        <v>2671</v>
      </c>
      <c r="I125" s="145"/>
      <c r="J125" s="328">
        <v>549999.0</v>
      </c>
      <c r="K125" s="329">
        <v>46102.0</v>
      </c>
      <c r="L125" s="329">
        <v>46286.0</v>
      </c>
      <c r="M125" s="165">
        <v>46091.0</v>
      </c>
      <c r="N125" s="31">
        <v>0.015</v>
      </c>
      <c r="O125" s="40"/>
      <c r="P125" s="204"/>
      <c r="Q125" s="322">
        <v>1250.0</v>
      </c>
      <c r="R125" s="118" t="s">
        <v>2588</v>
      </c>
      <c r="S125" s="324"/>
      <c r="T125" s="325"/>
      <c r="U125" s="145"/>
      <c r="V125" s="118" t="s">
        <v>53</v>
      </c>
      <c r="W125" s="118" t="s">
        <v>2100</v>
      </c>
      <c r="X125" s="118" t="s">
        <v>2101</v>
      </c>
      <c r="Y125" s="118" t="s">
        <v>2102</v>
      </c>
      <c r="Z125" s="145"/>
    </row>
    <row r="126">
      <c r="A126" s="204"/>
      <c r="B126" s="323"/>
      <c r="C126" s="323"/>
      <c r="D126" s="323"/>
      <c r="E126" s="323"/>
      <c r="F126" s="323"/>
      <c r="G126" s="323"/>
      <c r="H126" s="323"/>
      <c r="I126" s="145"/>
      <c r="J126" s="338"/>
      <c r="K126" s="334"/>
      <c r="L126" s="334"/>
      <c r="M126" s="164"/>
      <c r="N126" s="51"/>
      <c r="O126" s="40"/>
      <c r="P126" s="204"/>
      <c r="Q126" s="322"/>
      <c r="R126" s="323"/>
      <c r="S126" s="324"/>
      <c r="T126" s="325"/>
      <c r="U126" s="145"/>
      <c r="V126" s="323"/>
      <c r="W126" s="323"/>
      <c r="X126" s="323"/>
      <c r="Y126" s="323"/>
      <c r="Z126" s="145"/>
    </row>
    <row r="127">
      <c r="A127" s="204"/>
      <c r="B127" s="323"/>
      <c r="C127" s="323"/>
      <c r="D127" s="323"/>
      <c r="E127" s="323"/>
      <c r="F127" s="323"/>
      <c r="G127" s="323"/>
      <c r="H127" s="323"/>
      <c r="I127" s="145"/>
      <c r="J127" s="338"/>
      <c r="K127" s="334"/>
      <c r="L127" s="334"/>
      <c r="M127" s="164"/>
      <c r="N127" s="51"/>
      <c r="O127" s="40"/>
      <c r="P127" s="204"/>
      <c r="Q127" s="322"/>
      <c r="R127" s="323"/>
      <c r="S127" s="324"/>
      <c r="T127" s="325"/>
      <c r="U127" s="145"/>
      <c r="V127" s="323"/>
      <c r="W127" s="323"/>
      <c r="X127" s="323"/>
      <c r="Y127" s="323"/>
      <c r="Z127" s="145"/>
    </row>
    <row r="128">
      <c r="A128" s="204"/>
      <c r="B128" s="323"/>
      <c r="C128" s="323"/>
      <c r="D128" s="323"/>
      <c r="E128" s="323"/>
      <c r="F128" s="323"/>
      <c r="G128" s="323"/>
      <c r="H128" s="323"/>
      <c r="I128" s="145"/>
      <c r="J128" s="338"/>
      <c r="K128" s="334"/>
      <c r="L128" s="334"/>
      <c r="M128" s="164"/>
      <c r="N128" s="51"/>
      <c r="O128" s="40"/>
      <c r="P128" s="204"/>
      <c r="Q128" s="322"/>
      <c r="R128" s="323"/>
      <c r="S128" s="324"/>
      <c r="T128" s="325"/>
      <c r="U128" s="145"/>
      <c r="V128" s="323"/>
      <c r="W128" s="323"/>
      <c r="X128" s="323"/>
      <c r="Y128" s="323"/>
      <c r="Z128" s="145"/>
    </row>
    <row r="129">
      <c r="A129" s="204"/>
      <c r="B129" s="323"/>
      <c r="C129" s="323"/>
      <c r="D129" s="323"/>
      <c r="E129" s="323"/>
      <c r="F129" s="323"/>
      <c r="G129" s="323"/>
      <c r="H129" s="323"/>
      <c r="I129" s="145"/>
      <c r="J129" s="338"/>
      <c r="K129" s="334"/>
      <c r="L129" s="334"/>
      <c r="M129" s="164"/>
      <c r="N129" s="51"/>
      <c r="O129" s="40"/>
      <c r="P129" s="204"/>
      <c r="Q129" s="322"/>
      <c r="R129" s="323"/>
      <c r="S129" s="324"/>
      <c r="T129" s="325"/>
      <c r="U129" s="145"/>
      <c r="V129" s="323"/>
      <c r="W129" s="323"/>
      <c r="X129" s="323"/>
      <c r="Y129" s="323"/>
      <c r="Z129" s="145"/>
    </row>
    <row r="130">
      <c r="A130" s="204"/>
      <c r="B130" s="323"/>
      <c r="C130" s="323"/>
      <c r="D130" s="323"/>
      <c r="E130" s="323"/>
      <c r="F130" s="323"/>
      <c r="G130" s="323"/>
      <c r="H130" s="323"/>
      <c r="I130" s="145"/>
      <c r="J130" s="338"/>
      <c r="K130" s="334"/>
      <c r="L130" s="334"/>
      <c r="M130" s="164"/>
      <c r="N130" s="51"/>
      <c r="O130" s="40"/>
      <c r="P130" s="204"/>
      <c r="Q130" s="322"/>
      <c r="R130" s="323"/>
      <c r="S130" s="324"/>
      <c r="T130" s="325"/>
      <c r="U130" s="145"/>
      <c r="V130" s="323"/>
      <c r="W130" s="323"/>
      <c r="X130" s="323"/>
      <c r="Y130" s="323"/>
      <c r="Z130" s="145"/>
    </row>
    <row r="131">
      <c r="A131" s="204"/>
      <c r="B131" s="323"/>
      <c r="C131" s="323"/>
      <c r="D131" s="323"/>
      <c r="E131" s="323"/>
      <c r="F131" s="323"/>
      <c r="G131" s="323"/>
      <c r="H131" s="323"/>
      <c r="I131" s="145"/>
      <c r="J131" s="338"/>
      <c r="K131" s="334"/>
      <c r="L131" s="334"/>
      <c r="M131" s="164"/>
      <c r="N131" s="51"/>
      <c r="O131" s="40"/>
      <c r="P131" s="204"/>
      <c r="Q131" s="322"/>
      <c r="R131" s="323"/>
      <c r="S131" s="324"/>
      <c r="T131" s="325"/>
      <c r="U131" s="145"/>
      <c r="V131" s="323"/>
      <c r="W131" s="323"/>
      <c r="X131" s="323"/>
      <c r="Y131" s="323"/>
      <c r="Z131" s="145"/>
    </row>
    <row r="132">
      <c r="A132" s="204"/>
      <c r="B132" s="323"/>
      <c r="C132" s="323"/>
      <c r="D132" s="323"/>
      <c r="E132" s="323"/>
      <c r="F132" s="323"/>
      <c r="G132" s="323"/>
      <c r="H132" s="323"/>
      <c r="I132" s="145"/>
      <c r="J132" s="338"/>
      <c r="K132" s="334"/>
      <c r="L132" s="334"/>
      <c r="M132" s="164"/>
      <c r="N132" s="51"/>
      <c r="O132" s="40"/>
      <c r="P132" s="204"/>
      <c r="Q132" s="322"/>
      <c r="R132" s="323"/>
      <c r="S132" s="324"/>
      <c r="T132" s="325"/>
      <c r="U132" s="145"/>
      <c r="V132" s="323"/>
      <c r="W132" s="323"/>
      <c r="X132" s="323"/>
      <c r="Y132" s="323"/>
      <c r="Z132" s="145"/>
    </row>
    <row r="133">
      <c r="A133" s="204"/>
      <c r="B133" s="323"/>
      <c r="C133" s="323"/>
      <c r="D133" s="323"/>
      <c r="E133" s="323"/>
      <c r="F133" s="323"/>
      <c r="G133" s="323"/>
      <c r="H133" s="323"/>
      <c r="I133" s="145"/>
      <c r="J133" s="338"/>
      <c r="K133" s="334"/>
      <c r="L133" s="334"/>
      <c r="M133" s="164"/>
      <c r="N133" s="51"/>
      <c r="O133" s="40"/>
      <c r="P133" s="204"/>
      <c r="Q133" s="322"/>
      <c r="R133" s="323"/>
      <c r="S133" s="324"/>
      <c r="T133" s="325"/>
      <c r="U133" s="145"/>
      <c r="V133" s="323"/>
      <c r="W133" s="323"/>
      <c r="X133" s="323"/>
      <c r="Y133" s="323"/>
      <c r="Z133" s="145"/>
    </row>
    <row r="134">
      <c r="A134" s="204"/>
      <c r="B134" s="323"/>
      <c r="C134" s="323"/>
      <c r="D134" s="323"/>
      <c r="E134" s="323"/>
      <c r="F134" s="323"/>
      <c r="G134" s="323"/>
      <c r="H134" s="323"/>
      <c r="I134" s="145"/>
      <c r="J134" s="338"/>
      <c r="K134" s="334"/>
      <c r="L134" s="334"/>
      <c r="M134" s="164"/>
      <c r="N134" s="51"/>
      <c r="O134" s="40"/>
      <c r="P134" s="204"/>
      <c r="Q134" s="322"/>
      <c r="R134" s="323"/>
      <c r="S134" s="324"/>
      <c r="T134" s="325"/>
      <c r="U134" s="145"/>
      <c r="V134" s="323"/>
      <c r="W134" s="323"/>
      <c r="X134" s="323"/>
      <c r="Y134" s="323"/>
      <c r="Z134" s="145"/>
    </row>
    <row r="135">
      <c r="A135" s="204"/>
      <c r="B135" s="323"/>
      <c r="C135" s="323"/>
      <c r="D135" s="323"/>
      <c r="E135" s="323"/>
      <c r="F135" s="323"/>
      <c r="G135" s="323"/>
      <c r="H135" s="323"/>
      <c r="I135" s="145"/>
      <c r="J135" s="338"/>
      <c r="K135" s="334"/>
      <c r="L135" s="334"/>
      <c r="M135" s="164"/>
      <c r="N135" s="51"/>
      <c r="O135" s="40"/>
      <c r="P135" s="204"/>
      <c r="Q135" s="322"/>
      <c r="R135" s="323"/>
      <c r="S135" s="324"/>
      <c r="T135" s="325"/>
      <c r="U135" s="145"/>
      <c r="V135" s="323"/>
      <c r="W135" s="323"/>
      <c r="X135" s="323"/>
      <c r="Y135" s="323"/>
      <c r="Z135" s="145"/>
    </row>
    <row r="136">
      <c r="A136" s="204"/>
      <c r="B136" s="323"/>
      <c r="C136" s="323"/>
      <c r="D136" s="323"/>
      <c r="E136" s="323"/>
      <c r="F136" s="323"/>
      <c r="G136" s="323"/>
      <c r="H136" s="323"/>
      <c r="I136" s="145"/>
      <c r="J136" s="338"/>
      <c r="K136" s="334"/>
      <c r="L136" s="334"/>
      <c r="M136" s="164"/>
      <c r="N136" s="51"/>
      <c r="O136" s="40"/>
      <c r="P136" s="204"/>
      <c r="Q136" s="322"/>
      <c r="R136" s="323"/>
      <c r="S136" s="324"/>
      <c r="T136" s="325"/>
      <c r="U136" s="145"/>
      <c r="V136" s="323"/>
      <c r="W136" s="323"/>
      <c r="X136" s="323"/>
      <c r="Y136" s="323"/>
      <c r="Z136" s="145"/>
    </row>
    <row r="137">
      <c r="A137" s="204"/>
      <c r="B137" s="323"/>
      <c r="C137" s="323"/>
      <c r="D137" s="323"/>
      <c r="E137" s="323"/>
      <c r="F137" s="323"/>
      <c r="G137" s="323"/>
      <c r="H137" s="323"/>
      <c r="I137" s="145"/>
      <c r="J137" s="338"/>
      <c r="K137" s="334"/>
      <c r="L137" s="334"/>
      <c r="M137" s="164"/>
      <c r="N137" s="51"/>
      <c r="O137" s="40"/>
      <c r="P137" s="204"/>
      <c r="Q137" s="322"/>
      <c r="R137" s="323"/>
      <c r="S137" s="324"/>
      <c r="T137" s="325"/>
      <c r="U137" s="145"/>
      <c r="V137" s="323"/>
      <c r="W137" s="323"/>
      <c r="X137" s="323"/>
      <c r="Y137" s="323"/>
      <c r="Z137" s="145"/>
    </row>
    <row r="138">
      <c r="A138" s="204"/>
      <c r="B138" s="323"/>
      <c r="C138" s="323"/>
      <c r="D138" s="323"/>
      <c r="E138" s="323"/>
      <c r="F138" s="323"/>
      <c r="G138" s="323"/>
      <c r="H138" s="323"/>
      <c r="I138" s="145"/>
      <c r="J138" s="338"/>
      <c r="K138" s="334"/>
      <c r="L138" s="334"/>
      <c r="M138" s="164"/>
      <c r="N138" s="51"/>
      <c r="O138" s="40"/>
      <c r="P138" s="204"/>
      <c r="Q138" s="322"/>
      <c r="R138" s="323"/>
      <c r="S138" s="324"/>
      <c r="T138" s="325"/>
      <c r="U138" s="145"/>
      <c r="V138" s="323"/>
      <c r="W138" s="323"/>
      <c r="X138" s="323"/>
      <c r="Y138" s="323"/>
      <c r="Z138" s="145"/>
    </row>
    <row r="139">
      <c r="A139" s="204"/>
      <c r="B139" s="323"/>
      <c r="C139" s="323"/>
      <c r="D139" s="323"/>
      <c r="E139" s="323"/>
      <c r="F139" s="323"/>
      <c r="G139" s="323"/>
      <c r="H139" s="323"/>
      <c r="I139" s="145"/>
      <c r="J139" s="338"/>
      <c r="K139" s="334"/>
      <c r="L139" s="334"/>
      <c r="M139" s="164"/>
      <c r="N139" s="51"/>
      <c r="O139" s="40"/>
      <c r="P139" s="204"/>
      <c r="Q139" s="322"/>
      <c r="R139" s="323"/>
      <c r="S139" s="324"/>
      <c r="T139" s="325"/>
      <c r="U139" s="145"/>
      <c r="V139" s="323"/>
      <c r="W139" s="323"/>
      <c r="X139" s="323"/>
      <c r="Y139" s="323"/>
      <c r="Z139" s="145"/>
    </row>
    <row r="140">
      <c r="A140" s="204"/>
      <c r="B140" s="323"/>
      <c r="C140" s="323"/>
      <c r="D140" s="323"/>
      <c r="E140" s="323"/>
      <c r="F140" s="323"/>
      <c r="G140" s="323"/>
      <c r="H140" s="323"/>
      <c r="I140" s="145"/>
      <c r="J140" s="338"/>
      <c r="K140" s="334"/>
      <c r="L140" s="334"/>
      <c r="M140" s="164"/>
      <c r="N140" s="51"/>
      <c r="O140" s="40"/>
      <c r="P140" s="204"/>
      <c r="Q140" s="322"/>
      <c r="R140" s="323"/>
      <c r="S140" s="324"/>
      <c r="T140" s="325"/>
      <c r="U140" s="145"/>
      <c r="V140" s="323"/>
      <c r="W140" s="323"/>
      <c r="X140" s="323"/>
      <c r="Y140" s="323"/>
      <c r="Z140" s="145"/>
    </row>
    <row r="141">
      <c r="A141" s="204"/>
      <c r="B141" s="323"/>
      <c r="C141" s="323"/>
      <c r="D141" s="323"/>
      <c r="E141" s="323"/>
      <c r="F141" s="323"/>
      <c r="G141" s="323"/>
      <c r="H141" s="323"/>
      <c r="I141" s="145"/>
      <c r="J141" s="338"/>
      <c r="K141" s="334"/>
      <c r="L141" s="334"/>
      <c r="M141" s="164"/>
      <c r="N141" s="51"/>
      <c r="O141" s="40"/>
      <c r="P141" s="204"/>
      <c r="Q141" s="322"/>
      <c r="R141" s="323"/>
      <c r="S141" s="324"/>
      <c r="T141" s="325"/>
      <c r="U141" s="145"/>
      <c r="V141" s="323"/>
      <c r="W141" s="323"/>
      <c r="X141" s="323"/>
      <c r="Y141" s="323"/>
      <c r="Z141" s="145"/>
    </row>
    <row r="142">
      <c r="A142" s="204"/>
      <c r="B142" s="323"/>
      <c r="C142" s="323"/>
      <c r="D142" s="323"/>
      <c r="E142" s="323"/>
      <c r="F142" s="323"/>
      <c r="G142" s="323"/>
      <c r="H142" s="323"/>
      <c r="I142" s="145"/>
      <c r="J142" s="338"/>
      <c r="K142" s="334"/>
      <c r="L142" s="334"/>
      <c r="M142" s="164"/>
      <c r="N142" s="51"/>
      <c r="O142" s="40"/>
      <c r="P142" s="204"/>
      <c r="Q142" s="322"/>
      <c r="R142" s="323"/>
      <c r="S142" s="324"/>
      <c r="T142" s="325"/>
      <c r="U142" s="145"/>
      <c r="V142" s="323"/>
      <c r="W142" s="323"/>
      <c r="X142" s="323"/>
      <c r="Y142" s="323"/>
      <c r="Z142" s="145"/>
    </row>
    <row r="143">
      <c r="A143" s="204"/>
      <c r="B143" s="323"/>
      <c r="C143" s="323"/>
      <c r="D143" s="323"/>
      <c r="E143" s="323"/>
      <c r="F143" s="323"/>
      <c r="G143" s="323"/>
      <c r="H143" s="323"/>
      <c r="I143" s="145"/>
      <c r="J143" s="338"/>
      <c r="K143" s="334"/>
      <c r="L143" s="334"/>
      <c r="M143" s="164"/>
      <c r="N143" s="51"/>
      <c r="O143" s="40"/>
      <c r="P143" s="204"/>
      <c r="Q143" s="322"/>
      <c r="R143" s="323"/>
      <c r="S143" s="324"/>
      <c r="T143" s="325"/>
      <c r="U143" s="145"/>
      <c r="V143" s="323"/>
      <c r="W143" s="323"/>
      <c r="X143" s="323"/>
      <c r="Y143" s="323"/>
      <c r="Z143" s="145"/>
    </row>
    <row r="144">
      <c r="A144" s="204"/>
      <c r="B144" s="323"/>
      <c r="C144" s="323"/>
      <c r="D144" s="323"/>
      <c r="E144" s="323"/>
      <c r="F144" s="323"/>
      <c r="G144" s="323"/>
      <c r="H144" s="323"/>
      <c r="I144" s="145"/>
      <c r="J144" s="338"/>
      <c r="K144" s="334"/>
      <c r="L144" s="334"/>
      <c r="M144" s="164"/>
      <c r="N144" s="51"/>
      <c r="O144" s="40"/>
      <c r="P144" s="204"/>
      <c r="Q144" s="322"/>
      <c r="R144" s="323"/>
      <c r="S144" s="324"/>
      <c r="T144" s="325"/>
      <c r="U144" s="145"/>
      <c r="V144" s="323"/>
      <c r="W144" s="323"/>
      <c r="X144" s="323"/>
      <c r="Y144" s="323"/>
      <c r="Z144" s="145"/>
    </row>
    <row r="145">
      <c r="A145" s="204"/>
      <c r="B145" s="323"/>
      <c r="C145" s="323"/>
      <c r="D145" s="323"/>
      <c r="E145" s="323"/>
      <c r="F145" s="323"/>
      <c r="G145" s="323"/>
      <c r="H145" s="323"/>
      <c r="I145" s="145"/>
      <c r="J145" s="338"/>
      <c r="K145" s="334"/>
      <c r="L145" s="334"/>
      <c r="M145" s="164"/>
      <c r="N145" s="51"/>
      <c r="O145" s="40"/>
      <c r="P145" s="204"/>
      <c r="Q145" s="322"/>
      <c r="R145" s="323"/>
      <c r="S145" s="324"/>
      <c r="T145" s="325"/>
      <c r="U145" s="145"/>
      <c r="V145" s="323"/>
      <c r="W145" s="323"/>
      <c r="X145" s="323"/>
      <c r="Y145" s="323"/>
      <c r="Z145" s="145"/>
    </row>
    <row r="146">
      <c r="A146" s="204"/>
      <c r="B146" s="323"/>
      <c r="C146" s="323"/>
      <c r="D146" s="323"/>
      <c r="E146" s="323"/>
      <c r="F146" s="323"/>
      <c r="G146" s="323"/>
      <c r="H146" s="323"/>
      <c r="I146" s="145"/>
      <c r="J146" s="338"/>
      <c r="K146" s="334"/>
      <c r="L146" s="334"/>
      <c r="M146" s="164"/>
      <c r="N146" s="51"/>
      <c r="O146" s="40"/>
      <c r="P146" s="204"/>
      <c r="Q146" s="322"/>
      <c r="R146" s="323"/>
      <c r="S146" s="324"/>
      <c r="T146" s="325"/>
      <c r="U146" s="145"/>
      <c r="V146" s="323"/>
      <c r="W146" s="323"/>
      <c r="X146" s="323"/>
      <c r="Y146" s="323"/>
      <c r="Z146" s="145"/>
    </row>
    <row r="147">
      <c r="A147" s="204"/>
      <c r="B147" s="323"/>
      <c r="C147" s="323"/>
      <c r="D147" s="323"/>
      <c r="E147" s="323"/>
      <c r="F147" s="323"/>
      <c r="G147" s="323"/>
      <c r="H147" s="323"/>
      <c r="I147" s="145"/>
      <c r="J147" s="338"/>
      <c r="K147" s="334"/>
      <c r="L147" s="334"/>
      <c r="M147" s="164"/>
      <c r="N147" s="51"/>
      <c r="O147" s="40"/>
      <c r="P147" s="204"/>
      <c r="Q147" s="322"/>
      <c r="R147" s="323"/>
      <c r="S147" s="324"/>
      <c r="T147" s="325"/>
      <c r="U147" s="145"/>
      <c r="V147" s="323"/>
      <c r="W147" s="323"/>
      <c r="X147" s="323"/>
      <c r="Y147" s="323"/>
      <c r="Z147" s="145"/>
    </row>
    <row r="148">
      <c r="A148" s="204"/>
      <c r="B148" s="323"/>
      <c r="C148" s="323"/>
      <c r="D148" s="323"/>
      <c r="E148" s="323"/>
      <c r="F148" s="323"/>
      <c r="G148" s="323"/>
      <c r="H148" s="323"/>
      <c r="I148" s="145"/>
      <c r="J148" s="338"/>
      <c r="K148" s="334"/>
      <c r="L148" s="334"/>
      <c r="M148" s="164"/>
      <c r="N148" s="51"/>
      <c r="O148" s="40"/>
      <c r="P148" s="204"/>
      <c r="Q148" s="322"/>
      <c r="R148" s="323"/>
      <c r="S148" s="324"/>
      <c r="T148" s="325"/>
      <c r="U148" s="145"/>
      <c r="V148" s="323"/>
      <c r="W148" s="323"/>
      <c r="X148" s="323"/>
      <c r="Y148" s="323"/>
      <c r="Z148" s="145"/>
    </row>
    <row r="149">
      <c r="A149" s="204"/>
      <c r="B149" s="323"/>
      <c r="C149" s="323"/>
      <c r="D149" s="323"/>
      <c r="E149" s="323"/>
      <c r="F149" s="323"/>
      <c r="G149" s="323"/>
      <c r="H149" s="323"/>
      <c r="I149" s="145"/>
      <c r="J149" s="338"/>
      <c r="K149" s="334"/>
      <c r="L149" s="334"/>
      <c r="M149" s="164"/>
      <c r="N149" s="51"/>
      <c r="O149" s="40"/>
      <c r="P149" s="204"/>
      <c r="Q149" s="322"/>
      <c r="R149" s="323"/>
      <c r="S149" s="324"/>
      <c r="T149" s="325"/>
      <c r="U149" s="145"/>
      <c r="V149" s="323"/>
      <c r="W149" s="323"/>
      <c r="X149" s="323"/>
      <c r="Y149" s="323"/>
      <c r="Z149" s="145"/>
    </row>
    <row r="150">
      <c r="A150" s="204"/>
      <c r="B150" s="323"/>
      <c r="C150" s="323"/>
      <c r="D150" s="323"/>
      <c r="E150" s="323"/>
      <c r="F150" s="323"/>
      <c r="G150" s="323"/>
      <c r="H150" s="323"/>
      <c r="I150" s="145"/>
      <c r="J150" s="338"/>
      <c r="K150" s="334"/>
      <c r="L150" s="334"/>
      <c r="M150" s="164"/>
      <c r="N150" s="51"/>
      <c r="O150" s="40"/>
      <c r="P150" s="204"/>
      <c r="Q150" s="322"/>
      <c r="R150" s="323"/>
      <c r="S150" s="324"/>
      <c r="T150" s="325"/>
      <c r="U150" s="145"/>
      <c r="V150" s="323"/>
      <c r="W150" s="323"/>
      <c r="X150" s="323"/>
      <c r="Y150" s="323"/>
      <c r="Z150" s="145"/>
    </row>
    <row r="151">
      <c r="A151" s="204"/>
      <c r="B151" s="323"/>
      <c r="C151" s="323"/>
      <c r="D151" s="323"/>
      <c r="E151" s="323"/>
      <c r="F151" s="323"/>
      <c r="G151" s="323"/>
      <c r="H151" s="323"/>
      <c r="I151" s="145"/>
      <c r="J151" s="338"/>
      <c r="K151" s="334"/>
      <c r="L151" s="334"/>
      <c r="M151" s="164"/>
      <c r="N151" s="51"/>
      <c r="O151" s="40"/>
      <c r="P151" s="204"/>
      <c r="Q151" s="322"/>
      <c r="R151" s="323"/>
      <c r="S151" s="324"/>
      <c r="T151" s="325"/>
      <c r="U151" s="145"/>
      <c r="V151" s="323"/>
      <c r="W151" s="323"/>
      <c r="X151" s="323"/>
      <c r="Y151" s="323"/>
      <c r="Z151" s="145"/>
    </row>
    <row r="152">
      <c r="A152" s="204"/>
      <c r="B152" s="323"/>
      <c r="C152" s="323"/>
      <c r="D152" s="323"/>
      <c r="E152" s="323"/>
      <c r="F152" s="323"/>
      <c r="G152" s="323"/>
      <c r="H152" s="323"/>
      <c r="I152" s="145"/>
      <c r="J152" s="338"/>
      <c r="K152" s="334"/>
      <c r="L152" s="334"/>
      <c r="M152" s="164"/>
      <c r="N152" s="51"/>
      <c r="O152" s="40"/>
      <c r="P152" s="204"/>
      <c r="Q152" s="322"/>
      <c r="R152" s="323"/>
      <c r="S152" s="324"/>
      <c r="T152" s="325"/>
      <c r="U152" s="145"/>
      <c r="V152" s="323"/>
      <c r="W152" s="323"/>
      <c r="X152" s="323"/>
      <c r="Y152" s="323"/>
      <c r="Z152" s="145"/>
    </row>
    <row r="153">
      <c r="A153" s="204"/>
      <c r="B153" s="323"/>
      <c r="C153" s="323"/>
      <c r="D153" s="323"/>
      <c r="E153" s="323"/>
      <c r="F153" s="323"/>
      <c r="G153" s="323"/>
      <c r="H153" s="323"/>
      <c r="I153" s="145"/>
      <c r="J153" s="338"/>
      <c r="K153" s="334"/>
      <c r="L153" s="334"/>
      <c r="M153" s="164"/>
      <c r="N153" s="51"/>
      <c r="O153" s="40"/>
      <c r="P153" s="204"/>
      <c r="Q153" s="322"/>
      <c r="R153" s="323"/>
      <c r="S153" s="324"/>
      <c r="T153" s="325"/>
      <c r="U153" s="145"/>
      <c r="V153" s="323"/>
      <c r="W153" s="323"/>
      <c r="X153" s="323"/>
      <c r="Y153" s="323"/>
      <c r="Z153" s="145"/>
    </row>
    <row r="154">
      <c r="A154" s="204"/>
      <c r="B154" s="323"/>
      <c r="C154" s="323"/>
      <c r="D154" s="323"/>
      <c r="E154" s="323"/>
      <c r="F154" s="323"/>
      <c r="G154" s="323"/>
      <c r="H154" s="323"/>
      <c r="I154" s="145"/>
      <c r="J154" s="338"/>
      <c r="K154" s="334"/>
      <c r="L154" s="334"/>
      <c r="M154" s="164"/>
      <c r="N154" s="51"/>
      <c r="O154" s="40"/>
      <c r="P154" s="204"/>
      <c r="Q154" s="322"/>
      <c r="R154" s="323"/>
      <c r="S154" s="324"/>
      <c r="T154" s="325"/>
      <c r="U154" s="145"/>
      <c r="V154" s="323"/>
      <c r="W154" s="323"/>
      <c r="X154" s="323"/>
      <c r="Y154" s="323"/>
      <c r="Z154" s="145"/>
    </row>
    <row r="155">
      <c r="A155" s="204"/>
      <c r="B155" s="323"/>
      <c r="C155" s="323"/>
      <c r="D155" s="323"/>
      <c r="E155" s="323"/>
      <c r="F155" s="323"/>
      <c r="G155" s="323"/>
      <c r="H155" s="323"/>
      <c r="I155" s="145"/>
      <c r="J155" s="338"/>
      <c r="K155" s="334"/>
      <c r="L155" s="334"/>
      <c r="M155" s="164"/>
      <c r="N155" s="51"/>
      <c r="O155" s="40"/>
      <c r="P155" s="204"/>
      <c r="Q155" s="322"/>
      <c r="R155" s="323"/>
      <c r="S155" s="324"/>
      <c r="T155" s="325"/>
      <c r="U155" s="145"/>
      <c r="V155" s="323"/>
      <c r="W155" s="323"/>
      <c r="X155" s="323"/>
      <c r="Y155" s="323"/>
      <c r="Z155" s="145"/>
    </row>
    <row r="156">
      <c r="A156" s="204"/>
      <c r="B156" s="323"/>
      <c r="C156" s="323"/>
      <c r="D156" s="323"/>
      <c r="E156" s="323"/>
      <c r="F156" s="323"/>
      <c r="G156" s="323"/>
      <c r="H156" s="323"/>
      <c r="I156" s="145"/>
      <c r="J156" s="338"/>
      <c r="K156" s="334"/>
      <c r="L156" s="334"/>
      <c r="M156" s="164"/>
      <c r="N156" s="51"/>
      <c r="O156" s="40"/>
      <c r="P156" s="204"/>
      <c r="Q156" s="322"/>
      <c r="R156" s="323"/>
      <c r="S156" s="324"/>
      <c r="T156" s="325"/>
      <c r="U156" s="145"/>
      <c r="V156" s="323"/>
      <c r="W156" s="323"/>
      <c r="X156" s="323"/>
      <c r="Y156" s="323"/>
      <c r="Z156" s="145"/>
    </row>
    <row r="157">
      <c r="A157" s="204"/>
      <c r="B157" s="323"/>
      <c r="C157" s="323"/>
      <c r="D157" s="323"/>
      <c r="E157" s="323"/>
      <c r="F157" s="323"/>
      <c r="G157" s="323"/>
      <c r="H157" s="323"/>
      <c r="I157" s="145"/>
      <c r="J157" s="338"/>
      <c r="K157" s="334"/>
      <c r="L157" s="334"/>
      <c r="M157" s="164"/>
      <c r="N157" s="51"/>
      <c r="O157" s="40"/>
      <c r="P157" s="204"/>
      <c r="Q157" s="322"/>
      <c r="R157" s="323"/>
      <c r="S157" s="324"/>
      <c r="T157" s="325"/>
      <c r="U157" s="145"/>
      <c r="V157" s="323"/>
      <c r="W157" s="323"/>
      <c r="X157" s="323"/>
      <c r="Y157" s="323"/>
      <c r="Z157" s="145"/>
    </row>
    <row r="158">
      <c r="A158" s="204"/>
      <c r="B158" s="323"/>
      <c r="C158" s="323"/>
      <c r="D158" s="323"/>
      <c r="E158" s="323"/>
      <c r="F158" s="323"/>
      <c r="G158" s="323"/>
      <c r="H158" s="323"/>
      <c r="I158" s="145"/>
      <c r="J158" s="338"/>
      <c r="K158" s="334"/>
      <c r="L158" s="334"/>
      <c r="M158" s="164"/>
      <c r="N158" s="51"/>
      <c r="O158" s="40"/>
      <c r="P158" s="204"/>
      <c r="Q158" s="322"/>
      <c r="R158" s="323"/>
      <c r="S158" s="324"/>
      <c r="T158" s="325"/>
      <c r="U158" s="145"/>
      <c r="V158" s="323"/>
      <c r="W158" s="323"/>
      <c r="X158" s="323"/>
      <c r="Y158" s="323"/>
      <c r="Z158" s="145"/>
    </row>
    <row r="159">
      <c r="A159" s="204"/>
      <c r="B159" s="323"/>
      <c r="C159" s="323"/>
      <c r="D159" s="323"/>
      <c r="E159" s="323"/>
      <c r="F159" s="323"/>
      <c r="G159" s="323"/>
      <c r="H159" s="323"/>
      <c r="I159" s="145"/>
      <c r="J159" s="338"/>
      <c r="K159" s="334"/>
      <c r="L159" s="334"/>
      <c r="M159" s="164"/>
      <c r="N159" s="51"/>
      <c r="O159" s="40"/>
      <c r="P159" s="204"/>
      <c r="Q159" s="322"/>
      <c r="R159" s="323"/>
      <c r="S159" s="324"/>
      <c r="T159" s="325"/>
      <c r="U159" s="145"/>
      <c r="V159" s="323"/>
      <c r="W159" s="323"/>
      <c r="X159" s="323"/>
      <c r="Y159" s="323"/>
      <c r="Z159" s="145"/>
    </row>
    <row r="160">
      <c r="A160" s="204"/>
      <c r="B160" s="323"/>
      <c r="C160" s="323"/>
      <c r="D160" s="323"/>
      <c r="E160" s="323"/>
      <c r="F160" s="323"/>
      <c r="G160" s="323"/>
      <c r="H160" s="323"/>
      <c r="I160" s="145"/>
      <c r="J160" s="338"/>
      <c r="K160" s="334"/>
      <c r="L160" s="334"/>
      <c r="M160" s="164"/>
      <c r="N160" s="51"/>
      <c r="O160" s="40"/>
      <c r="P160" s="204"/>
      <c r="Q160" s="322"/>
      <c r="R160" s="323"/>
      <c r="S160" s="324"/>
      <c r="T160" s="325"/>
      <c r="U160" s="145"/>
      <c r="V160" s="323"/>
      <c r="W160" s="323"/>
      <c r="X160" s="323"/>
      <c r="Y160" s="323"/>
      <c r="Z160" s="145"/>
    </row>
    <row r="161">
      <c r="A161" s="204"/>
      <c r="B161" s="323"/>
      <c r="C161" s="323"/>
      <c r="D161" s="323"/>
      <c r="E161" s="323"/>
      <c r="F161" s="323"/>
      <c r="G161" s="323"/>
      <c r="H161" s="323"/>
      <c r="I161" s="145"/>
      <c r="J161" s="338"/>
      <c r="K161" s="334"/>
      <c r="L161" s="334"/>
      <c r="M161" s="164"/>
      <c r="N161" s="51"/>
      <c r="O161" s="40"/>
      <c r="P161" s="204"/>
      <c r="Q161" s="322"/>
      <c r="R161" s="323"/>
      <c r="S161" s="324"/>
      <c r="T161" s="325"/>
      <c r="U161" s="145"/>
      <c r="V161" s="323"/>
      <c r="W161" s="323"/>
      <c r="X161" s="323"/>
      <c r="Y161" s="323"/>
      <c r="Z161" s="145"/>
    </row>
    <row r="162">
      <c r="A162" s="204"/>
      <c r="B162" s="323"/>
      <c r="C162" s="323"/>
      <c r="D162" s="323"/>
      <c r="E162" s="323"/>
      <c r="F162" s="323"/>
      <c r="G162" s="323"/>
      <c r="H162" s="323"/>
      <c r="I162" s="145"/>
      <c r="J162" s="338"/>
      <c r="K162" s="334"/>
      <c r="L162" s="334"/>
      <c r="M162" s="164"/>
      <c r="N162" s="51"/>
      <c r="O162" s="40"/>
      <c r="P162" s="204"/>
      <c r="Q162" s="322"/>
      <c r="R162" s="323"/>
      <c r="S162" s="324"/>
      <c r="T162" s="325"/>
      <c r="U162" s="145"/>
      <c r="V162" s="323"/>
      <c r="W162" s="323"/>
      <c r="X162" s="323"/>
      <c r="Y162" s="323"/>
      <c r="Z162" s="145"/>
    </row>
    <row r="163">
      <c r="A163" s="204"/>
      <c r="B163" s="323"/>
      <c r="C163" s="323"/>
      <c r="D163" s="323"/>
      <c r="E163" s="323"/>
      <c r="F163" s="323"/>
      <c r="G163" s="323"/>
      <c r="H163" s="323"/>
      <c r="I163" s="145"/>
      <c r="J163" s="338"/>
      <c r="K163" s="334"/>
      <c r="L163" s="334"/>
      <c r="M163" s="164"/>
      <c r="N163" s="51"/>
      <c r="O163" s="40"/>
      <c r="P163" s="204"/>
      <c r="Q163" s="322"/>
      <c r="R163" s="323"/>
      <c r="S163" s="324"/>
      <c r="T163" s="325"/>
      <c r="U163" s="145"/>
      <c r="V163" s="323"/>
      <c r="W163" s="323"/>
      <c r="X163" s="323"/>
      <c r="Y163" s="323"/>
      <c r="Z163" s="145"/>
    </row>
    <row r="164">
      <c r="A164" s="204"/>
      <c r="B164" s="323"/>
      <c r="C164" s="323"/>
      <c r="D164" s="323"/>
      <c r="E164" s="323"/>
      <c r="F164" s="323"/>
      <c r="G164" s="323"/>
      <c r="H164" s="323"/>
      <c r="I164" s="145"/>
      <c r="J164" s="338"/>
      <c r="K164" s="334"/>
      <c r="L164" s="334"/>
      <c r="M164" s="164"/>
      <c r="N164" s="51"/>
      <c r="O164" s="40"/>
      <c r="P164" s="204"/>
      <c r="Q164" s="322"/>
      <c r="R164" s="323"/>
      <c r="S164" s="324"/>
      <c r="T164" s="325"/>
      <c r="U164" s="145"/>
      <c r="V164" s="323"/>
      <c r="W164" s="323"/>
      <c r="X164" s="323"/>
      <c r="Y164" s="323"/>
      <c r="Z164" s="145"/>
    </row>
    <row r="165">
      <c r="A165" s="204"/>
      <c r="B165" s="323"/>
      <c r="C165" s="323"/>
      <c r="D165" s="323"/>
      <c r="E165" s="323"/>
      <c r="F165" s="323"/>
      <c r="G165" s="323"/>
      <c r="H165" s="323"/>
      <c r="I165" s="145"/>
      <c r="J165" s="338"/>
      <c r="K165" s="334"/>
      <c r="L165" s="334"/>
      <c r="M165" s="164"/>
      <c r="N165" s="51"/>
      <c r="O165" s="40"/>
      <c r="P165" s="204"/>
      <c r="Q165" s="322"/>
      <c r="R165" s="323"/>
      <c r="S165" s="324"/>
      <c r="T165" s="325"/>
      <c r="U165" s="145"/>
      <c r="V165" s="323"/>
      <c r="W165" s="323"/>
      <c r="X165" s="323"/>
      <c r="Y165" s="323"/>
      <c r="Z165" s="145"/>
    </row>
    <row r="166">
      <c r="A166" s="204"/>
      <c r="B166" s="323"/>
      <c r="C166" s="323"/>
      <c r="D166" s="323"/>
      <c r="E166" s="323"/>
      <c r="F166" s="323"/>
      <c r="G166" s="323"/>
      <c r="H166" s="323"/>
      <c r="I166" s="145"/>
      <c r="J166" s="338"/>
      <c r="K166" s="334"/>
      <c r="L166" s="334"/>
      <c r="M166" s="164"/>
      <c r="N166" s="51"/>
      <c r="O166" s="40"/>
      <c r="P166" s="204"/>
      <c r="Q166" s="322"/>
      <c r="R166" s="323"/>
      <c r="S166" s="324"/>
      <c r="T166" s="325"/>
      <c r="U166" s="145"/>
      <c r="V166" s="323"/>
      <c r="W166" s="323"/>
      <c r="X166" s="323"/>
      <c r="Y166" s="323"/>
      <c r="Z166" s="145"/>
    </row>
    <row r="167">
      <c r="A167" s="204"/>
      <c r="B167" s="323"/>
      <c r="C167" s="323"/>
      <c r="D167" s="323"/>
      <c r="E167" s="323"/>
      <c r="F167" s="323"/>
      <c r="G167" s="323"/>
      <c r="H167" s="323"/>
      <c r="I167" s="145"/>
      <c r="J167" s="338"/>
      <c r="K167" s="334"/>
      <c r="L167" s="334"/>
      <c r="M167" s="164"/>
      <c r="N167" s="51"/>
      <c r="O167" s="40"/>
      <c r="P167" s="204"/>
      <c r="Q167" s="322"/>
      <c r="R167" s="323"/>
      <c r="S167" s="324"/>
      <c r="T167" s="325"/>
      <c r="U167" s="145"/>
      <c r="V167" s="323"/>
      <c r="W167" s="323"/>
      <c r="X167" s="323"/>
      <c r="Y167" s="323"/>
      <c r="Z167" s="145"/>
    </row>
    <row r="168">
      <c r="A168" s="204"/>
      <c r="B168" s="323"/>
      <c r="C168" s="323"/>
      <c r="D168" s="323"/>
      <c r="E168" s="323"/>
      <c r="F168" s="323"/>
      <c r="G168" s="323"/>
      <c r="H168" s="323"/>
      <c r="I168" s="145"/>
      <c r="J168" s="338"/>
      <c r="K168" s="334"/>
      <c r="L168" s="334"/>
      <c r="M168" s="164"/>
      <c r="N168" s="51"/>
      <c r="O168" s="40"/>
      <c r="P168" s="204"/>
      <c r="Q168" s="322"/>
      <c r="R168" s="323"/>
      <c r="S168" s="324"/>
      <c r="T168" s="325"/>
      <c r="U168" s="145"/>
      <c r="V168" s="323"/>
      <c r="W168" s="323"/>
      <c r="X168" s="323"/>
      <c r="Y168" s="323"/>
      <c r="Z168" s="145"/>
    </row>
    <row r="169">
      <c r="A169" s="204"/>
      <c r="B169" s="323"/>
      <c r="C169" s="323"/>
      <c r="D169" s="323"/>
      <c r="E169" s="323"/>
      <c r="F169" s="323"/>
      <c r="G169" s="323"/>
      <c r="H169" s="323"/>
      <c r="I169" s="145"/>
      <c r="J169" s="338"/>
      <c r="K169" s="334"/>
      <c r="L169" s="334"/>
      <c r="M169" s="164"/>
      <c r="N169" s="51"/>
      <c r="O169" s="40"/>
      <c r="P169" s="204"/>
      <c r="Q169" s="322"/>
      <c r="R169" s="323"/>
      <c r="S169" s="324"/>
      <c r="T169" s="325"/>
      <c r="U169" s="145"/>
      <c r="V169" s="323"/>
      <c r="W169" s="323"/>
      <c r="X169" s="323"/>
      <c r="Y169" s="323"/>
      <c r="Z169" s="145"/>
    </row>
    <row r="170">
      <c r="A170" s="204"/>
      <c r="B170" s="323"/>
      <c r="C170" s="323"/>
      <c r="D170" s="323"/>
      <c r="E170" s="323"/>
      <c r="F170" s="323"/>
      <c r="G170" s="323"/>
      <c r="H170" s="323"/>
      <c r="I170" s="145"/>
      <c r="J170" s="338"/>
      <c r="K170" s="334"/>
      <c r="L170" s="334"/>
      <c r="M170" s="164"/>
      <c r="N170" s="51"/>
      <c r="O170" s="40"/>
      <c r="P170" s="204"/>
      <c r="Q170" s="322"/>
      <c r="R170" s="323"/>
      <c r="S170" s="324"/>
      <c r="T170" s="325"/>
      <c r="U170" s="145"/>
      <c r="V170" s="323"/>
      <c r="W170" s="323"/>
      <c r="X170" s="323"/>
      <c r="Y170" s="323"/>
      <c r="Z170" s="145"/>
    </row>
    <row r="171">
      <c r="A171" s="204"/>
      <c r="B171" s="323"/>
      <c r="C171" s="323"/>
      <c r="D171" s="323"/>
      <c r="E171" s="323"/>
      <c r="F171" s="323"/>
      <c r="G171" s="323"/>
      <c r="H171" s="323"/>
      <c r="I171" s="145"/>
      <c r="J171" s="338"/>
      <c r="K171" s="334"/>
      <c r="L171" s="334"/>
      <c r="M171" s="164"/>
      <c r="N171" s="51"/>
      <c r="O171" s="40"/>
      <c r="P171" s="204"/>
      <c r="Q171" s="322"/>
      <c r="R171" s="323"/>
      <c r="S171" s="324"/>
      <c r="T171" s="325"/>
      <c r="U171" s="145"/>
      <c r="V171" s="323"/>
      <c r="W171" s="323"/>
      <c r="X171" s="323"/>
      <c r="Y171" s="323"/>
      <c r="Z171" s="145"/>
    </row>
    <row r="172">
      <c r="A172" s="204"/>
      <c r="B172" s="323"/>
      <c r="C172" s="323"/>
      <c r="D172" s="323"/>
      <c r="E172" s="323"/>
      <c r="F172" s="323"/>
      <c r="G172" s="323"/>
      <c r="H172" s="323"/>
      <c r="I172" s="145"/>
      <c r="J172" s="338"/>
      <c r="K172" s="334"/>
      <c r="L172" s="334"/>
      <c r="M172" s="164"/>
      <c r="N172" s="51"/>
      <c r="O172" s="40"/>
      <c r="P172" s="204"/>
      <c r="Q172" s="322"/>
      <c r="R172" s="323"/>
      <c r="S172" s="324"/>
      <c r="T172" s="325"/>
      <c r="U172" s="145"/>
      <c r="V172" s="323"/>
      <c r="W172" s="323"/>
      <c r="X172" s="323"/>
      <c r="Y172" s="323"/>
      <c r="Z172" s="145"/>
    </row>
    <row r="173">
      <c r="A173" s="204"/>
      <c r="B173" s="323"/>
      <c r="C173" s="323"/>
      <c r="D173" s="323"/>
      <c r="E173" s="323"/>
      <c r="F173" s="323"/>
      <c r="G173" s="323"/>
      <c r="H173" s="323"/>
      <c r="I173" s="145"/>
      <c r="J173" s="338"/>
      <c r="K173" s="334"/>
      <c r="L173" s="334"/>
      <c r="M173" s="164"/>
      <c r="N173" s="51"/>
      <c r="O173" s="40"/>
      <c r="P173" s="204"/>
      <c r="Q173" s="322"/>
      <c r="R173" s="323"/>
      <c r="S173" s="324"/>
      <c r="T173" s="325"/>
      <c r="U173" s="145"/>
      <c r="V173" s="323"/>
      <c r="W173" s="323"/>
      <c r="X173" s="323"/>
      <c r="Y173" s="323"/>
      <c r="Z173" s="145"/>
    </row>
    <row r="174">
      <c r="A174" s="204"/>
      <c r="B174" s="323"/>
      <c r="C174" s="323"/>
      <c r="D174" s="323"/>
      <c r="E174" s="323"/>
      <c r="F174" s="323"/>
      <c r="G174" s="323"/>
      <c r="H174" s="323"/>
      <c r="I174" s="145"/>
      <c r="J174" s="338"/>
      <c r="K174" s="334"/>
      <c r="L174" s="334"/>
      <c r="M174" s="164"/>
      <c r="N174" s="51"/>
      <c r="O174" s="40"/>
      <c r="P174" s="204"/>
      <c r="Q174" s="322"/>
      <c r="R174" s="323"/>
      <c r="S174" s="324"/>
      <c r="T174" s="325"/>
      <c r="U174" s="145"/>
      <c r="V174" s="323"/>
      <c r="W174" s="323"/>
      <c r="X174" s="323"/>
      <c r="Y174" s="323"/>
      <c r="Z174" s="145"/>
    </row>
    <row r="175">
      <c r="A175" s="204"/>
      <c r="B175" s="323"/>
      <c r="C175" s="323"/>
      <c r="D175" s="323"/>
      <c r="E175" s="323"/>
      <c r="F175" s="323"/>
      <c r="G175" s="323"/>
      <c r="H175" s="323"/>
      <c r="I175" s="145"/>
      <c r="J175" s="338"/>
      <c r="K175" s="334"/>
      <c r="L175" s="334"/>
      <c r="M175" s="164"/>
      <c r="N175" s="51"/>
      <c r="O175" s="40"/>
      <c r="P175" s="204"/>
      <c r="Q175" s="322"/>
      <c r="R175" s="323"/>
      <c r="S175" s="324"/>
      <c r="T175" s="325"/>
      <c r="U175" s="145"/>
      <c r="V175" s="323"/>
      <c r="W175" s="323"/>
      <c r="X175" s="323"/>
      <c r="Y175" s="323"/>
      <c r="Z175" s="145"/>
    </row>
  </sheetData>
  <mergeCells count="2">
    <mergeCell ref="J1:N1"/>
    <mergeCell ref="V1:W1"/>
  </mergeCells>
  <conditionalFormatting sqref="L120">
    <cfRule type="colorScale" priority="1">
      <colorScale>
        <cfvo type="min"/>
        <cfvo type="formula" val="45998"/>
        <cfvo type="max"/>
        <color rgb="FFE67C73"/>
        <color rgb="FFFFD666"/>
        <color rgb="FF57BB8A"/>
      </colorScale>
    </cfRule>
  </conditionalFormatting>
  <conditionalFormatting sqref="L104">
    <cfRule type="colorScale" priority="2">
      <colorScale>
        <cfvo type="min"/>
        <cfvo type="formula" val="45998"/>
        <cfvo type="max"/>
        <color rgb="FFE67C73"/>
        <color rgb="FFFFD666"/>
        <color rgb="FF57BB8A"/>
      </colorScale>
    </cfRule>
  </conditionalFormatting>
  <conditionalFormatting sqref="L103">
    <cfRule type="colorScale" priority="3">
      <colorScale>
        <cfvo type="min"/>
        <cfvo type="formula" val="45998"/>
        <cfvo type="max"/>
        <color rgb="FFE67C73"/>
        <color rgb="FFFFD666"/>
        <color rgb="FF57BB8A"/>
      </colorScale>
    </cfRule>
  </conditionalFormatting>
  <conditionalFormatting sqref="L99">
    <cfRule type="colorScale" priority="4">
      <colorScale>
        <cfvo type="min"/>
        <cfvo type="formula" val="45998"/>
        <cfvo type="max"/>
        <color rgb="FFE67C73"/>
        <color rgb="FFFFD666"/>
        <color rgb="FF57BB8A"/>
      </colorScale>
    </cfRule>
  </conditionalFormatting>
  <conditionalFormatting sqref="L96">
    <cfRule type="colorScale" priority="5">
      <colorScale>
        <cfvo type="min"/>
        <cfvo type="formula" val="45998"/>
        <cfvo type="max"/>
        <color rgb="FFE67C73"/>
        <color rgb="FFFFD666"/>
        <color rgb="FF57BB8A"/>
      </colorScale>
    </cfRule>
  </conditionalFormatting>
  <conditionalFormatting sqref="L90">
    <cfRule type="colorScale" priority="6">
      <colorScale>
        <cfvo type="min"/>
        <cfvo type="formula" val="45998"/>
        <cfvo type="max"/>
        <color rgb="FFE67C73"/>
        <color rgb="FFFFD666"/>
        <color rgb="FF57BB8A"/>
      </colorScale>
    </cfRule>
  </conditionalFormatting>
  <conditionalFormatting sqref="L87">
    <cfRule type="colorScale" priority="7">
      <colorScale>
        <cfvo type="min"/>
        <cfvo type="formula" val="45998"/>
        <cfvo type="max"/>
        <color rgb="FFE67C73"/>
        <color rgb="FFFFD666"/>
        <color rgb="FF57BB8A"/>
      </colorScale>
    </cfRule>
  </conditionalFormatting>
  <conditionalFormatting sqref="L83">
    <cfRule type="colorScale" priority="8">
      <colorScale>
        <cfvo type="min"/>
        <cfvo type="formula" val="45998"/>
        <cfvo type="max"/>
        <color rgb="FFE67C73"/>
        <color rgb="FFFFD666"/>
        <color rgb="FF57BB8A"/>
      </colorScale>
    </cfRule>
  </conditionalFormatting>
  <conditionalFormatting sqref="L70:L72">
    <cfRule type="colorScale" priority="9">
      <colorScale>
        <cfvo type="min"/>
        <cfvo type="formula" val="45998"/>
        <cfvo type="max"/>
        <color rgb="FFE67C73"/>
        <color rgb="FFFFD666"/>
        <color rgb="FF57BB8A"/>
      </colorScale>
    </cfRule>
  </conditionalFormatting>
  <conditionalFormatting sqref="L60">
    <cfRule type="colorScale" priority="10">
      <colorScale>
        <cfvo type="min"/>
        <cfvo type="formula" val="45998"/>
        <cfvo type="max"/>
        <color rgb="FFE67C73"/>
        <color rgb="FFFFD666"/>
        <color rgb="FF57BB8A"/>
      </colorScale>
    </cfRule>
  </conditionalFormatting>
  <conditionalFormatting sqref="L59">
    <cfRule type="colorScale" priority="11">
      <colorScale>
        <cfvo type="min"/>
        <cfvo type="formula" val="45998"/>
        <cfvo type="max"/>
        <color rgb="FFE67C73"/>
        <color rgb="FFFFD666"/>
        <color rgb="FF57BB8A"/>
      </colorScale>
    </cfRule>
  </conditionalFormatting>
  <conditionalFormatting sqref="L58">
    <cfRule type="colorScale" priority="12">
      <colorScale>
        <cfvo type="min"/>
        <cfvo type="formula" val="45998"/>
        <cfvo type="max"/>
        <color rgb="FFE67C73"/>
        <color rgb="FFFFD666"/>
        <color rgb="FF57BB8A"/>
      </colorScale>
    </cfRule>
  </conditionalFormatting>
  <conditionalFormatting sqref="L51">
    <cfRule type="colorScale" priority="13">
      <colorScale>
        <cfvo type="min"/>
        <cfvo type="formula" val="45998"/>
        <cfvo type="max"/>
        <color rgb="FFE67C73"/>
        <color rgb="FFFFD666"/>
        <color rgb="FF57BB8A"/>
      </colorScale>
    </cfRule>
  </conditionalFormatting>
  <conditionalFormatting sqref="L46">
    <cfRule type="colorScale" priority="14">
      <colorScale>
        <cfvo type="min"/>
        <cfvo type="formula" val="45998"/>
        <cfvo type="max"/>
        <color rgb="FFE67C73"/>
        <color rgb="FFFFD666"/>
        <color rgb="FF57BB8A"/>
      </colorScale>
    </cfRule>
  </conditionalFormatting>
  <conditionalFormatting sqref="L42">
    <cfRule type="colorScale" priority="15">
      <colorScale>
        <cfvo type="min"/>
        <cfvo type="formula" val="45998"/>
        <cfvo type="max"/>
        <color rgb="FFE67C73"/>
        <color rgb="FFFFD666"/>
        <color rgb="FF57BB8A"/>
      </colorScale>
    </cfRule>
  </conditionalFormatting>
  <conditionalFormatting sqref="L41">
    <cfRule type="colorScale" priority="16">
      <colorScale>
        <cfvo type="min"/>
        <cfvo type="formula" val="45998"/>
        <cfvo type="max"/>
        <color rgb="FFE67C73"/>
        <color rgb="FFFFD666"/>
        <color rgb="FF57BB8A"/>
      </colorScale>
    </cfRule>
  </conditionalFormatting>
  <conditionalFormatting sqref="L39">
    <cfRule type="colorScale" priority="17">
      <colorScale>
        <cfvo type="min"/>
        <cfvo type="formula" val="45998"/>
        <cfvo type="max"/>
        <color rgb="FFE67C73"/>
        <color rgb="FFFFD666"/>
        <color rgb="FF57BB8A"/>
      </colorScale>
    </cfRule>
  </conditionalFormatting>
  <conditionalFormatting sqref="L38">
    <cfRule type="colorScale" priority="18">
      <colorScale>
        <cfvo type="min"/>
        <cfvo type="formula" val="45998"/>
        <cfvo type="max"/>
        <color rgb="FFE67C73"/>
        <color rgb="FFFFD666"/>
        <color rgb="FF57BB8A"/>
      </colorScale>
    </cfRule>
  </conditionalFormatting>
  <conditionalFormatting sqref="L35:L37">
    <cfRule type="colorScale" priority="19">
      <colorScale>
        <cfvo type="min"/>
        <cfvo type="formula" val="45998"/>
        <cfvo type="max"/>
        <color rgb="FFE67C73"/>
        <color rgb="FFFFD666"/>
        <color rgb="FF57BB8A"/>
      </colorScale>
    </cfRule>
  </conditionalFormatting>
  <conditionalFormatting sqref="L34">
    <cfRule type="colorScale" priority="20">
      <colorScale>
        <cfvo type="min"/>
        <cfvo type="formula" val="45998"/>
        <cfvo type="max"/>
        <color rgb="FFE67C73"/>
        <color rgb="FFFFD666"/>
        <color rgb="FF57BB8A"/>
      </colorScale>
    </cfRule>
  </conditionalFormatting>
  <conditionalFormatting sqref="L32">
    <cfRule type="colorScale" priority="21">
      <colorScale>
        <cfvo type="min"/>
        <cfvo type="formula" val="45998"/>
        <cfvo type="max"/>
        <color rgb="FFE67C73"/>
        <color rgb="FFFFD666"/>
        <color rgb="FF57BB8A"/>
      </colorScale>
    </cfRule>
  </conditionalFormatting>
  <conditionalFormatting sqref="M30">
    <cfRule type="colorScale" priority="22">
      <colorScale>
        <cfvo type="min"/>
        <cfvo type="formula" val="45998"/>
        <cfvo type="max"/>
        <color rgb="FFE67C73"/>
        <color rgb="FFFFD666"/>
        <color rgb="FF57BB8A"/>
      </colorScale>
    </cfRule>
  </conditionalFormatting>
  <conditionalFormatting sqref="L28:L29">
    <cfRule type="colorScale" priority="23">
      <colorScale>
        <cfvo type="min"/>
        <cfvo type="formula" val="45998"/>
        <cfvo type="max"/>
        <color rgb="FFE67C73"/>
        <color rgb="FFFFD666"/>
        <color rgb="FF57BB8A"/>
      </colorScale>
    </cfRule>
  </conditionalFormatting>
  <conditionalFormatting sqref="L27">
    <cfRule type="colorScale" priority="24">
      <colorScale>
        <cfvo type="min"/>
        <cfvo type="formula" val="45998"/>
        <cfvo type="max"/>
        <color rgb="FFE67C73"/>
        <color rgb="FFFFD666"/>
        <color rgb="FF57BB8A"/>
      </colorScale>
    </cfRule>
  </conditionalFormatting>
  <conditionalFormatting sqref="L24">
    <cfRule type="colorScale" priority="25">
      <colorScale>
        <cfvo type="min"/>
        <cfvo type="formula" val="45998"/>
        <cfvo type="max"/>
        <color rgb="FFE67C73"/>
        <color rgb="FFFFD666"/>
        <color rgb="FF57BB8A"/>
      </colorScale>
    </cfRule>
  </conditionalFormatting>
  <conditionalFormatting sqref="L22">
    <cfRule type="colorScale" priority="26">
      <colorScale>
        <cfvo type="min"/>
        <cfvo type="formula" val="45998"/>
        <cfvo type="max"/>
        <color rgb="FFE67C73"/>
        <color rgb="FFFFD666"/>
        <color rgb="FF57BB8A"/>
      </colorScale>
    </cfRule>
  </conditionalFormatting>
  <conditionalFormatting sqref="L21">
    <cfRule type="colorScale" priority="27">
      <colorScale>
        <cfvo type="min"/>
        <cfvo type="formula" val="45998"/>
        <cfvo type="max"/>
        <color rgb="FFE67C73"/>
        <color rgb="FFFFD666"/>
        <color rgb="FF57BB8A"/>
      </colorScale>
    </cfRule>
  </conditionalFormatting>
  <conditionalFormatting sqref="L20">
    <cfRule type="colorScale" priority="28">
      <colorScale>
        <cfvo type="min"/>
        <cfvo type="formula" val="45998"/>
        <cfvo type="max"/>
        <color rgb="FFE67C73"/>
        <color rgb="FFFFD666"/>
        <color rgb="FF57BB8A"/>
      </colorScale>
    </cfRule>
  </conditionalFormatting>
  <conditionalFormatting sqref="L19">
    <cfRule type="colorScale" priority="29">
      <colorScale>
        <cfvo type="min"/>
        <cfvo type="formula" val="45998"/>
        <cfvo type="max"/>
        <color rgb="FFE67C73"/>
        <color rgb="FFFFD666"/>
        <color rgb="FF57BB8A"/>
      </colorScale>
    </cfRule>
  </conditionalFormatting>
  <conditionalFormatting sqref="L17">
    <cfRule type="colorScale" priority="30">
      <colorScale>
        <cfvo type="min"/>
        <cfvo type="formula" val="45998"/>
        <cfvo type="max"/>
        <color rgb="FFE67C73"/>
        <color rgb="FFFFD666"/>
        <color rgb="FF57BB8A"/>
      </colorScale>
    </cfRule>
  </conditionalFormatting>
  <conditionalFormatting sqref="L16">
    <cfRule type="colorScale" priority="31">
      <colorScale>
        <cfvo type="min"/>
        <cfvo type="formula" val="45998"/>
        <cfvo type="max"/>
        <color rgb="FFE67C73"/>
        <color rgb="FFFFD666"/>
        <color rgb="FF57BB8A"/>
      </colorScale>
    </cfRule>
  </conditionalFormatting>
  <conditionalFormatting sqref="L14">
    <cfRule type="colorScale" priority="32">
      <colorScale>
        <cfvo type="min"/>
        <cfvo type="formula" val="45998"/>
        <cfvo type="max"/>
        <color rgb="FFE67C73"/>
        <color rgb="FFFFD666"/>
        <color rgb="FF57BB8A"/>
      </colorScale>
    </cfRule>
  </conditionalFormatting>
  <conditionalFormatting sqref="L13">
    <cfRule type="colorScale" priority="33">
      <colorScale>
        <cfvo type="min"/>
        <cfvo type="formula" val="45998"/>
        <cfvo type="max"/>
        <color rgb="FFE67C73"/>
        <color rgb="FFFFD666"/>
        <color rgb="FF57BB8A"/>
      </colorScale>
    </cfRule>
  </conditionalFormatting>
  <conditionalFormatting sqref="L11">
    <cfRule type="colorScale" priority="34">
      <colorScale>
        <cfvo type="min"/>
        <cfvo type="formula" val="45998"/>
        <cfvo type="max"/>
        <color rgb="FFE67C73"/>
        <color rgb="FFFFD666"/>
        <color rgb="FF57BB8A"/>
      </colorScale>
    </cfRule>
  </conditionalFormatting>
  <conditionalFormatting sqref="L10">
    <cfRule type="colorScale" priority="35">
      <colorScale>
        <cfvo type="min"/>
        <cfvo type="formula" val="45998"/>
        <cfvo type="max"/>
        <color rgb="FFE67C73"/>
        <color rgb="FFFFD666"/>
        <color rgb="FF57BB8A"/>
      </colorScale>
    </cfRule>
  </conditionalFormatting>
  <conditionalFormatting sqref="L9">
    <cfRule type="colorScale" priority="36">
      <colorScale>
        <cfvo type="min"/>
        <cfvo type="formula" val="45998"/>
        <cfvo type="max"/>
        <color rgb="FFE67C73"/>
        <color rgb="FFFFD666"/>
        <color rgb="FF57BB8A"/>
      </colorScale>
    </cfRule>
  </conditionalFormatting>
  <conditionalFormatting sqref="L8">
    <cfRule type="colorScale" priority="37">
      <colorScale>
        <cfvo type="min"/>
        <cfvo type="formula" val="45998"/>
        <cfvo type="max"/>
        <color rgb="FFE67C73"/>
        <color rgb="FFFFD666"/>
        <color rgb="FF57BB8A"/>
      </colorScale>
    </cfRule>
  </conditionalFormatting>
  <conditionalFormatting sqref="L7">
    <cfRule type="colorScale" priority="38">
      <colorScale>
        <cfvo type="min"/>
        <cfvo type="formula" val="45998"/>
        <cfvo type="max"/>
        <color rgb="FFE67C73"/>
        <color rgb="FFFFD666"/>
        <color rgb="FF57BB8A"/>
      </colorScale>
    </cfRule>
  </conditionalFormatting>
  <conditionalFormatting sqref="L6">
    <cfRule type="colorScale" priority="39">
      <colorScale>
        <cfvo type="min"/>
        <cfvo type="formula" val="45998"/>
        <cfvo type="max"/>
        <color rgb="FFE67C73"/>
        <color rgb="FFFFD666"/>
        <color rgb="FF57BB8A"/>
      </colorScale>
    </cfRule>
  </conditionalFormatting>
  <conditionalFormatting sqref="L5">
    <cfRule type="colorScale" priority="40">
      <colorScale>
        <cfvo type="min"/>
        <cfvo type="formula" val="45998"/>
        <cfvo type="max"/>
        <color rgb="FFE67C73"/>
        <color rgb="FFFFD666"/>
        <color rgb="FF57BB8A"/>
      </colorScale>
    </cfRule>
  </conditionalFormatting>
  <conditionalFormatting sqref="L4">
    <cfRule type="colorScale" priority="41">
      <colorScale>
        <cfvo type="min"/>
        <cfvo type="formula" val="45998"/>
        <cfvo type="max"/>
        <color rgb="FFE67C73"/>
        <color rgb="FFFFD666"/>
        <color rgb="FF57BB8A"/>
      </colorScale>
    </cfRule>
  </conditionalFormatting>
  <conditionalFormatting sqref="L3">
    <cfRule type="colorScale" priority="42">
      <colorScale>
        <cfvo type="min"/>
        <cfvo type="formula" val="45998"/>
        <cfvo type="max"/>
        <color rgb="FFE67C73"/>
        <color rgb="FFFFD666"/>
        <color rgb="FF57BB8A"/>
      </colorScale>
    </cfRule>
  </conditionalFormatting>
  <dataValidations>
    <dataValidation type="list" allowBlank="1" sqref="E3:E27 E29:E34 E36:E175">
      <formula1>"Alexis,Kenia,Outside"</formula1>
    </dataValidation>
    <dataValidation type="list" allowBlank="1" showErrorMessage="1" sqref="B15:B175">
      <formula1>"Add-On,No,Subscription,n/a"</formula1>
    </dataValidation>
    <dataValidation type="list" allowBlank="1" showErrorMessage="1" sqref="C3:C4">
      <formula1>"Yes,No,Other"</formula1>
    </dataValidation>
    <dataValidation type="list" allowBlank="1" sqref="D82 D85 D92:D94 D97:D98 D100:D102">
      <formula1>"Alicia Good,Alexandra Haro,Alexis Cassidy,Blake Cory,Bridget Sisco,Cheree Moore-Zarty,Cheryl Shaw,Dana Garcia,Eddie Kaveney,Jenna Melendez,Joe Rodriguez,Kay Patel,Kendra Jo Harlan,Kiona Grantham,Larry Randolph,Mario Muñoz,Michael Wickam,Melissa Mantz,Merc"&amp;"edes Torres,Myrna Peterson,Nate Bunnell,Nicole Shettleroe,Nilska ""Nelly"" Guerrero,Rachele Lacey,Renée Keeling,Richard Luizzi,Robin Tapia,Ron Prunty,Ronda Bryce,Rosalina Williams,Stephanie Casados,Spencer Salter ,Martin Gomez,Isy Ota-Oro"</formula1>
    </dataValidation>
    <dataValidation type="list" allowBlank="1" showErrorMessage="1" sqref="B7:B14">
      <formula1>"Yes,No,Subscription,Add-On,n/a"</formula1>
    </dataValidation>
    <dataValidation type="list" allowBlank="1" sqref="R3:R175">
      <formula1>"Ordered,No,N/A (Land),Outside"</formula1>
    </dataValidation>
    <dataValidation type="list" allowBlank="1" sqref="D3:D6">
      <formula1>"Alicia Good,Alexandra Haro,Alexis Cassidy,Blake Cory,Bridget Sisco,Charles Provido,Cheryl Shaw,Dana Garcia,Diana Mayoral,Edward Kaveney ""Eddie"",Fernando Maldonado,Jenna Melendez,Joe Rodriguez,Julio Lopez,Karely Sanchez,Kathleen Allen,Kay Patel,Kendra Jo"&amp;" Harlan,Kiona Grantham,Larry Randolph,Mario Muñoz,Mark Magaña,Michael Wickam,Michelle Harmon,Melissa Mantz,Mercedes Torres,Monica Bradley,Myrna Peterson,Nate Bunnell,Nicole Shettleroe,Nilska ""Nelly"" Guerrero,Paul Claudio,Petra Campos,Quan Ning,Rachele L"&amp;"acey,Renée Keeling,Richard Luizzi,Robin Tapia,Roger Tarango,Ron Prunty,Ronda Bryce,Rosalina Williams,Samantha Harding,Stephanie Casados,Vincent Barna"</formula1>
    </dataValidation>
    <dataValidation type="list" allowBlank="1" showErrorMessage="1" sqref="B3:B6">
      <formula1>"Yes,No,Subscription,n/a"</formula1>
    </dataValidation>
    <dataValidation type="list" allowBlank="1" sqref="N3:N16 N23 N81 N126:N175">
      <formula1>"0.00%,1.00%,1.50%,2.00%,2.50%,3.00%,3.50%,4.00%,4.50%,5.00%,5.50%,6.00%,6.50%,7.00%,7.50%,$100,$500,See Notes"</formula1>
    </dataValidation>
    <dataValidation type="list" allowBlank="1" sqref="N17:N19">
      <formula1>"0.00%,1.00%,1.50%,2.00%,2.25%,2.50%,3.00%,3.50%,4.00%,4.50%,5.00%,5.50%,6.00%,6.50%,7.00%,7.50%,$100,$500,See Notes"</formula1>
    </dataValidation>
    <dataValidation type="list" allowBlank="1" sqref="D47">
      <formula1>"Alicia Good,Alexandra Haro,Alexis Cassidy,Blake Cory,Bridget Sisco,Cheryl Shaw,Dana Garcia,Edward Kaveney ""Eddie"",George Folia,Jeff Cuttingham,Jenna Melendez,Joe Rodriguez,Kendra Jo Harlan,Kiona Grantham,Larry Randolph,Mario Muñoz,Michael Wickam,Melissa"&amp;" Mantz,Myrna Peterson,Nate Bunnell,Cavin Quintanillla,Nicole Shettleroe,Rachele Lacey,Richard Luizzi,Robin Tapia,Ron Prunty,Ronda Bryce,Spencer Salter,Carmen Avalos,Parisa Shamlou,Rosalina Williams "</formula1>
    </dataValidation>
    <dataValidation type="list" allowBlank="1" sqref="F12 F15 F23 F28 F35 F39 F44 F46:F47 F52:F53 F56:F57 F60:F64 F66:F76 F79:F81 F83:F84 F86:F91 F93 F95:F100 F103:F104 F106:F114 F116:F118 F121:F175">
      <formula1>"Active,Active Under Contract,Cancelled,Closed,Coming Soon,Expired,Hold,Lease,Pending,Signed RLA,Upcoming,z.Agent HFL (Y),z.Agent HFL (N)"</formula1>
    </dataValidation>
    <dataValidation type="list" allowBlank="1" sqref="D111:D112 D115 D119:D120 D123:D124">
      <formula1>"Alicia Good,Alexandra Haro,Alexis Cassidy,Blake Cory,Bridget Sisco,Cheree Moore-Zarty,Cheryl Shaw,Dana Garcia,Diane Caddy,Eddie Kaveney,Isy Ota-Oro,Jenna Melendez,Joe Rodriguez,Kay Patel,Kendra Jo Harlan,Kiona Grantham,Larry Randolph,Mario Muñoz,Martin Go"&amp;"mez,Michael Wickam,Melissa Mantz,Mercedes Torres,Myrna Peterson,Nate Bunnell,Nicole Shettleroe,Nilska ""Nelly"" Guerrero,Rachele Lacey,Renée Keeling,Richard Luizzi,Robin Tapia,Ron Prunty,Ronda Bryce,Rosalina Williams,Stephanie Casados,Spencer Salter ,Tyle"&amp;"r Bernetskie"</formula1>
    </dataValidation>
    <dataValidation type="list" allowBlank="1" sqref="E28 E35">
      <formula1>"Alexis,Kenia,Other"</formula1>
    </dataValidation>
    <dataValidation type="list" allowBlank="1" showErrorMessage="1" sqref="H3:H11 H13:H14 H16:H27 H29:H34 H36:H38 H40:H43 H45 H48:H51 H54:H55 H58:H59 H65 H74 H77:H78 H82 H85 H92 H94 H101:H102 H105 H115 H119:H120">
      <formula1>"Up Rqst,Up,Down Rqst,No Sign Allowed,No Sign Order,Removed,Outside"</formula1>
    </dataValidation>
    <dataValidation type="list" allowBlank="1" sqref="D52:D53 D56:D57 D60:D64 D66:D73 D75:D76 D79:D81 D83:D84 D86:D91 D95:D96 D99 D103:D104 D106:D107">
      <formula1>"Alicia Good,Alexandra Haro,Alexis Cassidy,Blake Cory,Bridget Sisco,Cheryl Shaw,Dana Garcia,Edward Kaveney ""Eddie"",George Folia,Jeff Cuttingham,Jenna Melendez,Joe Rodriguez,Kendra Jo Harlan,Kiona Grantham,Larry Randolph,Mario Muñoz,Michael Wickam,Melissa"&amp;" Mantz,Myrna Peterson,Nate Bunnell,Cavin Quintanillla,Nicole Shettleroe,Rachele Lacey,Richard Luizzi,Robin Tapia,Ron Prunty,Ronda Bryce,Spencer Salter,Carmen Avalos,Parisa Shamlou,Rosalina Williams ,Jessica Cano,Isy Ota-Oro"</formula1>
    </dataValidation>
    <dataValidation type="list" allowBlank="1" sqref="D105">
      <formula1>"Alicia Good,Alexandra Haro,Alexis Cassidy,Blake Cory,Bridget Sisco,Cheree Moore-Zarty,Cheryl Shaw,Dana Garcia,Eddie Kaveney,Isy Ota-Oro,Jenna Melendez,Joe Rodriguez,Kay Patel,Kendra Jo Harlan,Kiona Grantham,Larry Randolph,Mario Muñoz,Martin Gomez,Michael "&amp;"Wickam,Melissa Mantz,Mercedes Torres,Myrna Peterson,Nate Bunnell,Nicole Shettleroe,Nilska ""Nelly"" Guerrero,Rachele Lacey,Renée Keeling,Richard Luizzi,Robin Tapia,Ron Prunty,Ronda Bryce,Rosalina Williams,Stephanie Casados,Spencer Salter ,Tyler Bernetskie"</formula1>
    </dataValidation>
    <dataValidation type="list" allowBlank="1" showErrorMessage="1" sqref="C5:C175">
      <formula1>"Yes,No,Purchased"</formula1>
    </dataValidation>
    <dataValidation type="list" allowBlank="1" sqref="D74 D77:D78">
      <formula1>"Alicia Good,Alexandra Haro,Alexis Cassidy,Blake Cory,Bridget Sisco,Cheree Moore-Zarty,Cheryl Shaw,Dana Garcia,Eddie Kaveney,Jenna Melendez,Joe Rodriguez,Kay Patel,Kendra Jo Harlan,Kiona Grantham,Larry Randolph,Mario Muñoz,Michael Wickam,Melissa Mantz,Merc"&amp;"edes Torres,Myrna Peterson,Nate Bunnell,Nicole Shettleroe,Nilska ""Nelly"" Guerrero,Rachele Lacey,Renée Keeling,Richard Luizzi,Robin Tapia,Ron Prunty,Ronda Bryce,Rosalina Williams,Stephanie Casados,Spencer Salter ,Martin Gomez"</formula1>
    </dataValidation>
    <dataValidation type="list" allowBlank="1" sqref="F3:F11 F13:F14 F16:F22 F24:F27 F29:F34 F36:F38 F40:F43 F45 F48:F51 F54:F55 F58:F59 F65 F77:F78 F82 F85 F92 F94 F101:F102 F105 F115 F119:F120">
      <formula1>"Active,Active Under Contract,Cancelled,Closed,Coming Soon,Expired,Hold,Pending,WFL (N),WFL (Y),Signed RLA,Transferred,Lease,Upcoming"</formula1>
    </dataValidation>
    <dataValidation type="list" allowBlank="1" sqref="D28 D35 D39">
      <formula1>"Alicia Good,Alexandra Haro,Alexis Cassidy,Blake Cory,Bridget Sisco,Cheryl Shaw,Dana Garcia,Edward Kaveney ""Eddie"",George Folia,Jeff Cuttingham,Jenna Melendez,Joe Rodriguez,Kendra Jo Harlan,Kiona Grantham,Larry Randolph,Mario Muñoz,Michael Wickam,Melissa"&amp;" Mantz,Myrna Peterson,Nate Bunnell,Cavin Quintanillla,Nicole Shettleroe,Rachele Lacey,Richard Luizzi,Robin Tapia,Ron Prunty,Ronda Bryce,Spencer Salter,Carmen Avalos"</formula1>
    </dataValidation>
    <dataValidation type="list" allowBlank="1" sqref="D44 D46">
      <formula1>"Alicia Good,Alexandra Haro,Alexis Cassidy,Blake Cory,Bridget Sisco,Cheryl Shaw,Dana Garcia,Edward Kaveney ""Eddie"",George Folia,Jeff Cuttingham,Jenna Melendez,Joe Rodriguez,Kendra Jo Harlan,Kiona Grantham,Larry Randolph,Mario Muñoz,Michael Wickam,Melissa"&amp;" Mantz,Myrna Peterson,Nate Bunnell,Cavin Quintanillla,Nicole Shettleroe,Rachele Lacey,Richard Luizzi,Robin Tapia,Ron Prunty,Ronda Bryce,Spencer Salter,Carmen Avalos,Parisa Shamlou"</formula1>
    </dataValidation>
    <dataValidation type="list" allowBlank="1" sqref="D12">
      <formula1>"Alicia Good,Alexandra Haro,Alexis Cassidy,Blake Cory,Bridget Sisco,Charles Provido,Cheryl Shaw,Dana Garcia,Diana Mayoral,Edward Kaveney ""Eddie"",Fernando Maldonado,Jenna Melendez,Joe Rodriguez,Julio Lopez,Karely Sanchez,Kendra Jo Harlan,Kiona Grantham,La"&amp;"rry Randolph,Mario Muñoz,Mark Magaña,Michael Wickam,Michelle Harmon,Melissa Mantz,Monica Bradley,Myrna Peterson,Nate Bunnell,Nilska ""Nelly"" Guerrero,Paul Claudio,Petra Campos,Quan Ning,Rachele Lacey,Richard Luizzi,Robin Tapia,Roger Tarango,Ron Prunty,Ro"&amp;"nda Bryce,Samantha Harding,Stephanie Casados,Vincent Barna"</formula1>
    </dataValidation>
    <dataValidation type="list" allowBlank="1" sqref="N20:N22 N24:N80 N82:N125">
      <formula1>"0.00%,1.00%,1.50%,2.00%,2.25%,2.50%,3.00%,3.50%,4.00%,4.50%,5.00%,5.50%,6.00%,6.50%,7.00%,7.50%,$100,$500,$589,See Notes"</formula1>
    </dataValidation>
    <dataValidation type="list" allowBlank="1" showErrorMessage="1" sqref="H12 H15 H28 H35 H39 H44 H46:H47 H52:H53 H56:H57 H60:H64 H66:H73 H75:H76 H79:H81 H83:H84 H86:H91 H93 H95:H100 H103:H104 H106:H114 H116:H118 H121:H175">
      <formula1>"Up Rqst,Up,Down Rqst,No Sign Allowed,No Sign Order,Removed"</formula1>
    </dataValidation>
    <dataValidation type="list" allowBlank="1" sqref="P3:P175">
      <formula1>"Pipeline,Payoff Demand Sent"</formula1>
    </dataValidation>
    <dataValidation type="list" allowBlank="1" sqref="D7:D11 D13:D14 D16:D22 D24:D27 D29:D34 D36:D38 D40:D43 D45 D48:D51 D54:D55 D58:D59 D65">
      <formula1>"Alicia Good,Alexandra Haro,Alexis Cassidy,Blake Cory,Bridget Sisco,Cheree Moore-Zarty,Cheryl Shaw,Dana Garcia,Eddie Kaveney,Jenna Melendez,Joe Rodriguez,Kay Patel,Kendra Jo Harlan,Kiona Grantham,Larry Randolph,Mario Muñoz,Michael Wickam,Melissa Mantz,Merc"&amp;"edes Torres,Myrna Peterson,Nate Bunnell,Nicole Shettleroe,Nilska ""Nelly"" Guerrero,Rachele Lacey,Renée Keeling,Richard Luizzi,Robin Tapia,Ron Prunty,Ronda Bryce,Rosalina Williams,Stephanie Casados"</formula1>
    </dataValidation>
    <dataValidation type="list" allowBlank="1" sqref="D108:D110 D113:D114 D116:D118 D121:D122 D125">
      <formula1>"Alicia Good,Alexandra Haro,Alexis Cassidy,Blake Cory,Bridget Sisco,Cavin Quintanillla,Cheryl Shaw,Dana Garcia,Diane Caddy,Edward Kaveney ""Eddie"",George Folia,Isy Ota-Oro,Jeff Cuttingham,Jenna Melendez,Jessica Cano,Joe Rodriguez,Kendra Jo Harlan,Kiona Gr"&amp;"antham,Larry Randolph,Mario Muñoz,Michael Wickam,Melissa Mantz,Myrna Peterson,Nate Bunnell,Nicole Shettleroe,Rachele Lacey,Richard Luizzi,Robin Tapia,Ron Prunty,Ronda Bryce,Spencer Salter,Carmen Avalos,Parisa Shamlou,Rosalina Williams "</formula1>
    </dataValidation>
    <dataValidation type="list" allowBlank="1" sqref="D15 D23 D126:D175">
      <formula1>"Alicia Good,Alexandra Haro,Alexis Cassidy,Blake Cory,Bridget Sisco,Cheryl Shaw,Dana Garcia,Edward Kaveney ""Eddie"",George Folia,Jeff Cuttingham,Jenna Melendez,Joe Rodriguez,Kendra Jo Harlan,Kiona Grantham,Larry Randolph,Mario Muñoz,Michael Wickam,Melissa"&amp;" Mantz,Myrna Peterson,Nate Bunnell,Nicole Shettleroe,Rachele Lacey,Richard Luizzi,Robin Tapia,Ron Prunty,Ronda Bryce,Spencer Salter"</formula1>
    </dataValidation>
  </dataValidations>
  <hyperlinks>
    <hyperlink r:id="rId4" ref="Y31"/>
    <hyperlink r:id="rId5" ref="A87"/>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0" max="10" width="17.25"/>
    <col customWidth="1" min="19" max="19" width="2.0"/>
    <col customWidth="1" min="30" max="30" width="2.0"/>
    <col hidden="1" min="34" max="35" width="12.63"/>
  </cols>
  <sheetData>
    <row r="1">
      <c r="A1" s="366"/>
      <c r="B1" s="367" t="s">
        <v>3207</v>
      </c>
      <c r="D1" s="368" t="s">
        <v>3207</v>
      </c>
      <c r="S1" s="369"/>
      <c r="T1" s="370" t="s">
        <v>3208</v>
      </c>
      <c r="AD1" s="369"/>
      <c r="AE1" s="371"/>
      <c r="AF1" s="371"/>
      <c r="AG1" s="371"/>
      <c r="AH1" s="371"/>
      <c r="AI1" s="371"/>
    </row>
    <row r="2">
      <c r="A2" s="366"/>
      <c r="B2" s="372"/>
      <c r="C2" s="372"/>
      <c r="D2" s="372"/>
      <c r="E2" s="372"/>
      <c r="F2" s="372"/>
      <c r="G2" s="372"/>
      <c r="H2" s="372"/>
      <c r="I2" s="372"/>
      <c r="J2" s="373"/>
      <c r="K2" s="373"/>
      <c r="L2" s="373"/>
      <c r="M2" s="372"/>
      <c r="N2" s="372"/>
      <c r="O2" s="374"/>
      <c r="P2" s="374"/>
      <c r="Q2" s="374"/>
      <c r="R2" s="374"/>
      <c r="S2" s="375"/>
      <c r="T2" s="376"/>
      <c r="U2" s="376"/>
      <c r="V2" s="376"/>
      <c r="W2" s="376"/>
      <c r="X2" s="377"/>
      <c r="Y2" s="376"/>
      <c r="Z2" s="378"/>
      <c r="AA2" s="376"/>
      <c r="AB2" s="376"/>
      <c r="AC2" s="376"/>
      <c r="AD2" s="379"/>
      <c r="AE2" s="371"/>
      <c r="AF2" s="371"/>
      <c r="AG2" s="380"/>
      <c r="AH2" s="371"/>
      <c r="AI2" s="371"/>
    </row>
    <row r="3">
      <c r="A3" s="381" t="s">
        <v>3209</v>
      </c>
      <c r="B3" s="382" t="s">
        <v>3210</v>
      </c>
      <c r="C3" s="383" t="s">
        <v>3</v>
      </c>
      <c r="D3" s="383" t="s">
        <v>4</v>
      </c>
      <c r="E3" s="383" t="s">
        <v>5</v>
      </c>
      <c r="F3" s="382" t="s">
        <v>6</v>
      </c>
      <c r="G3" s="382" t="s">
        <v>3211</v>
      </c>
      <c r="H3" s="382" t="s">
        <v>9</v>
      </c>
      <c r="I3" s="382" t="s">
        <v>3212</v>
      </c>
      <c r="J3" s="383" t="s">
        <v>3213</v>
      </c>
      <c r="K3" s="383" t="s">
        <v>12</v>
      </c>
      <c r="L3" s="383" t="s">
        <v>3214</v>
      </c>
      <c r="M3" s="382" t="s">
        <v>3215</v>
      </c>
      <c r="N3" s="384" t="s">
        <v>3216</v>
      </c>
      <c r="O3" s="385" t="s">
        <v>3217</v>
      </c>
      <c r="P3" s="386" t="s">
        <v>22</v>
      </c>
      <c r="Q3" s="386" t="s">
        <v>3218</v>
      </c>
      <c r="R3" s="386" t="s">
        <v>3219</v>
      </c>
      <c r="S3" s="375"/>
      <c r="T3" s="387" t="s">
        <v>26</v>
      </c>
      <c r="U3" s="388" t="s">
        <v>27</v>
      </c>
      <c r="V3" s="389" t="s">
        <v>3220</v>
      </c>
      <c r="W3" s="390" t="s">
        <v>3221</v>
      </c>
      <c r="X3" s="391" t="s">
        <v>30</v>
      </c>
      <c r="Y3" s="392" t="s">
        <v>3222</v>
      </c>
      <c r="Z3" s="393" t="s">
        <v>38</v>
      </c>
      <c r="AA3" s="394" t="s">
        <v>39</v>
      </c>
      <c r="AB3" s="389" t="s">
        <v>40</v>
      </c>
      <c r="AC3" s="389" t="s">
        <v>41</v>
      </c>
      <c r="AD3" s="375"/>
      <c r="AE3" s="395" t="s">
        <v>3223</v>
      </c>
      <c r="AF3" s="395" t="s">
        <v>43</v>
      </c>
      <c r="AG3" s="395" t="s">
        <v>3224</v>
      </c>
      <c r="AH3" s="371"/>
      <c r="AI3" s="371"/>
    </row>
    <row r="4">
      <c r="A4" s="396" t="s">
        <v>3225</v>
      </c>
      <c r="B4" s="397"/>
      <c r="C4" s="396"/>
      <c r="D4" s="397"/>
      <c r="E4" s="397"/>
      <c r="F4" s="397"/>
      <c r="G4" s="396" t="s">
        <v>3226</v>
      </c>
      <c r="H4" s="397"/>
      <c r="I4" s="397"/>
      <c r="J4" s="396" t="s">
        <v>3227</v>
      </c>
      <c r="K4" s="397"/>
      <c r="L4" s="397"/>
      <c r="M4" s="396" t="s">
        <v>3228</v>
      </c>
      <c r="N4" s="396" t="s">
        <v>3229</v>
      </c>
      <c r="O4" s="397"/>
      <c r="P4" s="397"/>
      <c r="Q4" s="397"/>
      <c r="R4" s="397"/>
      <c r="S4" s="375"/>
      <c r="T4" s="204"/>
      <c r="U4" s="204"/>
      <c r="V4" s="398"/>
      <c r="W4" s="399"/>
      <c r="X4" s="32">
        <f t="shared" ref="X4:X6" si="1">SUM(V4*W4)</f>
        <v>0</v>
      </c>
      <c r="Y4" s="34">
        <v>0.0</v>
      </c>
      <c r="Z4" s="204"/>
      <c r="AA4" s="40">
        <f t="shared" ref="AA4:AA6" si="2">SUM(T4+V4-X4-W4)</f>
        <v>0</v>
      </c>
      <c r="AB4" s="38" t="b">
        <f t="shared" ref="AB4:AB6" si="3">if(Z4="Buyer",(AA4)*50%,if(Z4="Seller",(AA4)*60%,if(Z4="Buyer_SOI",(AA4)*30%, if(Z4="Seller_SOI",(AA4*40%)))))</f>
        <v>0</v>
      </c>
      <c r="AC4" s="40">
        <f t="shared" ref="AC4:AC6" si="4">sum(AA4-AB4)</f>
        <v>0</v>
      </c>
      <c r="AD4" s="375"/>
      <c r="AE4" s="397"/>
      <c r="AF4" s="397"/>
      <c r="AG4" s="397"/>
      <c r="AH4" s="397"/>
      <c r="AI4" s="397"/>
    </row>
    <row r="5">
      <c r="A5" s="396" t="s">
        <v>3225</v>
      </c>
      <c r="B5" s="396" t="s">
        <v>3230</v>
      </c>
      <c r="C5" s="397"/>
      <c r="D5" s="397"/>
      <c r="E5" s="397"/>
      <c r="F5" s="397"/>
      <c r="G5" s="396" t="s">
        <v>214</v>
      </c>
      <c r="H5" s="397"/>
      <c r="I5" s="397"/>
      <c r="J5" s="396" t="s">
        <v>3231</v>
      </c>
      <c r="K5" s="397"/>
      <c r="L5" s="397"/>
      <c r="M5" s="397"/>
      <c r="N5" s="396" t="s">
        <v>3232</v>
      </c>
      <c r="O5" s="397"/>
      <c r="P5" s="397"/>
      <c r="Q5" s="397"/>
      <c r="R5" s="397"/>
      <c r="S5" s="375"/>
      <c r="T5" s="204"/>
      <c r="U5" s="204"/>
      <c r="V5" s="398"/>
      <c r="W5" s="399"/>
      <c r="X5" s="32">
        <f t="shared" si="1"/>
        <v>0</v>
      </c>
      <c r="Y5" s="34">
        <v>0.0</v>
      </c>
      <c r="Z5" s="204"/>
      <c r="AA5" s="40">
        <f t="shared" si="2"/>
        <v>0</v>
      </c>
      <c r="AB5" s="38" t="b">
        <f t="shared" si="3"/>
        <v>0</v>
      </c>
      <c r="AC5" s="40">
        <f t="shared" si="4"/>
        <v>0</v>
      </c>
      <c r="AD5" s="375"/>
      <c r="AE5" s="397"/>
      <c r="AF5" s="397"/>
      <c r="AG5" s="397"/>
      <c r="AH5" s="397"/>
      <c r="AI5" s="397"/>
    </row>
    <row r="6">
      <c r="A6" s="396" t="s">
        <v>3225</v>
      </c>
      <c r="C6" s="397"/>
      <c r="D6" s="397"/>
      <c r="E6" s="397"/>
      <c r="F6" s="397"/>
      <c r="G6" s="396" t="s">
        <v>3233</v>
      </c>
      <c r="H6" s="397"/>
      <c r="I6" s="397"/>
      <c r="J6" s="396" t="s">
        <v>3234</v>
      </c>
      <c r="K6" s="396" t="s">
        <v>3235</v>
      </c>
      <c r="L6" s="397"/>
      <c r="M6" s="397"/>
      <c r="N6" s="396" t="s">
        <v>3236</v>
      </c>
      <c r="O6" s="397"/>
      <c r="P6" s="397"/>
      <c r="Q6" s="397"/>
      <c r="R6" s="397"/>
      <c r="S6" s="375"/>
      <c r="T6" s="204"/>
      <c r="U6" s="204"/>
      <c r="V6" s="398"/>
      <c r="W6" s="399"/>
      <c r="X6" s="32">
        <f t="shared" si="1"/>
        <v>0</v>
      </c>
      <c r="Y6" s="34">
        <v>0.0</v>
      </c>
      <c r="Z6" s="204"/>
      <c r="AA6" s="40">
        <f t="shared" si="2"/>
        <v>0</v>
      </c>
      <c r="AB6" s="38" t="b">
        <f t="shared" si="3"/>
        <v>0</v>
      </c>
      <c r="AC6" s="40">
        <f t="shared" si="4"/>
        <v>0</v>
      </c>
      <c r="AD6" s="375"/>
      <c r="AE6" s="397"/>
      <c r="AF6" s="397"/>
      <c r="AG6" s="397"/>
      <c r="AH6" s="397"/>
      <c r="AI6" s="397"/>
    </row>
    <row r="7">
      <c r="A7" s="396" t="s">
        <v>3225</v>
      </c>
      <c r="B7" s="396"/>
      <c r="C7" s="397"/>
      <c r="D7" s="397"/>
      <c r="E7" s="397"/>
      <c r="F7" s="397"/>
      <c r="G7" s="396" t="s">
        <v>3233</v>
      </c>
      <c r="H7" s="397"/>
      <c r="I7" s="397"/>
      <c r="J7" s="396" t="s">
        <v>3234</v>
      </c>
      <c r="K7" s="396" t="s">
        <v>3235</v>
      </c>
      <c r="L7" s="397"/>
      <c r="M7" s="397"/>
      <c r="N7" s="396" t="s">
        <v>3237</v>
      </c>
      <c r="O7" s="397"/>
      <c r="P7" s="397"/>
      <c r="Q7" s="397"/>
      <c r="R7" s="397"/>
      <c r="S7" s="375"/>
      <c r="T7" s="204"/>
      <c r="U7" s="204"/>
      <c r="V7" s="398"/>
      <c r="W7" s="399"/>
      <c r="X7" s="32"/>
      <c r="Y7" s="34"/>
      <c r="Z7" s="204"/>
      <c r="AA7" s="40"/>
      <c r="AB7" s="38"/>
      <c r="AC7" s="40"/>
      <c r="AD7" s="375"/>
      <c r="AE7" s="397"/>
      <c r="AF7" s="397"/>
      <c r="AG7" s="397"/>
      <c r="AH7" s="397"/>
      <c r="AI7" s="397"/>
    </row>
    <row r="8">
      <c r="A8" s="396" t="s">
        <v>3225</v>
      </c>
      <c r="B8" s="396" t="s">
        <v>3230</v>
      </c>
      <c r="C8" s="397"/>
      <c r="D8" s="397"/>
      <c r="E8" s="397"/>
      <c r="F8" s="397"/>
      <c r="G8" s="396" t="s">
        <v>3238</v>
      </c>
      <c r="H8" s="397"/>
      <c r="I8" s="397"/>
      <c r="J8" s="396" t="s">
        <v>3239</v>
      </c>
      <c r="K8" s="397"/>
      <c r="L8" s="397"/>
      <c r="M8" s="397"/>
      <c r="N8" s="397"/>
      <c r="O8" s="397"/>
      <c r="P8" s="397"/>
      <c r="Q8" s="397"/>
      <c r="R8" s="397"/>
      <c r="S8" s="375"/>
      <c r="T8" s="204"/>
      <c r="U8" s="204"/>
      <c r="V8" s="398"/>
      <c r="W8" s="399"/>
      <c r="X8" s="32">
        <f t="shared" ref="X8:X17" si="5">SUM(V8*W8)</f>
        <v>0</v>
      </c>
      <c r="Y8" s="34">
        <v>0.0</v>
      </c>
      <c r="Z8" s="204"/>
      <c r="AA8" s="40">
        <f t="shared" ref="AA8:AA17" si="6">SUM(T8+V8-X8-W8)</f>
        <v>0</v>
      </c>
      <c r="AB8" s="38" t="b">
        <f t="shared" ref="AB8:AB17" si="7">if(Z8="Buyer",(AA8)*50%,if(Z8="Seller",(AA8)*60%,if(Z8="Buyer_SOI",(AA8)*30%, if(Z8="Seller_SOI",(AA8*40%)))))</f>
        <v>0</v>
      </c>
      <c r="AC8" s="40">
        <f t="shared" ref="AC8:AC26" si="8">sum(AA8-AB8)</f>
        <v>0</v>
      </c>
      <c r="AD8" s="375"/>
      <c r="AE8" s="397"/>
      <c r="AF8" s="397"/>
      <c r="AG8" s="397"/>
      <c r="AH8" s="397"/>
      <c r="AI8" s="397"/>
    </row>
    <row r="9">
      <c r="A9" s="396" t="s">
        <v>3225</v>
      </c>
      <c r="B9" s="396" t="s">
        <v>47</v>
      </c>
      <c r="C9" s="396"/>
      <c r="D9" s="397"/>
      <c r="E9" s="397"/>
      <c r="F9" s="397"/>
      <c r="G9" s="396" t="s">
        <v>3226</v>
      </c>
      <c r="H9" s="397"/>
      <c r="I9" s="397"/>
      <c r="J9" s="396" t="s">
        <v>3240</v>
      </c>
      <c r="K9" s="397"/>
      <c r="L9" s="397"/>
      <c r="M9" s="396" t="s">
        <v>3241</v>
      </c>
      <c r="N9" s="396" t="s">
        <v>3242</v>
      </c>
      <c r="O9" s="397"/>
      <c r="P9" s="397"/>
      <c r="Q9" s="397"/>
      <c r="R9" s="397"/>
      <c r="S9" s="375"/>
      <c r="T9" s="204"/>
      <c r="U9" s="204"/>
      <c r="V9" s="398"/>
      <c r="W9" s="399"/>
      <c r="X9" s="32">
        <f t="shared" si="5"/>
        <v>0</v>
      </c>
      <c r="Y9" s="34">
        <v>0.0</v>
      </c>
      <c r="Z9" s="204"/>
      <c r="AA9" s="40">
        <f t="shared" si="6"/>
        <v>0</v>
      </c>
      <c r="AB9" s="38" t="b">
        <f t="shared" si="7"/>
        <v>0</v>
      </c>
      <c r="AC9" s="40">
        <f t="shared" si="8"/>
        <v>0</v>
      </c>
      <c r="AD9" s="375"/>
      <c r="AE9" s="397"/>
      <c r="AF9" s="397"/>
      <c r="AG9" s="397"/>
      <c r="AH9" s="397"/>
      <c r="AI9" s="397"/>
    </row>
    <row r="10">
      <c r="A10" s="396" t="s">
        <v>3225</v>
      </c>
      <c r="B10" s="397"/>
      <c r="C10" s="397"/>
      <c r="D10" s="397"/>
      <c r="E10" s="397"/>
      <c r="F10" s="397"/>
      <c r="G10" s="396" t="s">
        <v>3233</v>
      </c>
      <c r="H10" s="397"/>
      <c r="I10" s="397"/>
      <c r="J10" s="396" t="s">
        <v>3243</v>
      </c>
      <c r="K10" s="396" t="s">
        <v>3244</v>
      </c>
      <c r="L10" s="396" t="s">
        <v>3245</v>
      </c>
      <c r="M10" s="397"/>
      <c r="N10" s="397"/>
      <c r="O10" s="397"/>
      <c r="P10" s="397"/>
      <c r="Q10" s="397"/>
      <c r="R10" s="397"/>
      <c r="S10" s="375"/>
      <c r="T10" s="204"/>
      <c r="U10" s="204"/>
      <c r="V10" s="398"/>
      <c r="W10" s="399"/>
      <c r="X10" s="32">
        <f t="shared" si="5"/>
        <v>0</v>
      </c>
      <c r="Y10" s="34">
        <v>0.0</v>
      </c>
      <c r="Z10" s="204"/>
      <c r="AA10" s="40">
        <f t="shared" si="6"/>
        <v>0</v>
      </c>
      <c r="AB10" s="38" t="b">
        <f t="shared" si="7"/>
        <v>0</v>
      </c>
      <c r="AC10" s="40">
        <f t="shared" si="8"/>
        <v>0</v>
      </c>
      <c r="AD10" s="375"/>
      <c r="AE10" s="397"/>
      <c r="AF10" s="397"/>
      <c r="AG10" s="397"/>
      <c r="AH10" s="397"/>
      <c r="AI10" s="397"/>
    </row>
    <row r="11">
      <c r="A11" s="396" t="s">
        <v>3225</v>
      </c>
      <c r="B11" s="397"/>
      <c r="C11" s="397"/>
      <c r="D11" s="397"/>
      <c r="E11" s="397"/>
      <c r="F11" s="397"/>
      <c r="G11" s="396" t="s">
        <v>256</v>
      </c>
      <c r="H11" s="397"/>
      <c r="I11" s="397"/>
      <c r="J11" s="396" t="s">
        <v>3246</v>
      </c>
      <c r="K11" s="396" t="s">
        <v>3247</v>
      </c>
      <c r="L11" s="396" t="s">
        <v>3248</v>
      </c>
      <c r="M11" s="396" t="s">
        <v>3249</v>
      </c>
      <c r="N11" s="397"/>
      <c r="O11" s="397"/>
      <c r="P11" s="397"/>
      <c r="Q11" s="397"/>
      <c r="R11" s="397"/>
      <c r="S11" s="375"/>
      <c r="T11" s="204"/>
      <c r="U11" s="204"/>
      <c r="V11" s="398"/>
      <c r="W11" s="399"/>
      <c r="X11" s="32">
        <f t="shared" si="5"/>
        <v>0</v>
      </c>
      <c r="Y11" s="34">
        <v>0.0</v>
      </c>
      <c r="Z11" s="204"/>
      <c r="AA11" s="40">
        <f t="shared" si="6"/>
        <v>0</v>
      </c>
      <c r="AB11" s="38" t="b">
        <f t="shared" si="7"/>
        <v>0</v>
      </c>
      <c r="AC11" s="40">
        <f t="shared" si="8"/>
        <v>0</v>
      </c>
      <c r="AD11" s="375"/>
      <c r="AE11" s="397"/>
      <c r="AF11" s="397"/>
      <c r="AG11" s="397"/>
      <c r="AH11" s="397"/>
      <c r="AI11" s="397"/>
    </row>
    <row r="12">
      <c r="A12" s="396" t="s">
        <v>3225</v>
      </c>
      <c r="B12" s="397"/>
      <c r="C12" s="397"/>
      <c r="D12" s="397"/>
      <c r="E12" s="397"/>
      <c r="F12" s="397"/>
      <c r="G12" s="396" t="s">
        <v>256</v>
      </c>
      <c r="H12" s="397"/>
      <c r="I12" s="397"/>
      <c r="J12" s="396" t="s">
        <v>3250</v>
      </c>
      <c r="K12" s="396" t="s">
        <v>3251</v>
      </c>
      <c r="L12" s="396" t="s">
        <v>3252</v>
      </c>
      <c r="M12" s="396" t="s">
        <v>3253</v>
      </c>
      <c r="N12" s="397"/>
      <c r="O12" s="397"/>
      <c r="P12" s="397"/>
      <c r="Q12" s="397"/>
      <c r="R12" s="397"/>
      <c r="S12" s="375"/>
      <c r="T12" s="204"/>
      <c r="U12" s="204"/>
      <c r="V12" s="398"/>
      <c r="W12" s="399"/>
      <c r="X12" s="32">
        <f t="shared" si="5"/>
        <v>0</v>
      </c>
      <c r="Y12" s="34">
        <v>0.0</v>
      </c>
      <c r="Z12" s="204"/>
      <c r="AA12" s="40">
        <f t="shared" si="6"/>
        <v>0</v>
      </c>
      <c r="AB12" s="38" t="b">
        <f t="shared" si="7"/>
        <v>0</v>
      </c>
      <c r="AC12" s="40">
        <f t="shared" si="8"/>
        <v>0</v>
      </c>
      <c r="AD12" s="375"/>
      <c r="AE12" s="397"/>
      <c r="AF12" s="397"/>
      <c r="AG12" s="397"/>
      <c r="AH12" s="397"/>
      <c r="AI12" s="397"/>
    </row>
    <row r="13">
      <c r="A13" s="396" t="s">
        <v>3225</v>
      </c>
      <c r="B13" s="396" t="s">
        <v>47</v>
      </c>
      <c r="C13" s="396" t="s">
        <v>3254</v>
      </c>
      <c r="D13" s="397"/>
      <c r="E13" s="397"/>
      <c r="F13" s="397"/>
      <c r="G13" s="396" t="s">
        <v>72</v>
      </c>
      <c r="H13" s="397"/>
      <c r="I13" s="397"/>
      <c r="J13" s="396" t="s">
        <v>3255</v>
      </c>
      <c r="K13" s="397"/>
      <c r="L13" s="397"/>
      <c r="M13" s="397"/>
      <c r="N13" s="397"/>
      <c r="O13" s="397"/>
      <c r="P13" s="397"/>
      <c r="Q13" s="397"/>
      <c r="R13" s="397"/>
      <c r="S13" s="375"/>
      <c r="T13" s="204"/>
      <c r="U13" s="204"/>
      <c r="V13" s="398"/>
      <c r="W13" s="399"/>
      <c r="X13" s="32">
        <f t="shared" si="5"/>
        <v>0</v>
      </c>
      <c r="Y13" s="34">
        <v>0.0</v>
      </c>
      <c r="Z13" s="204"/>
      <c r="AA13" s="40">
        <f t="shared" si="6"/>
        <v>0</v>
      </c>
      <c r="AB13" s="38" t="b">
        <f t="shared" si="7"/>
        <v>0</v>
      </c>
      <c r="AC13" s="40">
        <f t="shared" si="8"/>
        <v>0</v>
      </c>
      <c r="AD13" s="375"/>
      <c r="AE13" s="397"/>
      <c r="AF13" s="397"/>
      <c r="AG13" s="397"/>
      <c r="AH13" s="397"/>
      <c r="AI13" s="397"/>
    </row>
    <row r="14">
      <c r="A14" s="396" t="s">
        <v>3225</v>
      </c>
      <c r="B14" s="397"/>
      <c r="C14" s="397"/>
      <c r="D14" s="397"/>
      <c r="E14" s="397"/>
      <c r="F14" s="397"/>
      <c r="G14" s="396" t="s">
        <v>3256</v>
      </c>
      <c r="H14" s="397"/>
      <c r="I14" s="397"/>
      <c r="J14" s="396" t="s">
        <v>3257</v>
      </c>
      <c r="K14" s="397"/>
      <c r="L14" s="397"/>
      <c r="M14" s="397"/>
      <c r="N14" s="397"/>
      <c r="O14" s="397"/>
      <c r="P14" s="397"/>
      <c r="Q14" s="397"/>
      <c r="R14" s="397"/>
      <c r="S14" s="375"/>
      <c r="T14" s="204"/>
      <c r="U14" s="204"/>
      <c r="V14" s="398"/>
      <c r="W14" s="399"/>
      <c r="X14" s="32">
        <f t="shared" si="5"/>
        <v>0</v>
      </c>
      <c r="Y14" s="34">
        <v>0.0</v>
      </c>
      <c r="Z14" s="204"/>
      <c r="AA14" s="40">
        <f t="shared" si="6"/>
        <v>0</v>
      </c>
      <c r="AB14" s="38" t="b">
        <f t="shared" si="7"/>
        <v>0</v>
      </c>
      <c r="AC14" s="40">
        <f t="shared" si="8"/>
        <v>0</v>
      </c>
      <c r="AD14" s="375"/>
      <c r="AE14" s="397"/>
      <c r="AF14" s="397"/>
      <c r="AG14" s="397"/>
      <c r="AH14" s="397"/>
      <c r="AI14" s="397"/>
    </row>
    <row r="15">
      <c r="A15" s="396" t="s">
        <v>3225</v>
      </c>
      <c r="B15" s="397"/>
      <c r="C15" s="397"/>
      <c r="D15" s="397"/>
      <c r="E15" s="397"/>
      <c r="F15" s="397"/>
      <c r="G15" s="396" t="s">
        <v>3256</v>
      </c>
      <c r="H15" s="397"/>
      <c r="I15" s="397"/>
      <c r="J15" s="396" t="s">
        <v>3258</v>
      </c>
      <c r="K15" s="397"/>
      <c r="L15" s="397"/>
      <c r="M15" s="396" t="s">
        <v>3259</v>
      </c>
      <c r="N15" s="396" t="s">
        <v>3260</v>
      </c>
      <c r="O15" s="397"/>
      <c r="P15" s="397"/>
      <c r="Q15" s="397"/>
      <c r="R15" s="397"/>
      <c r="S15" s="375"/>
      <c r="T15" s="204"/>
      <c r="U15" s="204"/>
      <c r="V15" s="398"/>
      <c r="W15" s="399"/>
      <c r="X15" s="32">
        <f t="shared" si="5"/>
        <v>0</v>
      </c>
      <c r="Y15" s="34">
        <v>0.0</v>
      </c>
      <c r="Z15" s="204"/>
      <c r="AA15" s="40">
        <f t="shared" si="6"/>
        <v>0</v>
      </c>
      <c r="AB15" s="38" t="b">
        <f t="shared" si="7"/>
        <v>0</v>
      </c>
      <c r="AC15" s="40">
        <f t="shared" si="8"/>
        <v>0</v>
      </c>
      <c r="AD15" s="375"/>
      <c r="AE15" s="397"/>
      <c r="AF15" s="397"/>
      <c r="AG15" s="397"/>
      <c r="AH15" s="397"/>
      <c r="AI15" s="397"/>
    </row>
    <row r="16">
      <c r="A16" s="396" t="s">
        <v>3225</v>
      </c>
      <c r="B16" s="396" t="s">
        <v>47</v>
      </c>
      <c r="C16" s="396" t="s">
        <v>3261</v>
      </c>
      <c r="D16" s="396" t="s">
        <v>3262</v>
      </c>
      <c r="E16" s="396">
        <v>28376.0</v>
      </c>
      <c r="F16" s="396" t="s">
        <v>3263</v>
      </c>
      <c r="G16" s="396" t="s">
        <v>3264</v>
      </c>
      <c r="H16" s="397"/>
      <c r="I16" s="397"/>
      <c r="J16" s="396" t="s">
        <v>3265</v>
      </c>
      <c r="K16" s="396" t="s">
        <v>3266</v>
      </c>
      <c r="L16" s="396" t="s">
        <v>3267</v>
      </c>
      <c r="M16" s="396" t="s">
        <v>3268</v>
      </c>
      <c r="N16" s="396" t="s">
        <v>3269</v>
      </c>
      <c r="O16" s="400"/>
      <c r="P16" s="400">
        <v>45917.0</v>
      </c>
      <c r="Q16" s="397"/>
      <c r="R16" s="397"/>
      <c r="S16" s="375"/>
      <c r="T16" s="204"/>
      <c r="U16" s="227" t="s">
        <v>167</v>
      </c>
      <c r="V16" s="401">
        <v>28000.0</v>
      </c>
      <c r="W16" s="399"/>
      <c r="X16" s="32">
        <f t="shared" si="5"/>
        <v>0</v>
      </c>
      <c r="Y16" s="34">
        <v>840.0</v>
      </c>
      <c r="Z16" s="204"/>
      <c r="AA16" s="40">
        <f t="shared" si="6"/>
        <v>28000</v>
      </c>
      <c r="AB16" s="38" t="b">
        <f t="shared" si="7"/>
        <v>0</v>
      </c>
      <c r="AC16" s="40">
        <f t="shared" si="8"/>
        <v>28000</v>
      </c>
      <c r="AD16" s="375"/>
      <c r="AE16" s="397"/>
      <c r="AF16" s="397"/>
      <c r="AG16" s="397"/>
      <c r="AH16" s="397"/>
      <c r="AI16" s="397"/>
    </row>
    <row r="17">
      <c r="A17" s="396" t="s">
        <v>3270</v>
      </c>
      <c r="B17" s="396" t="s">
        <v>84</v>
      </c>
      <c r="C17" s="396" t="s">
        <v>3271</v>
      </c>
      <c r="D17" s="396" t="s">
        <v>3272</v>
      </c>
      <c r="E17" s="396">
        <v>92653.0</v>
      </c>
      <c r="F17" s="396" t="s">
        <v>3273</v>
      </c>
      <c r="G17" s="396" t="s">
        <v>256</v>
      </c>
      <c r="H17" s="397"/>
      <c r="I17" s="397"/>
      <c r="J17" s="396" t="s">
        <v>3274</v>
      </c>
      <c r="K17" s="397"/>
      <c r="L17" s="397"/>
      <c r="M17" s="396" t="s">
        <v>3275</v>
      </c>
      <c r="N17" s="397"/>
      <c r="O17" s="397"/>
      <c r="P17" s="397"/>
      <c r="Q17" s="397"/>
      <c r="R17" s="397"/>
      <c r="S17" s="375"/>
      <c r="T17" s="204"/>
      <c r="U17" s="204"/>
      <c r="V17" s="398"/>
      <c r="W17" s="399"/>
      <c r="X17" s="32">
        <f t="shared" si="5"/>
        <v>0</v>
      </c>
      <c r="Y17" s="34">
        <v>0.0</v>
      </c>
      <c r="Z17" s="204"/>
      <c r="AA17" s="40">
        <f t="shared" si="6"/>
        <v>0</v>
      </c>
      <c r="AB17" s="38" t="b">
        <f t="shared" si="7"/>
        <v>0</v>
      </c>
      <c r="AC17" s="40">
        <f t="shared" si="8"/>
        <v>0</v>
      </c>
      <c r="AD17" s="375"/>
      <c r="AE17" s="397"/>
      <c r="AF17" s="397"/>
      <c r="AG17" s="397"/>
      <c r="AH17" s="397"/>
      <c r="AI17" s="397"/>
    </row>
    <row r="18">
      <c r="A18" s="396" t="s">
        <v>3225</v>
      </c>
      <c r="B18" s="396" t="s">
        <v>84</v>
      </c>
      <c r="C18" s="402" t="s">
        <v>3276</v>
      </c>
      <c r="D18" s="396" t="s">
        <v>3277</v>
      </c>
      <c r="E18" s="396">
        <v>234566.0</v>
      </c>
      <c r="F18" s="396" t="s">
        <v>3278</v>
      </c>
      <c r="G18" s="396" t="s">
        <v>574</v>
      </c>
      <c r="H18" s="397"/>
      <c r="I18" s="397"/>
      <c r="J18" s="396" t="s">
        <v>3279</v>
      </c>
      <c r="K18" s="396" t="s">
        <v>3280</v>
      </c>
      <c r="L18" s="396" t="s">
        <v>3281</v>
      </c>
      <c r="M18" s="396" t="s">
        <v>3282</v>
      </c>
      <c r="N18" s="396" t="s">
        <v>3283</v>
      </c>
      <c r="O18" s="402" t="s">
        <v>570</v>
      </c>
      <c r="P18" s="397"/>
      <c r="Q18" s="397"/>
      <c r="R18" s="403">
        <v>46085.0</v>
      </c>
      <c r="S18" s="375"/>
      <c r="T18" s="204"/>
      <c r="U18" s="227" t="s">
        <v>167</v>
      </c>
      <c r="V18" s="398"/>
      <c r="W18" s="404">
        <v>1964.25</v>
      </c>
      <c r="X18" s="62">
        <v>1964.25</v>
      </c>
      <c r="Y18" s="34">
        <v>1964.25</v>
      </c>
      <c r="Z18" s="204"/>
      <c r="AA18" s="40">
        <f>X18</f>
        <v>1964.25</v>
      </c>
      <c r="AB18" s="38">
        <f>AA18*0.15</f>
        <v>294.6375</v>
      </c>
      <c r="AC18" s="40">
        <f t="shared" si="8"/>
        <v>1669.6125</v>
      </c>
      <c r="AD18" s="375"/>
      <c r="AE18" s="397"/>
      <c r="AF18" s="397"/>
      <c r="AG18" s="397"/>
      <c r="AH18" s="397"/>
      <c r="AI18" s="397"/>
    </row>
    <row r="19">
      <c r="A19" s="396" t="s">
        <v>3225</v>
      </c>
      <c r="B19" s="396" t="s">
        <v>84</v>
      </c>
      <c r="C19" s="402" t="s">
        <v>3284</v>
      </c>
      <c r="D19" s="396" t="s">
        <v>100</v>
      </c>
      <c r="E19" s="396">
        <v>92392.0</v>
      </c>
      <c r="F19" s="396" t="s">
        <v>101</v>
      </c>
      <c r="G19" s="396" t="s">
        <v>3285</v>
      </c>
      <c r="H19" s="397"/>
      <c r="I19" s="397"/>
      <c r="J19" s="397"/>
      <c r="K19" s="397"/>
      <c r="L19" s="397"/>
      <c r="M19" s="397"/>
      <c r="N19" s="397"/>
      <c r="O19" s="402" t="s">
        <v>570</v>
      </c>
      <c r="P19" s="397"/>
      <c r="Q19" s="397"/>
      <c r="R19" s="403">
        <v>46044.0</v>
      </c>
      <c r="S19" s="375"/>
      <c r="T19" s="227" t="s">
        <v>106</v>
      </c>
      <c r="U19" s="227" t="s">
        <v>277</v>
      </c>
      <c r="V19" s="401"/>
      <c r="W19" s="405">
        <v>1000.0</v>
      </c>
      <c r="X19" s="32">
        <f t="shared" ref="X19:X21" si="9">SUM(V19*W19)</f>
        <v>0</v>
      </c>
      <c r="Y19" s="34">
        <v>1000.0</v>
      </c>
      <c r="Z19" s="204"/>
      <c r="AA19" s="330">
        <v>1000.0</v>
      </c>
      <c r="AB19" s="30">
        <v>0.0</v>
      </c>
      <c r="AC19" s="40">
        <f t="shared" si="8"/>
        <v>1000</v>
      </c>
      <c r="AD19" s="375"/>
      <c r="AE19" s="397"/>
      <c r="AF19" s="397"/>
      <c r="AG19" s="397"/>
      <c r="AH19" s="397"/>
      <c r="AI19" s="397"/>
    </row>
    <row r="20">
      <c r="A20" s="396" t="s">
        <v>3270</v>
      </c>
      <c r="B20" s="396" t="s">
        <v>84</v>
      </c>
      <c r="C20" s="402" t="s">
        <v>3286</v>
      </c>
      <c r="D20" s="396" t="s">
        <v>100</v>
      </c>
      <c r="E20" s="396">
        <v>92392.0</v>
      </c>
      <c r="F20" s="396" t="s">
        <v>101</v>
      </c>
      <c r="G20" s="396" t="s">
        <v>633</v>
      </c>
      <c r="H20" s="397"/>
      <c r="I20" s="397"/>
      <c r="J20" s="396" t="s">
        <v>2884</v>
      </c>
      <c r="K20" s="396" t="s">
        <v>2885</v>
      </c>
      <c r="L20" s="396" t="s">
        <v>2886</v>
      </c>
      <c r="M20" s="396" t="s">
        <v>633</v>
      </c>
      <c r="N20" s="396" t="s">
        <v>3287</v>
      </c>
      <c r="O20" s="402" t="s">
        <v>570</v>
      </c>
      <c r="P20" s="397"/>
      <c r="Q20" s="397"/>
      <c r="R20" s="403">
        <v>46031.0</v>
      </c>
      <c r="S20" s="375"/>
      <c r="T20" s="227" t="s">
        <v>65</v>
      </c>
      <c r="U20" s="227" t="s">
        <v>156</v>
      </c>
      <c r="V20" s="398"/>
      <c r="W20" s="405">
        <v>1495.0</v>
      </c>
      <c r="X20" s="32">
        <f t="shared" si="9"/>
        <v>0</v>
      </c>
      <c r="Y20" s="34">
        <v>1495.0</v>
      </c>
      <c r="Z20" s="204"/>
      <c r="AA20" s="330">
        <v>1495.0</v>
      </c>
      <c r="AB20" s="30">
        <v>0.0</v>
      </c>
      <c r="AC20" s="40">
        <f t="shared" si="8"/>
        <v>1495</v>
      </c>
      <c r="AD20" s="375"/>
      <c r="AE20" s="397"/>
      <c r="AF20" s="397"/>
      <c r="AG20" s="397"/>
      <c r="AH20" s="397"/>
      <c r="AI20" s="397"/>
    </row>
    <row r="21">
      <c r="A21" s="396" t="s">
        <v>3270</v>
      </c>
      <c r="B21" s="396" t="s">
        <v>84</v>
      </c>
      <c r="C21" s="396" t="s">
        <v>2798</v>
      </c>
      <c r="D21" s="396"/>
      <c r="E21" s="396"/>
      <c r="F21" s="397"/>
      <c r="G21" s="396" t="s">
        <v>255</v>
      </c>
      <c r="H21" s="397"/>
      <c r="I21" s="396"/>
      <c r="J21" s="396" t="s">
        <v>3288</v>
      </c>
      <c r="K21" s="396"/>
      <c r="L21" s="396"/>
      <c r="M21" s="396" t="s">
        <v>3289</v>
      </c>
      <c r="N21" s="396" t="s">
        <v>3290</v>
      </c>
      <c r="O21" s="396" t="s">
        <v>570</v>
      </c>
      <c r="P21" s="397"/>
      <c r="Q21" s="397"/>
      <c r="R21" s="397"/>
      <c r="S21" s="375"/>
      <c r="T21" s="204"/>
      <c r="U21" s="227" t="s">
        <v>201</v>
      </c>
      <c r="V21" s="401"/>
      <c r="W21" s="406">
        <v>0.25</v>
      </c>
      <c r="X21" s="32">
        <f t="shared" si="9"/>
        <v>0</v>
      </c>
      <c r="Y21" s="34">
        <v>0.0</v>
      </c>
      <c r="Z21" s="204"/>
      <c r="AA21" s="330">
        <v>0.0</v>
      </c>
      <c r="AB21" s="38" t="b">
        <f>if(Z21="Buyer",(AA21)*50%,if(Z21="Seller",(AA21)*60%,if(Z21="Buyer_SOI",(AA21)*30%, if(Z21="Seller_SOI",(AA21*40%)))))</f>
        <v>0</v>
      </c>
      <c r="AC21" s="40">
        <f t="shared" si="8"/>
        <v>0</v>
      </c>
      <c r="AD21" s="375"/>
      <c r="AE21" s="397"/>
      <c r="AF21" s="397"/>
      <c r="AG21" s="397"/>
      <c r="AH21" s="397"/>
      <c r="AI21" s="397"/>
    </row>
    <row r="22">
      <c r="A22" s="396" t="s">
        <v>3270</v>
      </c>
      <c r="B22" s="396" t="s">
        <v>47</v>
      </c>
      <c r="C22" s="402" t="s">
        <v>3291</v>
      </c>
      <c r="D22" s="396" t="s">
        <v>3292</v>
      </c>
      <c r="E22" s="396">
        <v>85338.0</v>
      </c>
      <c r="F22" s="397"/>
      <c r="G22" s="396" t="s">
        <v>255</v>
      </c>
      <c r="H22" s="397"/>
      <c r="I22" s="397"/>
      <c r="J22" s="396" t="s">
        <v>3293</v>
      </c>
      <c r="K22" s="396" t="s">
        <v>3294</v>
      </c>
      <c r="L22" s="396" t="s">
        <v>1291</v>
      </c>
      <c r="M22" s="396" t="s">
        <v>3295</v>
      </c>
      <c r="N22" s="396" t="s">
        <v>3296</v>
      </c>
      <c r="O22" s="402" t="s">
        <v>570</v>
      </c>
      <c r="P22" s="397"/>
      <c r="Q22" s="397"/>
      <c r="R22" s="397"/>
      <c r="S22" s="375"/>
      <c r="T22" s="204"/>
      <c r="U22" s="227" t="s">
        <v>262</v>
      </c>
      <c r="V22" s="401">
        <v>550000.0</v>
      </c>
      <c r="W22" s="406">
        <v>0.25</v>
      </c>
      <c r="X22" s="32">
        <f>Y22/W22</f>
        <v>17500</v>
      </c>
      <c r="Y22" s="34">
        <v>4375.0</v>
      </c>
      <c r="Z22" s="204"/>
      <c r="AA22" s="40">
        <f>Y22</f>
        <v>4375</v>
      </c>
      <c r="AB22" s="38">
        <f>Y22</f>
        <v>4375</v>
      </c>
      <c r="AC22" s="40">
        <f t="shared" si="8"/>
        <v>0</v>
      </c>
      <c r="AD22" s="375"/>
      <c r="AE22" s="397"/>
      <c r="AF22" s="397"/>
      <c r="AG22" s="397"/>
      <c r="AH22" s="397"/>
      <c r="AI22" s="397"/>
    </row>
    <row r="23">
      <c r="A23" s="407" t="s">
        <v>3225</v>
      </c>
      <c r="B23" s="408"/>
      <c r="C23" s="408"/>
      <c r="D23" s="408"/>
      <c r="E23" s="408"/>
      <c r="F23" s="408"/>
      <c r="G23" s="407" t="s">
        <v>255</v>
      </c>
      <c r="H23" s="408"/>
      <c r="I23" s="408"/>
      <c r="J23" s="407" t="s">
        <v>3297</v>
      </c>
      <c r="K23" s="407" t="s">
        <v>3298</v>
      </c>
      <c r="L23" s="407" t="s">
        <v>3299</v>
      </c>
      <c r="M23" s="407" t="s">
        <v>3300</v>
      </c>
      <c r="N23" s="408"/>
      <c r="O23" s="407" t="s">
        <v>3301</v>
      </c>
      <c r="P23" s="408"/>
      <c r="Q23" s="408"/>
      <c r="R23" s="408"/>
      <c r="S23" s="409"/>
      <c r="T23" s="410"/>
      <c r="U23" s="411"/>
      <c r="V23" s="412"/>
      <c r="W23" s="413">
        <v>0.25</v>
      </c>
      <c r="X23" s="414">
        <f t="shared" ref="X23:X29" si="10">SUM(V23*W23)</f>
        <v>0</v>
      </c>
      <c r="Y23" s="415">
        <v>0.0</v>
      </c>
      <c r="Z23" s="410"/>
      <c r="AA23" s="416">
        <v>0.0</v>
      </c>
      <c r="AB23" s="416">
        <v>0.0</v>
      </c>
      <c r="AC23" s="414">
        <f t="shared" si="8"/>
        <v>0</v>
      </c>
      <c r="AD23" s="409"/>
      <c r="AE23" s="408"/>
      <c r="AF23" s="408"/>
      <c r="AG23" s="408"/>
      <c r="AH23" s="408"/>
      <c r="AI23" s="408"/>
    </row>
    <row r="24">
      <c r="A24" s="396" t="s">
        <v>3225</v>
      </c>
      <c r="B24" s="396" t="s">
        <v>47</v>
      </c>
      <c r="C24" s="396" t="s">
        <v>3302</v>
      </c>
      <c r="D24" s="396" t="s">
        <v>3303</v>
      </c>
      <c r="E24" s="396">
        <v>90731.0</v>
      </c>
      <c r="F24" s="396" t="s">
        <v>3273</v>
      </c>
      <c r="G24" s="396"/>
      <c r="H24" s="397"/>
      <c r="I24" s="397"/>
      <c r="J24" s="396" t="s">
        <v>3304</v>
      </c>
      <c r="K24" s="397"/>
      <c r="L24" s="396" t="s">
        <v>3305</v>
      </c>
      <c r="M24" s="396" t="s">
        <v>3306</v>
      </c>
      <c r="N24" s="397"/>
      <c r="O24" s="396" t="s">
        <v>570</v>
      </c>
      <c r="P24" s="397"/>
      <c r="Q24" s="397"/>
      <c r="R24" s="397"/>
      <c r="S24" s="375"/>
      <c r="T24" s="204"/>
      <c r="U24" s="227" t="s">
        <v>66</v>
      </c>
      <c r="V24" s="398"/>
      <c r="W24" s="406">
        <v>0.65</v>
      </c>
      <c r="X24" s="32">
        <f t="shared" si="10"/>
        <v>0</v>
      </c>
      <c r="Y24" s="34">
        <v>0.0</v>
      </c>
      <c r="Z24" s="204"/>
      <c r="AA24" s="330">
        <v>0.0</v>
      </c>
      <c r="AB24" s="38" t="b">
        <f t="shared" ref="AB24:AB26" si="11">if(Z24="Buyer",(AA24)*50%,if(Z24="Seller",(AA24)*60%,if(Z24="Buyer_SOI",(AA24)*30%, if(Z24="Seller_SOI",(AA24*40%)))))</f>
        <v>0</v>
      </c>
      <c r="AC24" s="40">
        <f t="shared" si="8"/>
        <v>0</v>
      </c>
      <c r="AD24" s="375"/>
      <c r="AE24" s="397"/>
      <c r="AF24" s="397"/>
      <c r="AG24" s="397"/>
      <c r="AH24" s="397"/>
      <c r="AI24" s="397"/>
    </row>
    <row r="25">
      <c r="A25" s="396" t="s">
        <v>3270</v>
      </c>
      <c r="B25" s="397"/>
      <c r="C25" s="397"/>
      <c r="D25" s="397"/>
      <c r="E25" s="397"/>
      <c r="F25" s="397"/>
      <c r="G25" s="396" t="s">
        <v>332</v>
      </c>
      <c r="H25" s="397"/>
      <c r="I25" s="397"/>
      <c r="J25" s="396" t="s">
        <v>3307</v>
      </c>
      <c r="K25" s="396" t="s">
        <v>3308</v>
      </c>
      <c r="L25" s="396" t="s">
        <v>3309</v>
      </c>
      <c r="M25" s="396" t="s">
        <v>3310</v>
      </c>
      <c r="N25" s="396" t="s">
        <v>3311</v>
      </c>
      <c r="O25" s="396" t="s">
        <v>570</v>
      </c>
      <c r="P25" s="397"/>
      <c r="Q25" s="397"/>
      <c r="R25" s="397"/>
      <c r="S25" s="375"/>
      <c r="T25" s="204"/>
      <c r="U25" s="204"/>
      <c r="V25" s="398"/>
      <c r="W25" s="406">
        <v>0.25</v>
      </c>
      <c r="X25" s="32">
        <f t="shared" si="10"/>
        <v>0</v>
      </c>
      <c r="Y25" s="34">
        <v>0.0</v>
      </c>
      <c r="Z25" s="204"/>
      <c r="AA25" s="330">
        <v>0.0</v>
      </c>
      <c r="AB25" s="38" t="b">
        <f t="shared" si="11"/>
        <v>0</v>
      </c>
      <c r="AC25" s="40">
        <f t="shared" si="8"/>
        <v>0</v>
      </c>
      <c r="AD25" s="375"/>
      <c r="AE25" s="397"/>
      <c r="AF25" s="397"/>
      <c r="AG25" s="397"/>
      <c r="AH25" s="397"/>
      <c r="AI25" s="397"/>
    </row>
    <row r="26">
      <c r="A26" s="396" t="s">
        <v>3225</v>
      </c>
      <c r="B26" s="396" t="s">
        <v>84</v>
      </c>
      <c r="C26" s="396" t="s">
        <v>1349</v>
      </c>
      <c r="D26" s="396" t="s">
        <v>49</v>
      </c>
      <c r="E26" s="397"/>
      <c r="F26" s="397"/>
      <c r="G26" s="396" t="s">
        <v>102</v>
      </c>
      <c r="H26" s="397"/>
      <c r="I26" s="397"/>
      <c r="J26" s="396" t="s">
        <v>3312</v>
      </c>
      <c r="K26" s="397"/>
      <c r="L26" s="397"/>
      <c r="M26" s="396" t="s">
        <v>3313</v>
      </c>
      <c r="N26" s="396" t="s">
        <v>3314</v>
      </c>
      <c r="O26" s="396" t="s">
        <v>570</v>
      </c>
      <c r="P26" s="397"/>
      <c r="Q26" s="397"/>
      <c r="R26" s="400"/>
      <c r="S26" s="375"/>
      <c r="T26" s="204"/>
      <c r="U26" s="204"/>
      <c r="V26" s="398"/>
      <c r="W26" s="406">
        <v>0.25</v>
      </c>
      <c r="X26" s="32">
        <f t="shared" si="10"/>
        <v>0</v>
      </c>
      <c r="Y26" s="34">
        <v>0.0</v>
      </c>
      <c r="Z26" s="204"/>
      <c r="AA26" s="330">
        <v>0.0</v>
      </c>
      <c r="AB26" s="38" t="b">
        <f t="shared" si="11"/>
        <v>0</v>
      </c>
      <c r="AC26" s="40">
        <f t="shared" si="8"/>
        <v>0</v>
      </c>
      <c r="AD26" s="375"/>
      <c r="AE26" s="397"/>
      <c r="AF26" s="397"/>
      <c r="AG26" s="397"/>
      <c r="AH26" s="397"/>
      <c r="AI26" s="397"/>
    </row>
    <row r="27">
      <c r="A27" s="396" t="s">
        <v>3270</v>
      </c>
      <c r="B27" s="396" t="s">
        <v>84</v>
      </c>
      <c r="C27" s="402" t="s">
        <v>3315</v>
      </c>
      <c r="D27" s="397"/>
      <c r="E27" s="397"/>
      <c r="F27" s="397"/>
      <c r="G27" s="396" t="s">
        <v>3316</v>
      </c>
      <c r="H27" s="397"/>
      <c r="I27" s="397"/>
      <c r="J27" s="396" t="s">
        <v>3317</v>
      </c>
      <c r="K27" s="397"/>
      <c r="L27" s="397"/>
      <c r="M27" s="397"/>
      <c r="N27" s="397"/>
      <c r="O27" s="402" t="s">
        <v>570</v>
      </c>
      <c r="P27" s="397"/>
      <c r="Q27" s="397"/>
      <c r="R27" s="400">
        <v>45954.0</v>
      </c>
      <c r="S27" s="375"/>
      <c r="T27" s="397"/>
      <c r="U27" s="397"/>
      <c r="V27" s="397"/>
      <c r="W27" s="417">
        <v>1000.0</v>
      </c>
      <c r="X27" s="32">
        <f t="shared" si="10"/>
        <v>0</v>
      </c>
      <c r="Y27" s="34">
        <v>1000.0</v>
      </c>
      <c r="Z27" s="204"/>
      <c r="AA27" s="330">
        <v>1000.0</v>
      </c>
      <c r="AB27" s="30">
        <v>600.0</v>
      </c>
      <c r="AC27" s="40">
        <v>400.0</v>
      </c>
      <c r="AD27" s="375"/>
      <c r="AE27" s="397"/>
      <c r="AF27" s="397"/>
      <c r="AG27" s="397"/>
      <c r="AH27" s="397"/>
      <c r="AI27" s="397"/>
    </row>
    <row r="28">
      <c r="A28" s="396" t="s">
        <v>3270</v>
      </c>
      <c r="B28" s="396" t="s">
        <v>3318</v>
      </c>
      <c r="C28" s="418" t="s">
        <v>3319</v>
      </c>
      <c r="D28" s="396" t="s">
        <v>3320</v>
      </c>
      <c r="E28" s="396">
        <v>92562.0</v>
      </c>
      <c r="F28" s="397"/>
      <c r="G28" s="396" t="s">
        <v>3321</v>
      </c>
      <c r="H28" s="397"/>
      <c r="I28" s="397"/>
      <c r="J28" s="396" t="s">
        <v>3322</v>
      </c>
      <c r="K28" s="397"/>
      <c r="L28" s="396" t="s">
        <v>3323</v>
      </c>
      <c r="M28" s="396" t="s">
        <v>3324</v>
      </c>
      <c r="N28" s="396" t="s">
        <v>3325</v>
      </c>
      <c r="O28" s="402" t="s">
        <v>570</v>
      </c>
      <c r="P28" s="397"/>
      <c r="Q28" s="397"/>
      <c r="R28" s="397"/>
      <c r="S28" s="375"/>
      <c r="T28" s="397"/>
      <c r="U28" s="397"/>
      <c r="V28" s="397"/>
      <c r="W28" s="417"/>
      <c r="X28" s="32">
        <f t="shared" si="10"/>
        <v>0</v>
      </c>
      <c r="Y28" s="34">
        <v>550.0</v>
      </c>
      <c r="Z28" s="204"/>
      <c r="AA28" s="330">
        <v>550.0</v>
      </c>
      <c r="AB28" s="30">
        <v>275.0</v>
      </c>
      <c r="AC28" s="330">
        <v>275.0</v>
      </c>
      <c r="AD28" s="375"/>
      <c r="AE28" s="397"/>
      <c r="AF28" s="397"/>
      <c r="AG28" s="397"/>
      <c r="AH28" s="397"/>
      <c r="AI28" s="397"/>
    </row>
    <row r="29">
      <c r="A29" s="396" t="s">
        <v>3225</v>
      </c>
      <c r="B29" s="396" t="s">
        <v>84</v>
      </c>
      <c r="C29" s="402" t="s">
        <v>3326</v>
      </c>
      <c r="D29" s="396" t="s">
        <v>3327</v>
      </c>
      <c r="E29" s="396">
        <v>97124.0</v>
      </c>
      <c r="F29" s="397"/>
      <c r="G29" s="396" t="s">
        <v>288</v>
      </c>
      <c r="H29" s="397"/>
      <c r="I29" s="397"/>
      <c r="J29" s="396" t="s">
        <v>3328</v>
      </c>
      <c r="K29" s="397"/>
      <c r="L29" s="397"/>
      <c r="M29" s="396" t="s">
        <v>3329</v>
      </c>
      <c r="N29" s="396" t="s">
        <v>3330</v>
      </c>
      <c r="O29" s="396" t="s">
        <v>570</v>
      </c>
      <c r="P29" s="397"/>
      <c r="Q29" s="397"/>
      <c r="R29" s="397"/>
      <c r="S29" s="375"/>
      <c r="T29" s="397"/>
      <c r="U29" s="397"/>
      <c r="V29" s="397"/>
      <c r="W29" s="419">
        <v>0.3</v>
      </c>
      <c r="X29" s="32">
        <f t="shared" si="10"/>
        <v>0</v>
      </c>
      <c r="Y29" s="34">
        <v>4611.75</v>
      </c>
      <c r="Z29" s="204"/>
      <c r="AA29" s="330">
        <f>Y29</f>
        <v>4611.75</v>
      </c>
      <c r="AB29" s="38">
        <f>AA29*0.2</f>
        <v>922.35</v>
      </c>
      <c r="AC29" s="40">
        <f>sum(AA29-AB29)</f>
        <v>3689.4</v>
      </c>
      <c r="AD29" s="375"/>
      <c r="AE29" s="397"/>
      <c r="AF29" s="397"/>
      <c r="AG29" s="397"/>
      <c r="AH29" s="397"/>
      <c r="AI29" s="397"/>
    </row>
    <row r="30">
      <c r="A30" s="396" t="s">
        <v>3225</v>
      </c>
      <c r="B30" s="396" t="s">
        <v>3331</v>
      </c>
      <c r="C30" s="397"/>
      <c r="D30" s="397"/>
      <c r="E30" s="397"/>
      <c r="F30" s="397"/>
      <c r="G30" s="396" t="s">
        <v>288</v>
      </c>
      <c r="H30" s="397"/>
      <c r="I30" s="397"/>
      <c r="J30" s="396" t="s">
        <v>3328</v>
      </c>
      <c r="K30" s="397"/>
      <c r="L30" s="397"/>
      <c r="M30" s="396" t="s">
        <v>3332</v>
      </c>
      <c r="N30" s="396" t="s">
        <v>3333</v>
      </c>
      <c r="O30" s="396" t="s">
        <v>570</v>
      </c>
      <c r="P30" s="397"/>
      <c r="Q30" s="397"/>
      <c r="R30" s="397"/>
      <c r="S30" s="375"/>
      <c r="T30" s="397"/>
      <c r="U30" s="397"/>
      <c r="V30" s="397"/>
      <c r="W30" s="397"/>
      <c r="X30" s="32"/>
      <c r="Y30" s="34"/>
      <c r="Z30" s="204"/>
      <c r="AA30" s="330"/>
      <c r="AB30" s="38"/>
      <c r="AC30" s="40"/>
      <c r="AD30" s="375"/>
      <c r="AE30" s="397"/>
      <c r="AF30" s="397"/>
      <c r="AG30" s="397"/>
      <c r="AH30" s="397"/>
      <c r="AI30" s="397"/>
    </row>
    <row r="31">
      <c r="A31" s="396" t="s">
        <v>3225</v>
      </c>
      <c r="B31" s="397"/>
      <c r="C31" s="397"/>
      <c r="D31" s="397"/>
      <c r="E31" s="397"/>
      <c r="F31" s="397"/>
      <c r="G31" s="396" t="s">
        <v>102</v>
      </c>
      <c r="H31" s="397"/>
      <c r="I31" s="397"/>
      <c r="J31" s="396" t="s">
        <v>3334</v>
      </c>
      <c r="K31" s="397"/>
      <c r="L31" s="397"/>
      <c r="M31" s="396" t="s">
        <v>1477</v>
      </c>
      <c r="N31" s="396" t="s">
        <v>3335</v>
      </c>
      <c r="O31" s="420" t="s">
        <v>3336</v>
      </c>
      <c r="P31" s="397"/>
      <c r="Q31" s="397"/>
      <c r="R31" s="397"/>
      <c r="S31" s="375"/>
      <c r="T31" s="397"/>
      <c r="U31" s="397"/>
      <c r="V31" s="397"/>
      <c r="W31" s="397"/>
      <c r="X31" s="32">
        <f t="shared" ref="X31:X43" si="12">SUM(V31*W31)</f>
        <v>0</v>
      </c>
      <c r="Y31" s="34">
        <v>0.0</v>
      </c>
      <c r="Z31" s="204"/>
      <c r="AA31" s="330">
        <v>0.0</v>
      </c>
      <c r="AB31" s="38" t="b">
        <f t="shared" ref="AB31:AB32" si="13">if(Z31="Buyer",(AA31)*50%,if(Z31="Seller",(AA31)*60%,if(Z31="Buyer_SOI",(AA31)*30%, if(Z31="Seller_SOI",(AA31*40%)))))</f>
        <v>0</v>
      </c>
      <c r="AC31" s="40">
        <f t="shared" ref="AC31:AC33" si="14">sum(AA31-AB31)</f>
        <v>0</v>
      </c>
      <c r="AD31" s="375"/>
      <c r="AE31" s="397"/>
      <c r="AF31" s="397"/>
      <c r="AG31" s="397"/>
      <c r="AH31" s="397"/>
      <c r="AI31" s="397"/>
    </row>
    <row r="32">
      <c r="A32" s="396" t="s">
        <v>3225</v>
      </c>
      <c r="B32" s="396" t="s">
        <v>84</v>
      </c>
      <c r="C32" s="402" t="s">
        <v>3337</v>
      </c>
      <c r="D32" s="397"/>
      <c r="E32" s="397"/>
      <c r="F32" s="397"/>
      <c r="G32" s="396" t="s">
        <v>184</v>
      </c>
      <c r="H32" s="397"/>
      <c r="I32" s="397"/>
      <c r="J32" s="396" t="s">
        <v>3338</v>
      </c>
      <c r="K32" s="397"/>
      <c r="L32" s="396" t="s">
        <v>1083</v>
      </c>
      <c r="M32" s="396" t="s">
        <v>3339</v>
      </c>
      <c r="N32" s="396" t="s">
        <v>3330</v>
      </c>
      <c r="O32" s="402" t="s">
        <v>570</v>
      </c>
      <c r="P32" s="397"/>
      <c r="Q32" s="397"/>
      <c r="R32" s="397"/>
      <c r="S32" s="375"/>
      <c r="T32" s="397"/>
      <c r="U32" s="397"/>
      <c r="V32" s="397"/>
      <c r="W32" s="397"/>
      <c r="X32" s="32">
        <f t="shared" si="12"/>
        <v>0</v>
      </c>
      <c r="Y32" s="34">
        <v>0.0</v>
      </c>
      <c r="Z32" s="204"/>
      <c r="AA32" s="330">
        <v>0.0</v>
      </c>
      <c r="AB32" s="38" t="b">
        <f t="shared" si="13"/>
        <v>0</v>
      </c>
      <c r="AC32" s="40">
        <f t="shared" si="14"/>
        <v>0</v>
      </c>
      <c r="AD32" s="375"/>
      <c r="AE32" s="397"/>
      <c r="AF32" s="397"/>
      <c r="AG32" s="397"/>
      <c r="AH32" s="397"/>
      <c r="AI32" s="397"/>
    </row>
    <row r="33">
      <c r="A33" s="396" t="s">
        <v>3225</v>
      </c>
      <c r="B33" s="396" t="s">
        <v>84</v>
      </c>
      <c r="C33" s="402" t="s">
        <v>3340</v>
      </c>
      <c r="D33" s="396" t="s">
        <v>3341</v>
      </c>
      <c r="E33" s="396">
        <v>93555.0</v>
      </c>
      <c r="F33" s="396" t="s">
        <v>3342</v>
      </c>
      <c r="G33" s="396" t="s">
        <v>3226</v>
      </c>
      <c r="H33" s="397"/>
      <c r="I33" s="397"/>
      <c r="J33" s="396" t="s">
        <v>3068</v>
      </c>
      <c r="K33" s="396" t="s">
        <v>3343</v>
      </c>
      <c r="L33" s="396" t="s">
        <v>3344</v>
      </c>
      <c r="M33" s="396" t="s">
        <v>3226</v>
      </c>
      <c r="N33" s="396" t="s">
        <v>3345</v>
      </c>
      <c r="O33" s="402" t="s">
        <v>570</v>
      </c>
      <c r="P33" s="400">
        <v>46098.0</v>
      </c>
      <c r="Q33" s="397"/>
      <c r="R33" s="400">
        <v>46142.0</v>
      </c>
      <c r="S33" s="375"/>
      <c r="T33" s="227" t="s">
        <v>65</v>
      </c>
      <c r="U33" s="397"/>
      <c r="V33" s="397"/>
      <c r="W33" s="397"/>
      <c r="X33" s="32">
        <f t="shared" si="12"/>
        <v>0</v>
      </c>
      <c r="Y33" s="34">
        <v>500.0</v>
      </c>
      <c r="Z33" s="227"/>
      <c r="AA33" s="330">
        <v>500.0</v>
      </c>
      <c r="AB33" s="30">
        <v>0.0</v>
      </c>
      <c r="AC33" s="40">
        <f t="shared" si="14"/>
        <v>500</v>
      </c>
      <c r="AD33" s="375"/>
      <c r="AE33" s="397"/>
      <c r="AF33" s="397"/>
      <c r="AG33" s="397"/>
      <c r="AH33" s="397"/>
      <c r="AI33" s="397"/>
    </row>
    <row r="34">
      <c r="A34" s="407" t="s">
        <v>3225</v>
      </c>
      <c r="B34" s="421"/>
      <c r="C34" s="407" t="s">
        <v>3346</v>
      </c>
      <c r="D34" s="407" t="s">
        <v>2320</v>
      </c>
      <c r="E34" s="407">
        <v>92220.0</v>
      </c>
      <c r="F34" s="407" t="s">
        <v>3347</v>
      </c>
      <c r="G34" s="407" t="s">
        <v>288</v>
      </c>
      <c r="H34" s="408"/>
      <c r="I34" s="408"/>
      <c r="J34" s="407" t="s">
        <v>3020</v>
      </c>
      <c r="K34" s="408"/>
      <c r="L34" s="408"/>
      <c r="M34" s="408"/>
      <c r="N34" s="408"/>
      <c r="O34" s="407" t="s">
        <v>3301</v>
      </c>
      <c r="P34" s="408"/>
      <c r="Q34" s="408"/>
      <c r="R34" s="408"/>
      <c r="S34" s="422"/>
      <c r="T34" s="423"/>
      <c r="U34" s="423"/>
      <c r="V34" s="423"/>
      <c r="W34" s="423"/>
      <c r="X34" s="424">
        <f t="shared" si="12"/>
        <v>0</v>
      </c>
      <c r="Y34" s="425"/>
      <c r="Z34" s="423"/>
      <c r="AA34" s="423"/>
      <c r="AB34" s="423"/>
      <c r="AC34" s="423"/>
      <c r="AD34" s="422"/>
      <c r="AE34" s="423"/>
      <c r="AF34" s="423"/>
      <c r="AG34" s="423"/>
      <c r="AH34" s="423"/>
      <c r="AI34" s="423"/>
    </row>
    <row r="35">
      <c r="A35" s="396" t="s">
        <v>3225</v>
      </c>
      <c r="B35" s="396" t="s">
        <v>47</v>
      </c>
      <c r="C35" s="402" t="s">
        <v>3348</v>
      </c>
      <c r="D35" s="396" t="s">
        <v>3349</v>
      </c>
      <c r="E35" s="396">
        <v>97227.0</v>
      </c>
      <c r="F35" s="396" t="s">
        <v>3350</v>
      </c>
      <c r="G35" s="396" t="s">
        <v>574</v>
      </c>
      <c r="H35" s="397"/>
      <c r="I35" s="397"/>
      <c r="J35" s="396" t="s">
        <v>3351</v>
      </c>
      <c r="K35" s="397"/>
      <c r="L35" s="397"/>
      <c r="M35" s="396" t="s">
        <v>3352</v>
      </c>
      <c r="N35" s="396" t="s">
        <v>3345</v>
      </c>
      <c r="O35" s="402" t="s">
        <v>570</v>
      </c>
      <c r="P35" s="397"/>
      <c r="Q35" s="397"/>
      <c r="R35" s="397"/>
      <c r="S35" s="375"/>
      <c r="T35" s="397"/>
      <c r="U35" s="396" t="s">
        <v>167</v>
      </c>
      <c r="V35" s="397"/>
      <c r="W35" s="419">
        <v>0.25</v>
      </c>
      <c r="X35" s="32">
        <f t="shared" si="12"/>
        <v>0</v>
      </c>
      <c r="Y35" s="34">
        <v>4703.13</v>
      </c>
      <c r="Z35" s="426" t="s">
        <v>552</v>
      </c>
      <c r="AA35" s="330">
        <f>Y35</f>
        <v>4703.13</v>
      </c>
      <c r="AB35" s="30">
        <f>AA35*(1-(right(Z35,2)/100))</f>
        <v>705.4695</v>
      </c>
      <c r="AC35" s="40">
        <f>sum(AA35-AB35)</f>
        <v>3997.6605</v>
      </c>
      <c r="AD35" s="375"/>
      <c r="AE35" s="397"/>
      <c r="AF35" s="397"/>
      <c r="AG35" s="397"/>
      <c r="AH35" s="397"/>
      <c r="AI35" s="397"/>
    </row>
    <row r="36">
      <c r="A36" s="407" t="s">
        <v>3270</v>
      </c>
      <c r="B36" s="408"/>
      <c r="C36" s="407" t="s">
        <v>1801</v>
      </c>
      <c r="D36" s="408"/>
      <c r="E36" s="408"/>
      <c r="F36" s="408"/>
      <c r="G36" s="407" t="s">
        <v>646</v>
      </c>
      <c r="H36" s="408"/>
      <c r="I36" s="408"/>
      <c r="J36" s="407" t="s">
        <v>3353</v>
      </c>
      <c r="K36" s="408"/>
      <c r="L36" s="408"/>
      <c r="M36" s="407" t="s">
        <v>3354</v>
      </c>
      <c r="N36" s="407" t="s">
        <v>3355</v>
      </c>
      <c r="O36" s="407" t="s">
        <v>3356</v>
      </c>
      <c r="P36" s="408"/>
      <c r="Q36" s="408"/>
      <c r="R36" s="408"/>
      <c r="S36" s="409"/>
      <c r="T36" s="408"/>
      <c r="U36" s="408"/>
      <c r="V36" s="408"/>
      <c r="W36" s="408"/>
      <c r="X36" s="414">
        <f t="shared" si="12"/>
        <v>0</v>
      </c>
      <c r="Y36" s="408"/>
      <c r="Z36" s="408"/>
      <c r="AA36" s="408"/>
      <c r="AB36" s="408"/>
      <c r="AC36" s="408"/>
      <c r="AD36" s="409"/>
      <c r="AE36" s="408"/>
      <c r="AF36" s="408"/>
      <c r="AG36" s="408"/>
      <c r="AH36" s="408"/>
      <c r="AI36" s="408"/>
    </row>
    <row r="37">
      <c r="A37" s="396" t="s">
        <v>3270</v>
      </c>
      <c r="B37" s="397"/>
      <c r="C37" s="397"/>
      <c r="D37" s="397"/>
      <c r="E37" s="397"/>
      <c r="F37" s="397"/>
      <c r="G37" s="396" t="s">
        <v>1337</v>
      </c>
      <c r="H37" s="397"/>
      <c r="I37" s="397"/>
      <c r="J37" s="396" t="s">
        <v>3357</v>
      </c>
      <c r="K37" s="397"/>
      <c r="L37" s="397"/>
      <c r="M37" s="396" t="s">
        <v>3358</v>
      </c>
      <c r="N37" s="396" t="s">
        <v>0</v>
      </c>
      <c r="O37" s="396" t="s">
        <v>570</v>
      </c>
      <c r="P37" s="397"/>
      <c r="Q37" s="397"/>
      <c r="R37" s="397"/>
      <c r="S37" s="375"/>
      <c r="T37" s="397"/>
      <c r="U37" s="397"/>
      <c r="V37" s="397"/>
      <c r="W37" s="397"/>
      <c r="X37" s="32">
        <f t="shared" si="12"/>
        <v>0</v>
      </c>
      <c r="Y37" s="397"/>
      <c r="Z37" s="397"/>
      <c r="AA37" s="397"/>
      <c r="AB37" s="397"/>
      <c r="AC37" s="397"/>
      <c r="AD37" s="375"/>
      <c r="AE37" s="397"/>
      <c r="AF37" s="397"/>
      <c r="AG37" s="397"/>
      <c r="AH37" s="397"/>
      <c r="AI37" s="397"/>
    </row>
    <row r="38">
      <c r="A38" s="396" t="s">
        <v>3225</v>
      </c>
      <c r="B38" s="396" t="s">
        <v>47</v>
      </c>
      <c r="C38" s="402" t="s">
        <v>3359</v>
      </c>
      <c r="D38" s="396" t="s">
        <v>3360</v>
      </c>
      <c r="E38" s="396">
        <v>89040.0</v>
      </c>
      <c r="F38" s="396" t="s">
        <v>3361</v>
      </c>
      <c r="G38" s="396" t="s">
        <v>1073</v>
      </c>
      <c r="H38" s="397"/>
      <c r="I38" s="397"/>
      <c r="J38" s="25" t="s">
        <v>1865</v>
      </c>
      <c r="K38" s="26" t="s">
        <v>1866</v>
      </c>
      <c r="L38" s="26" t="s">
        <v>1867</v>
      </c>
      <c r="M38" s="396" t="s">
        <v>3362</v>
      </c>
      <c r="N38" s="396" t="s">
        <v>3363</v>
      </c>
      <c r="O38" s="396" t="s">
        <v>570</v>
      </c>
      <c r="P38" s="400">
        <v>46147.0</v>
      </c>
      <c r="Q38" s="397"/>
      <c r="R38" s="400">
        <v>46173.0</v>
      </c>
      <c r="S38" s="375"/>
      <c r="T38" s="227" t="s">
        <v>65</v>
      </c>
      <c r="U38" s="397"/>
      <c r="V38" s="397"/>
      <c r="W38" s="397"/>
      <c r="X38" s="32">
        <f t="shared" si="12"/>
        <v>0</v>
      </c>
      <c r="Y38" s="34">
        <v>777.0</v>
      </c>
      <c r="Z38" s="396" t="s">
        <v>212</v>
      </c>
      <c r="AA38" s="330">
        <f>Y38</f>
        <v>777</v>
      </c>
      <c r="AB38" s="30">
        <f>AA38*(1-(right(Z38,2)/100))</f>
        <v>155.4</v>
      </c>
      <c r="AC38" s="40">
        <f>sum(AA38-AB38)</f>
        <v>621.6</v>
      </c>
      <c r="AD38" s="375"/>
      <c r="AE38" s="397"/>
      <c r="AF38" s="397"/>
      <c r="AG38" s="397"/>
      <c r="AH38" s="397"/>
      <c r="AI38" s="397"/>
    </row>
    <row r="39">
      <c r="A39" s="396" t="s">
        <v>3270</v>
      </c>
      <c r="B39" s="397"/>
      <c r="C39" s="397"/>
      <c r="D39" s="397"/>
      <c r="E39" s="397"/>
      <c r="F39" s="397"/>
      <c r="G39" s="396" t="s">
        <v>399</v>
      </c>
      <c r="H39" s="397"/>
      <c r="I39" s="397"/>
      <c r="J39" s="396" t="s">
        <v>3364</v>
      </c>
      <c r="K39" s="397"/>
      <c r="L39" s="397"/>
      <c r="M39" s="396" t="s">
        <v>3365</v>
      </c>
      <c r="N39" s="397"/>
      <c r="O39" s="396" t="s">
        <v>570</v>
      </c>
      <c r="P39" s="397"/>
      <c r="Q39" s="397"/>
      <c r="R39" s="397"/>
      <c r="S39" s="375"/>
      <c r="T39" s="397"/>
      <c r="U39" s="397"/>
      <c r="V39" s="397"/>
      <c r="W39" s="397"/>
      <c r="X39" s="32">
        <f t="shared" si="12"/>
        <v>0</v>
      </c>
      <c r="Y39" s="397"/>
      <c r="Z39" s="397"/>
      <c r="AA39" s="397"/>
      <c r="AB39" s="397"/>
      <c r="AC39" s="397"/>
      <c r="AD39" s="375"/>
      <c r="AE39" s="397"/>
      <c r="AF39" s="397"/>
      <c r="AG39" s="397"/>
      <c r="AH39" s="397"/>
      <c r="AI39" s="397"/>
    </row>
    <row r="40">
      <c r="A40" s="396" t="s">
        <v>3225</v>
      </c>
      <c r="B40" s="396" t="s">
        <v>84</v>
      </c>
      <c r="C40" s="427" t="s">
        <v>2167</v>
      </c>
      <c r="D40" s="396" t="s">
        <v>2168</v>
      </c>
      <c r="E40" s="396">
        <v>91786.0</v>
      </c>
      <c r="F40" s="396" t="s">
        <v>659</v>
      </c>
      <c r="H40" s="397"/>
      <c r="I40" s="397"/>
      <c r="J40" s="396" t="s">
        <v>3366</v>
      </c>
      <c r="K40" s="396" t="s">
        <v>3367</v>
      </c>
      <c r="L40" s="396" t="s">
        <v>3368</v>
      </c>
      <c r="M40" s="396" t="s">
        <v>159</v>
      </c>
      <c r="N40" s="396" t="s">
        <v>3345</v>
      </c>
      <c r="O40" s="396" t="s">
        <v>3369</v>
      </c>
      <c r="P40" s="400">
        <v>46155.0</v>
      </c>
      <c r="Q40" s="397"/>
      <c r="R40" s="400">
        <v>46189.0</v>
      </c>
      <c r="S40" s="375"/>
      <c r="T40" s="227" t="s">
        <v>106</v>
      </c>
      <c r="U40" s="227" t="s">
        <v>66</v>
      </c>
      <c r="V40" s="397"/>
      <c r="W40" s="419">
        <v>0.01</v>
      </c>
      <c r="X40" s="32">
        <f t="shared" si="12"/>
        <v>0</v>
      </c>
      <c r="Y40" s="397"/>
      <c r="Z40" s="397"/>
      <c r="AA40" s="397"/>
      <c r="AB40" s="397"/>
      <c r="AC40" s="397"/>
      <c r="AD40" s="375"/>
      <c r="AE40" s="397"/>
      <c r="AF40" s="397"/>
      <c r="AG40" s="397"/>
      <c r="AH40" s="397"/>
      <c r="AI40" s="397"/>
    </row>
    <row r="41">
      <c r="A41" s="396" t="s">
        <v>3225</v>
      </c>
      <c r="B41" s="397"/>
      <c r="C41" s="397"/>
      <c r="D41" s="397"/>
      <c r="E41" s="397"/>
      <c r="F41" s="397"/>
      <c r="G41" s="396" t="s">
        <v>255</v>
      </c>
      <c r="H41" s="397"/>
      <c r="I41" s="397"/>
      <c r="J41" s="396" t="s">
        <v>3370</v>
      </c>
      <c r="K41" s="396" t="s">
        <v>3371</v>
      </c>
      <c r="L41" s="396"/>
      <c r="M41" s="396" t="s">
        <v>3372</v>
      </c>
      <c r="N41" s="396" t="s">
        <v>3373</v>
      </c>
      <c r="O41" s="420" t="s">
        <v>3374</v>
      </c>
      <c r="P41" s="397"/>
      <c r="Q41" s="397"/>
      <c r="R41" s="397"/>
      <c r="S41" s="375"/>
      <c r="T41" s="397"/>
      <c r="U41" s="397"/>
      <c r="V41" s="397"/>
      <c r="W41" s="397"/>
      <c r="X41" s="32">
        <f t="shared" si="12"/>
        <v>0</v>
      </c>
      <c r="Y41" s="397"/>
      <c r="Z41" s="397"/>
      <c r="AA41" s="397"/>
      <c r="AB41" s="397"/>
      <c r="AC41" s="397"/>
      <c r="AD41" s="375"/>
      <c r="AE41" s="397"/>
      <c r="AF41" s="397"/>
      <c r="AG41" s="397"/>
      <c r="AH41" s="397"/>
      <c r="AI41" s="397"/>
    </row>
    <row r="42">
      <c r="A42" s="396" t="s">
        <v>3225</v>
      </c>
      <c r="B42" s="397"/>
      <c r="C42" s="397"/>
      <c r="D42" s="397"/>
      <c r="E42" s="397"/>
      <c r="F42" s="397"/>
      <c r="G42" s="396" t="s">
        <v>255</v>
      </c>
      <c r="H42" s="397"/>
      <c r="I42" s="397"/>
      <c r="J42" s="396" t="s">
        <v>3375</v>
      </c>
      <c r="K42" s="396" t="s">
        <v>3376</v>
      </c>
      <c r="L42" s="396" t="s">
        <v>3377</v>
      </c>
      <c r="M42" s="396" t="s">
        <v>3378</v>
      </c>
      <c r="N42" s="396" t="s">
        <v>3379</v>
      </c>
      <c r="O42" s="420" t="s">
        <v>3374</v>
      </c>
      <c r="P42" s="397"/>
      <c r="Q42" s="397"/>
      <c r="R42" s="397"/>
      <c r="S42" s="375"/>
      <c r="T42" s="397"/>
      <c r="U42" s="397"/>
      <c r="V42" s="397"/>
      <c r="W42" s="397"/>
      <c r="X42" s="32">
        <f t="shared" si="12"/>
        <v>0</v>
      </c>
      <c r="Y42" s="397"/>
      <c r="Z42" s="397"/>
      <c r="AA42" s="397"/>
      <c r="AB42" s="397"/>
      <c r="AC42" s="397"/>
      <c r="AD42" s="375"/>
      <c r="AE42" s="397"/>
      <c r="AF42" s="397"/>
      <c r="AG42" s="397"/>
      <c r="AH42" s="397"/>
      <c r="AI42" s="397"/>
    </row>
    <row r="43">
      <c r="A43" s="407" t="s">
        <v>3225</v>
      </c>
      <c r="B43" s="407" t="s">
        <v>84</v>
      </c>
      <c r="C43" s="407" t="s">
        <v>1782</v>
      </c>
      <c r="D43" s="407" t="s">
        <v>100</v>
      </c>
      <c r="E43" s="407">
        <v>92394.0</v>
      </c>
      <c r="F43" s="407" t="s">
        <v>3273</v>
      </c>
      <c r="G43" s="407" t="s">
        <v>3285</v>
      </c>
      <c r="H43" s="408"/>
      <c r="I43" s="408"/>
      <c r="J43" s="407" t="s">
        <v>3380</v>
      </c>
      <c r="K43" s="408"/>
      <c r="L43" s="408"/>
      <c r="M43" s="407" t="s">
        <v>110</v>
      </c>
      <c r="N43" s="408"/>
      <c r="O43" s="407" t="s">
        <v>3381</v>
      </c>
      <c r="P43" s="408"/>
      <c r="Q43" s="408"/>
      <c r="R43" s="408"/>
      <c r="S43" s="409"/>
      <c r="T43" s="408"/>
      <c r="U43" s="408"/>
      <c r="V43" s="428">
        <v>417800.0</v>
      </c>
      <c r="W43" s="429">
        <v>0.01</v>
      </c>
      <c r="X43" s="414">
        <f t="shared" si="12"/>
        <v>4178</v>
      </c>
      <c r="Y43" s="415">
        <f>X43</f>
        <v>4178</v>
      </c>
      <c r="Z43" s="411" t="s">
        <v>47</v>
      </c>
      <c r="AA43" s="416">
        <f>Y43</f>
        <v>4178</v>
      </c>
      <c r="AB43" s="414">
        <f>if(Z43="Buyer",(AA43)*50%,if(Z43="Seller",(AA43)*60%,if(Z43="Buyer_SOI",(AA43)*30%, if(Z43="Seller_SOI",(AA43*40%)))))</f>
        <v>2089</v>
      </c>
      <c r="AC43" s="414">
        <f>sum(AA43-AB43)</f>
        <v>2089</v>
      </c>
      <c r="AD43" s="409"/>
      <c r="AE43" s="408"/>
      <c r="AF43" s="408"/>
      <c r="AG43" s="408"/>
      <c r="AH43" s="408"/>
      <c r="AI43" s="408"/>
    </row>
    <row r="44">
      <c r="A44" s="396" t="s">
        <v>3225</v>
      </c>
      <c r="B44" s="396" t="s">
        <v>47</v>
      </c>
      <c r="C44" s="396" t="s">
        <v>3382</v>
      </c>
      <c r="D44" s="397"/>
      <c r="E44" s="397"/>
      <c r="F44" s="397"/>
      <c r="G44" s="396" t="s">
        <v>102</v>
      </c>
      <c r="H44" s="397"/>
      <c r="I44" s="397"/>
      <c r="J44" s="396" t="s">
        <v>104</v>
      </c>
      <c r="K44" s="397"/>
      <c r="L44" s="397"/>
      <c r="M44" s="396" t="s">
        <v>1477</v>
      </c>
      <c r="N44" s="396" t="s">
        <v>3335</v>
      </c>
      <c r="O44" s="396" t="s">
        <v>570</v>
      </c>
      <c r="P44" s="397"/>
      <c r="Q44" s="397"/>
      <c r="R44" s="397"/>
      <c r="S44" s="375"/>
      <c r="T44" s="397"/>
      <c r="U44" s="397"/>
      <c r="V44" s="397"/>
      <c r="W44" s="397"/>
      <c r="X44" s="397"/>
      <c r="Y44" s="397"/>
      <c r="Z44" s="397"/>
      <c r="AA44" s="397"/>
      <c r="AB44" s="397"/>
      <c r="AC44" s="397"/>
      <c r="AD44" s="375"/>
      <c r="AE44" s="397"/>
      <c r="AF44" s="397"/>
      <c r="AG44" s="397"/>
      <c r="AH44" s="397"/>
      <c r="AI44" s="397"/>
    </row>
    <row r="45">
      <c r="A45" s="396" t="s">
        <v>3225</v>
      </c>
      <c r="B45" s="397"/>
      <c r="C45" s="397"/>
      <c r="D45" s="397"/>
      <c r="E45" s="397"/>
      <c r="F45" s="397"/>
      <c r="G45" s="396" t="s">
        <v>1118</v>
      </c>
      <c r="H45" s="397"/>
      <c r="I45" s="397"/>
      <c r="J45" s="396" t="s">
        <v>3383</v>
      </c>
      <c r="K45" s="396" t="s">
        <v>3384</v>
      </c>
      <c r="L45" s="396" t="s">
        <v>3385</v>
      </c>
      <c r="M45" s="396" t="s">
        <v>3386</v>
      </c>
      <c r="N45" s="396" t="s">
        <v>3387</v>
      </c>
      <c r="O45" s="396" t="s">
        <v>570</v>
      </c>
      <c r="P45" s="397"/>
      <c r="Q45" s="397"/>
      <c r="R45" s="397"/>
      <c r="S45" s="375"/>
      <c r="T45" s="397"/>
      <c r="U45" s="397"/>
      <c r="V45" s="397"/>
      <c r="W45" s="397"/>
      <c r="X45" s="397"/>
      <c r="Y45" s="397"/>
      <c r="Z45" s="397"/>
      <c r="AA45" s="397"/>
      <c r="AB45" s="397"/>
      <c r="AC45" s="397"/>
      <c r="AD45" s="375"/>
      <c r="AE45" s="397"/>
      <c r="AF45" s="397"/>
      <c r="AG45" s="397"/>
      <c r="AH45" s="397"/>
      <c r="AI45" s="397"/>
    </row>
    <row r="46">
      <c r="A46" s="396" t="s">
        <v>3225</v>
      </c>
      <c r="B46" s="397"/>
      <c r="C46" s="397"/>
      <c r="D46" s="397"/>
      <c r="E46" s="397"/>
      <c r="F46" s="397"/>
      <c r="G46" s="396" t="s">
        <v>3388</v>
      </c>
      <c r="H46" s="397"/>
      <c r="I46" s="397"/>
      <c r="J46" s="396" t="s">
        <v>3389</v>
      </c>
      <c r="K46" s="396" t="s">
        <v>3390</v>
      </c>
      <c r="L46" s="397"/>
      <c r="M46" s="396" t="s">
        <v>3391</v>
      </c>
      <c r="N46" s="396" t="s">
        <v>3392</v>
      </c>
      <c r="O46" s="397"/>
      <c r="P46" s="397"/>
      <c r="Q46" s="397"/>
      <c r="R46" s="397"/>
      <c r="S46" s="375"/>
      <c r="T46" s="397"/>
      <c r="U46" s="397"/>
      <c r="V46" s="397"/>
      <c r="W46" s="419">
        <v>0.35</v>
      </c>
      <c r="X46" s="397"/>
      <c r="Y46" s="397"/>
      <c r="Z46" s="397"/>
      <c r="AA46" s="397"/>
      <c r="AB46" s="397"/>
      <c r="AC46" s="397"/>
      <c r="AD46" s="375"/>
      <c r="AE46" s="397"/>
      <c r="AF46" s="397"/>
      <c r="AG46" s="397"/>
      <c r="AH46" s="397"/>
      <c r="AI46" s="397"/>
    </row>
    <row r="47">
      <c r="A47" s="397"/>
      <c r="B47" s="397"/>
      <c r="C47" s="397"/>
      <c r="D47" s="397"/>
      <c r="E47" s="397"/>
      <c r="F47" s="397"/>
      <c r="G47" s="396" t="s">
        <v>226</v>
      </c>
      <c r="H47" s="397"/>
      <c r="I47" s="397"/>
      <c r="J47" s="396" t="s">
        <v>3357</v>
      </c>
      <c r="K47" s="397"/>
      <c r="L47" s="397"/>
      <c r="M47" s="66" t="s">
        <v>3393</v>
      </c>
      <c r="N47" s="396" t="s">
        <v>3358</v>
      </c>
      <c r="O47" s="397"/>
      <c r="P47" s="397"/>
      <c r="Q47" s="397"/>
      <c r="R47" s="397"/>
      <c r="S47" s="375"/>
      <c r="T47" s="397"/>
      <c r="U47" s="397"/>
      <c r="V47" s="397"/>
      <c r="W47" s="397"/>
      <c r="X47" s="397"/>
      <c r="Y47" s="397"/>
      <c r="Z47" s="397"/>
      <c r="AA47" s="397"/>
      <c r="AB47" s="397"/>
      <c r="AC47" s="397"/>
      <c r="AD47" s="375"/>
      <c r="AE47" s="397"/>
      <c r="AF47" s="397"/>
      <c r="AG47" s="397"/>
      <c r="AH47" s="397"/>
      <c r="AI47" s="397"/>
    </row>
    <row r="48">
      <c r="A48" s="397"/>
      <c r="B48" s="397"/>
      <c r="C48" s="397"/>
      <c r="D48" s="397"/>
      <c r="E48" s="397"/>
      <c r="F48" s="397"/>
      <c r="G48" s="397"/>
      <c r="H48" s="397"/>
      <c r="I48" s="397"/>
      <c r="J48" s="397"/>
      <c r="K48" s="397"/>
      <c r="L48" s="397"/>
      <c r="M48" s="397"/>
      <c r="N48" s="397"/>
      <c r="O48" s="397"/>
      <c r="P48" s="397"/>
      <c r="Q48" s="397"/>
      <c r="R48" s="397"/>
      <c r="S48" s="375"/>
      <c r="T48" s="397"/>
      <c r="U48" s="397"/>
      <c r="V48" s="397"/>
      <c r="W48" s="397"/>
      <c r="X48" s="397"/>
      <c r="Y48" s="397"/>
      <c r="Z48" s="397"/>
      <c r="AA48" s="397"/>
      <c r="AB48" s="397"/>
      <c r="AC48" s="397"/>
      <c r="AD48" s="375"/>
      <c r="AE48" s="397"/>
      <c r="AF48" s="397"/>
      <c r="AG48" s="397"/>
      <c r="AH48" s="397"/>
      <c r="AI48" s="397"/>
    </row>
    <row r="49">
      <c r="A49" s="397"/>
      <c r="B49" s="397"/>
      <c r="C49" s="397"/>
      <c r="D49" s="397"/>
      <c r="E49" s="397"/>
      <c r="F49" s="397"/>
      <c r="G49" s="397"/>
      <c r="H49" s="397"/>
      <c r="I49" s="397"/>
      <c r="J49" s="397"/>
      <c r="K49" s="397"/>
      <c r="L49" s="397"/>
      <c r="M49" s="397"/>
      <c r="N49" s="397"/>
      <c r="O49" s="397"/>
      <c r="P49" s="397"/>
      <c r="Q49" s="397"/>
      <c r="R49" s="397"/>
      <c r="S49" s="375"/>
      <c r="T49" s="397"/>
      <c r="U49" s="397"/>
      <c r="V49" s="397"/>
      <c r="W49" s="397"/>
      <c r="X49" s="397"/>
      <c r="Y49" s="397"/>
      <c r="Z49" s="397"/>
      <c r="AA49" s="397"/>
      <c r="AB49" s="397"/>
      <c r="AC49" s="397"/>
      <c r="AD49" s="375"/>
      <c r="AE49" s="397"/>
      <c r="AF49" s="397"/>
      <c r="AG49" s="397"/>
      <c r="AH49" s="397"/>
      <c r="AI49" s="397"/>
    </row>
    <row r="50">
      <c r="A50" s="397"/>
      <c r="B50" s="397"/>
      <c r="C50" s="397"/>
      <c r="D50" s="397"/>
      <c r="E50" s="397"/>
      <c r="F50" s="397"/>
      <c r="G50" s="397"/>
      <c r="H50" s="397"/>
      <c r="I50" s="397"/>
      <c r="J50" s="397"/>
      <c r="K50" s="397"/>
      <c r="L50" s="397"/>
      <c r="M50" s="397"/>
      <c r="N50" s="397"/>
      <c r="O50" s="397"/>
      <c r="P50" s="397"/>
      <c r="Q50" s="397"/>
      <c r="R50" s="397"/>
      <c r="S50" s="375"/>
      <c r="T50" s="397"/>
      <c r="U50" s="397"/>
      <c r="V50" s="397"/>
      <c r="W50" s="397"/>
      <c r="X50" s="397"/>
      <c r="Y50" s="397"/>
      <c r="Z50" s="397"/>
      <c r="AA50" s="397"/>
      <c r="AB50" s="397"/>
      <c r="AC50" s="397"/>
      <c r="AD50" s="375"/>
      <c r="AE50" s="397"/>
      <c r="AF50" s="397"/>
      <c r="AG50" s="397"/>
      <c r="AH50" s="397"/>
      <c r="AI50" s="397"/>
    </row>
    <row r="51">
      <c r="A51" s="397"/>
      <c r="B51" s="397"/>
      <c r="C51" s="397"/>
      <c r="D51" s="397"/>
      <c r="E51" s="397"/>
      <c r="F51" s="397"/>
      <c r="G51" s="397"/>
      <c r="H51" s="397"/>
      <c r="I51" s="397"/>
      <c r="J51" s="397"/>
      <c r="K51" s="397"/>
      <c r="L51" s="397"/>
      <c r="M51" s="397"/>
      <c r="N51" s="397"/>
      <c r="O51" s="397"/>
      <c r="P51" s="397"/>
      <c r="Q51" s="397"/>
      <c r="R51" s="397"/>
      <c r="S51" s="375"/>
      <c r="T51" s="397"/>
      <c r="U51" s="397"/>
      <c r="V51" s="397"/>
      <c r="W51" s="397"/>
      <c r="X51" s="397"/>
      <c r="Y51" s="397"/>
      <c r="Z51" s="397"/>
      <c r="AA51" s="397"/>
      <c r="AB51" s="397"/>
      <c r="AC51" s="397"/>
      <c r="AD51" s="375"/>
      <c r="AE51" s="397"/>
      <c r="AF51" s="397"/>
      <c r="AG51" s="397"/>
      <c r="AH51" s="397"/>
      <c r="AI51" s="397"/>
    </row>
    <row r="52">
      <c r="A52" s="397"/>
      <c r="B52" s="397"/>
      <c r="C52" s="397"/>
      <c r="D52" s="397"/>
      <c r="E52" s="397"/>
      <c r="F52" s="397"/>
      <c r="G52" s="397"/>
      <c r="H52" s="397"/>
      <c r="I52" s="397"/>
      <c r="J52" s="397"/>
      <c r="K52" s="397"/>
      <c r="L52" s="397"/>
      <c r="M52" s="397"/>
      <c r="N52" s="397"/>
      <c r="O52" s="397"/>
      <c r="P52" s="397"/>
      <c r="Q52" s="397"/>
      <c r="R52" s="397"/>
      <c r="S52" s="397"/>
      <c r="T52" s="397"/>
      <c r="U52" s="397"/>
      <c r="V52" s="397"/>
      <c r="W52" s="397"/>
      <c r="X52" s="397"/>
      <c r="Y52" s="397"/>
      <c r="Z52" s="397"/>
      <c r="AA52" s="397"/>
      <c r="AB52" s="397"/>
      <c r="AC52" s="397"/>
      <c r="AD52" s="397"/>
      <c r="AE52" s="397"/>
      <c r="AF52" s="397"/>
      <c r="AG52" s="397"/>
      <c r="AH52" s="397"/>
      <c r="AI52" s="397"/>
    </row>
    <row r="53">
      <c r="A53" s="397"/>
      <c r="B53" s="397"/>
      <c r="C53" s="397"/>
      <c r="D53" s="397"/>
      <c r="E53" s="397"/>
      <c r="F53" s="397"/>
      <c r="G53" s="397"/>
      <c r="H53" s="397"/>
      <c r="I53" s="397"/>
      <c r="J53" s="397"/>
      <c r="K53" s="397"/>
      <c r="L53" s="397"/>
      <c r="M53" s="397"/>
      <c r="N53" s="397"/>
      <c r="O53" s="397"/>
      <c r="P53" s="397"/>
      <c r="Q53" s="397"/>
      <c r="R53" s="397"/>
      <c r="S53" s="397"/>
      <c r="T53" s="397"/>
      <c r="U53" s="397"/>
      <c r="V53" s="397"/>
      <c r="W53" s="397"/>
      <c r="X53" s="397"/>
      <c r="Y53" s="397"/>
      <c r="Z53" s="397"/>
      <c r="AA53" s="397"/>
      <c r="AB53" s="397"/>
      <c r="AC53" s="397"/>
      <c r="AD53" s="397"/>
      <c r="AE53" s="397"/>
      <c r="AF53" s="397"/>
      <c r="AG53" s="397"/>
      <c r="AH53" s="397"/>
      <c r="AI53" s="397"/>
    </row>
    <row r="54">
      <c r="A54" s="397"/>
      <c r="B54" s="397"/>
      <c r="C54" s="397"/>
      <c r="D54" s="397"/>
      <c r="E54" s="397"/>
      <c r="F54" s="397"/>
      <c r="G54" s="397"/>
      <c r="H54" s="397"/>
      <c r="I54" s="397"/>
      <c r="J54" s="397"/>
      <c r="K54" s="397"/>
      <c r="L54" s="397"/>
      <c r="M54" s="397"/>
      <c r="N54" s="397"/>
      <c r="O54" s="397"/>
      <c r="P54" s="397"/>
      <c r="Q54" s="397"/>
      <c r="R54" s="397"/>
      <c r="S54" s="397"/>
      <c r="T54" s="397"/>
      <c r="U54" s="397"/>
      <c r="V54" s="397"/>
      <c r="W54" s="397"/>
      <c r="X54" s="397"/>
      <c r="Y54" s="397"/>
      <c r="Z54" s="397"/>
      <c r="AA54" s="397"/>
      <c r="AB54" s="397"/>
      <c r="AC54" s="397"/>
      <c r="AD54" s="397"/>
      <c r="AE54" s="397"/>
      <c r="AF54" s="397"/>
      <c r="AG54" s="397"/>
      <c r="AH54" s="397"/>
      <c r="AI54" s="397"/>
    </row>
    <row r="55">
      <c r="A55" s="397"/>
      <c r="B55" s="397"/>
      <c r="C55" s="397"/>
      <c r="D55" s="397"/>
      <c r="E55" s="397"/>
      <c r="F55" s="397"/>
      <c r="G55" s="397"/>
      <c r="H55" s="397"/>
      <c r="I55" s="397"/>
      <c r="J55" s="397"/>
      <c r="K55" s="397"/>
      <c r="L55" s="397"/>
      <c r="M55" s="397"/>
      <c r="N55" s="397"/>
      <c r="O55" s="397"/>
      <c r="P55" s="397"/>
      <c r="Q55" s="397"/>
      <c r="R55" s="397"/>
      <c r="S55" s="397"/>
      <c r="T55" s="397"/>
      <c r="U55" s="397"/>
      <c r="V55" s="397"/>
      <c r="W55" s="397"/>
      <c r="X55" s="397"/>
      <c r="Y55" s="397"/>
      <c r="Z55" s="397"/>
      <c r="AA55" s="397"/>
      <c r="AB55" s="397"/>
      <c r="AC55" s="397"/>
      <c r="AD55" s="397"/>
      <c r="AE55" s="397"/>
      <c r="AF55" s="397"/>
      <c r="AG55" s="397"/>
      <c r="AH55" s="397"/>
      <c r="AI55" s="397"/>
    </row>
    <row r="56">
      <c r="A56" s="397"/>
      <c r="B56" s="397"/>
      <c r="C56" s="397"/>
      <c r="D56" s="397"/>
      <c r="E56" s="397"/>
      <c r="F56" s="397"/>
      <c r="G56" s="397"/>
      <c r="H56" s="397"/>
      <c r="I56" s="397"/>
      <c r="J56" s="397"/>
      <c r="K56" s="397"/>
      <c r="L56" s="397"/>
      <c r="M56" s="397"/>
      <c r="N56" s="397"/>
      <c r="O56" s="397"/>
      <c r="P56" s="397"/>
      <c r="Q56" s="397"/>
      <c r="R56" s="397"/>
      <c r="S56" s="397"/>
      <c r="T56" s="397"/>
      <c r="U56" s="397"/>
      <c r="V56" s="397"/>
      <c r="W56" s="397"/>
      <c r="X56" s="397"/>
      <c r="Y56" s="397"/>
      <c r="Z56" s="397"/>
      <c r="AA56" s="397"/>
      <c r="AB56" s="397"/>
      <c r="AC56" s="397"/>
      <c r="AD56" s="397"/>
      <c r="AE56" s="397"/>
      <c r="AF56" s="397"/>
      <c r="AG56" s="397"/>
      <c r="AH56" s="397"/>
      <c r="AI56" s="397"/>
    </row>
    <row r="57">
      <c r="A57" s="397"/>
      <c r="B57" s="397"/>
      <c r="C57" s="397"/>
      <c r="D57" s="397"/>
      <c r="E57" s="397"/>
      <c r="F57" s="397"/>
      <c r="G57" s="397"/>
      <c r="H57" s="397"/>
      <c r="I57" s="397"/>
      <c r="J57" s="397"/>
      <c r="K57" s="397"/>
      <c r="L57" s="397"/>
      <c r="M57" s="397"/>
      <c r="N57" s="397"/>
      <c r="O57" s="397"/>
      <c r="P57" s="397"/>
      <c r="Q57" s="397"/>
      <c r="R57" s="397"/>
      <c r="S57" s="397"/>
      <c r="T57" s="397"/>
      <c r="U57" s="397"/>
      <c r="V57" s="397"/>
      <c r="W57" s="397"/>
      <c r="X57" s="397"/>
      <c r="Y57" s="397"/>
      <c r="Z57" s="397"/>
      <c r="AA57" s="397"/>
      <c r="AB57" s="397"/>
      <c r="AC57" s="397"/>
      <c r="AD57" s="397"/>
      <c r="AE57" s="397"/>
      <c r="AF57" s="397"/>
      <c r="AG57" s="397"/>
      <c r="AH57" s="397"/>
      <c r="AI57" s="397"/>
    </row>
    <row r="58">
      <c r="A58" s="397"/>
      <c r="B58" s="397"/>
      <c r="C58" s="397"/>
      <c r="D58" s="397"/>
      <c r="E58" s="397"/>
      <c r="F58" s="397"/>
      <c r="G58" s="397"/>
      <c r="H58" s="397"/>
      <c r="I58" s="397"/>
      <c r="J58" s="397"/>
      <c r="K58" s="397"/>
      <c r="L58" s="397"/>
      <c r="M58" s="397"/>
      <c r="N58" s="397"/>
      <c r="O58" s="397"/>
      <c r="P58" s="397"/>
      <c r="Q58" s="397"/>
      <c r="R58" s="397"/>
      <c r="S58" s="397"/>
      <c r="T58" s="397"/>
      <c r="U58" s="397"/>
      <c r="V58" s="397"/>
      <c r="W58" s="397"/>
      <c r="X58" s="397"/>
      <c r="Y58" s="397"/>
      <c r="Z58" s="397"/>
      <c r="AA58" s="397"/>
      <c r="AB58" s="397"/>
      <c r="AC58" s="397"/>
      <c r="AD58" s="397"/>
      <c r="AE58" s="397"/>
      <c r="AF58" s="397"/>
      <c r="AG58" s="397"/>
      <c r="AH58" s="397"/>
      <c r="AI58" s="397"/>
    </row>
    <row r="59">
      <c r="A59" s="397"/>
      <c r="B59" s="397"/>
      <c r="C59" s="397"/>
      <c r="D59" s="397"/>
      <c r="E59" s="397"/>
      <c r="F59" s="397"/>
      <c r="G59" s="397"/>
      <c r="H59" s="397"/>
      <c r="I59" s="397"/>
      <c r="J59" s="397"/>
      <c r="K59" s="397"/>
      <c r="L59" s="397"/>
      <c r="M59" s="397"/>
      <c r="N59" s="397"/>
      <c r="O59" s="397"/>
      <c r="P59" s="397"/>
      <c r="Q59" s="397"/>
      <c r="R59" s="397"/>
      <c r="S59" s="397"/>
      <c r="T59" s="397"/>
      <c r="U59" s="397"/>
      <c r="V59" s="397"/>
      <c r="W59" s="397"/>
      <c r="X59" s="397"/>
      <c r="Y59" s="397"/>
      <c r="Z59" s="397"/>
      <c r="AA59" s="397"/>
      <c r="AB59" s="397"/>
      <c r="AC59" s="397"/>
      <c r="AD59" s="397"/>
      <c r="AE59" s="397"/>
      <c r="AF59" s="397"/>
      <c r="AG59" s="397"/>
      <c r="AH59" s="397"/>
      <c r="AI59" s="397"/>
    </row>
    <row r="60">
      <c r="A60" s="397"/>
      <c r="B60" s="397"/>
      <c r="C60" s="397"/>
      <c r="D60" s="397"/>
      <c r="E60" s="397"/>
      <c r="F60" s="397"/>
      <c r="G60" s="397"/>
      <c r="H60" s="397"/>
      <c r="I60" s="397"/>
      <c r="J60" s="397"/>
      <c r="K60" s="397"/>
      <c r="L60" s="397"/>
      <c r="M60" s="397"/>
      <c r="N60" s="397"/>
      <c r="O60" s="397"/>
      <c r="P60" s="397"/>
      <c r="Q60" s="397"/>
      <c r="R60" s="397"/>
      <c r="S60" s="397"/>
      <c r="T60" s="397"/>
      <c r="U60" s="397"/>
      <c r="V60" s="397"/>
      <c r="W60" s="397"/>
      <c r="X60" s="397"/>
      <c r="Y60" s="397"/>
      <c r="Z60" s="397"/>
      <c r="AA60" s="397"/>
      <c r="AB60" s="397"/>
      <c r="AC60" s="397"/>
      <c r="AD60" s="397"/>
      <c r="AE60" s="397"/>
      <c r="AF60" s="397"/>
      <c r="AG60" s="397"/>
      <c r="AH60" s="397"/>
      <c r="AI60" s="397"/>
    </row>
    <row r="61">
      <c r="A61" s="397"/>
      <c r="B61" s="397"/>
      <c r="C61" s="397"/>
      <c r="D61" s="397"/>
      <c r="E61" s="397"/>
      <c r="F61" s="397"/>
      <c r="G61" s="397"/>
      <c r="H61" s="397"/>
      <c r="I61" s="397"/>
      <c r="J61" s="397"/>
      <c r="K61" s="397"/>
      <c r="L61" s="397"/>
      <c r="M61" s="397"/>
      <c r="N61" s="397"/>
      <c r="O61" s="397"/>
      <c r="P61" s="397"/>
      <c r="Q61" s="397"/>
      <c r="R61" s="397"/>
      <c r="S61" s="397"/>
      <c r="T61" s="397"/>
      <c r="U61" s="397"/>
      <c r="V61" s="397"/>
      <c r="W61" s="397"/>
      <c r="X61" s="397"/>
      <c r="Y61" s="397"/>
      <c r="Z61" s="397"/>
      <c r="AA61" s="397"/>
      <c r="AB61" s="397"/>
      <c r="AC61" s="397"/>
      <c r="AD61" s="397"/>
      <c r="AE61" s="397"/>
      <c r="AF61" s="397"/>
      <c r="AG61" s="397"/>
      <c r="AH61" s="397"/>
      <c r="AI61" s="397"/>
    </row>
    <row r="62">
      <c r="A62" s="397"/>
      <c r="B62" s="397"/>
      <c r="C62" s="397"/>
      <c r="D62" s="397"/>
      <c r="E62" s="397"/>
      <c r="F62" s="397"/>
      <c r="G62" s="397"/>
      <c r="H62" s="397"/>
      <c r="I62" s="397"/>
      <c r="J62" s="397"/>
      <c r="K62" s="397"/>
      <c r="L62" s="397"/>
      <c r="M62" s="397"/>
      <c r="N62" s="397"/>
      <c r="O62" s="397"/>
      <c r="P62" s="397"/>
      <c r="Q62" s="397"/>
      <c r="R62" s="397"/>
      <c r="S62" s="397"/>
      <c r="T62" s="397"/>
      <c r="U62" s="397"/>
      <c r="V62" s="397"/>
      <c r="W62" s="397"/>
      <c r="X62" s="397"/>
      <c r="Y62" s="397"/>
      <c r="Z62" s="397"/>
      <c r="AA62" s="397"/>
      <c r="AB62" s="397"/>
      <c r="AC62" s="397"/>
      <c r="AD62" s="397"/>
      <c r="AE62" s="397"/>
      <c r="AF62" s="397"/>
      <c r="AG62" s="397"/>
      <c r="AH62" s="397"/>
      <c r="AI62" s="397"/>
    </row>
    <row r="63">
      <c r="A63" s="397"/>
      <c r="B63" s="397"/>
      <c r="C63" s="397"/>
      <c r="D63" s="397"/>
      <c r="E63" s="397"/>
      <c r="F63" s="397"/>
      <c r="G63" s="397"/>
      <c r="H63" s="397"/>
      <c r="I63" s="397"/>
      <c r="J63" s="397"/>
      <c r="K63" s="397"/>
      <c r="L63" s="397"/>
      <c r="M63" s="397"/>
      <c r="N63" s="397"/>
      <c r="O63" s="397"/>
      <c r="P63" s="397"/>
      <c r="Q63" s="397"/>
      <c r="R63" s="397"/>
      <c r="S63" s="397"/>
      <c r="T63" s="397"/>
      <c r="U63" s="397"/>
      <c r="V63" s="397"/>
      <c r="W63" s="397"/>
      <c r="X63" s="397"/>
      <c r="Y63" s="397"/>
      <c r="Z63" s="397"/>
      <c r="AA63" s="397"/>
      <c r="AB63" s="397"/>
      <c r="AC63" s="397"/>
      <c r="AD63" s="397"/>
      <c r="AE63" s="397"/>
      <c r="AF63" s="397"/>
      <c r="AG63" s="397"/>
      <c r="AH63" s="397"/>
      <c r="AI63" s="397"/>
    </row>
    <row r="64">
      <c r="A64" s="397"/>
      <c r="B64" s="397"/>
      <c r="C64" s="397"/>
      <c r="D64" s="397"/>
      <c r="E64" s="397"/>
      <c r="F64" s="397"/>
      <c r="G64" s="397"/>
      <c r="H64" s="397"/>
      <c r="I64" s="397"/>
      <c r="J64" s="397"/>
      <c r="K64" s="397"/>
      <c r="L64" s="397"/>
      <c r="M64" s="397"/>
      <c r="N64" s="397"/>
      <c r="O64" s="397"/>
      <c r="P64" s="397"/>
      <c r="Q64" s="397"/>
      <c r="R64" s="397"/>
      <c r="S64" s="397"/>
      <c r="T64" s="397"/>
      <c r="U64" s="397"/>
      <c r="V64" s="397"/>
      <c r="W64" s="397"/>
      <c r="X64" s="397"/>
      <c r="Y64" s="397"/>
      <c r="Z64" s="397"/>
      <c r="AA64" s="397"/>
      <c r="AB64" s="397"/>
      <c r="AC64" s="397"/>
      <c r="AD64" s="397"/>
      <c r="AE64" s="397"/>
      <c r="AF64" s="397"/>
      <c r="AG64" s="397"/>
      <c r="AH64" s="397"/>
      <c r="AI64" s="397"/>
    </row>
    <row r="65">
      <c r="A65" s="397"/>
      <c r="B65" s="397"/>
      <c r="C65" s="397"/>
      <c r="D65" s="397"/>
      <c r="E65" s="397"/>
      <c r="F65" s="397"/>
      <c r="G65" s="397"/>
      <c r="H65" s="397"/>
      <c r="I65" s="397"/>
      <c r="J65" s="397"/>
      <c r="K65" s="397"/>
      <c r="L65" s="397"/>
      <c r="M65" s="397"/>
      <c r="N65" s="397"/>
      <c r="O65" s="397"/>
      <c r="P65" s="397"/>
      <c r="Q65" s="397"/>
      <c r="R65" s="397"/>
      <c r="S65" s="397"/>
      <c r="T65" s="397"/>
      <c r="U65" s="397"/>
      <c r="V65" s="397"/>
      <c r="W65" s="397"/>
      <c r="X65" s="397"/>
      <c r="Y65" s="397"/>
      <c r="Z65" s="397"/>
      <c r="AA65" s="397"/>
      <c r="AB65" s="397"/>
      <c r="AC65" s="397"/>
      <c r="AD65" s="397"/>
      <c r="AE65" s="397"/>
      <c r="AF65" s="397"/>
      <c r="AG65" s="397"/>
      <c r="AH65" s="397"/>
      <c r="AI65" s="397"/>
    </row>
    <row r="66">
      <c r="A66" s="397"/>
      <c r="B66" s="397"/>
      <c r="C66" s="397"/>
      <c r="D66" s="397"/>
      <c r="E66" s="397"/>
      <c r="F66" s="397"/>
      <c r="G66" s="397"/>
      <c r="H66" s="397"/>
      <c r="I66" s="397"/>
      <c r="J66" s="397"/>
      <c r="K66" s="397"/>
      <c r="L66" s="397"/>
      <c r="M66" s="397"/>
      <c r="N66" s="397"/>
      <c r="O66" s="397"/>
      <c r="P66" s="397"/>
      <c r="Q66" s="397"/>
      <c r="R66" s="397"/>
      <c r="S66" s="397"/>
      <c r="T66" s="397"/>
      <c r="U66" s="397"/>
      <c r="V66" s="397"/>
      <c r="W66" s="397"/>
      <c r="X66" s="397"/>
      <c r="Y66" s="397"/>
      <c r="Z66" s="397"/>
      <c r="AA66" s="397"/>
      <c r="AB66" s="397"/>
      <c r="AC66" s="397"/>
      <c r="AD66" s="397"/>
      <c r="AE66" s="397"/>
      <c r="AF66" s="397"/>
      <c r="AG66" s="397"/>
      <c r="AH66" s="397"/>
      <c r="AI66" s="397"/>
    </row>
    <row r="67">
      <c r="A67" s="397"/>
      <c r="B67" s="397"/>
      <c r="C67" s="397"/>
      <c r="D67" s="397"/>
      <c r="E67" s="397"/>
      <c r="F67" s="397"/>
      <c r="G67" s="397"/>
      <c r="H67" s="397"/>
      <c r="I67" s="397"/>
      <c r="J67" s="397"/>
      <c r="K67" s="397"/>
      <c r="L67" s="397"/>
      <c r="M67" s="397"/>
      <c r="N67" s="397"/>
      <c r="O67" s="397"/>
      <c r="P67" s="397"/>
      <c r="Q67" s="397"/>
      <c r="R67" s="397"/>
      <c r="S67" s="397"/>
      <c r="T67" s="397"/>
      <c r="U67" s="397"/>
      <c r="V67" s="397"/>
      <c r="W67" s="397"/>
      <c r="X67" s="397"/>
      <c r="Y67" s="397"/>
      <c r="Z67" s="397"/>
      <c r="AA67" s="397"/>
      <c r="AB67" s="397"/>
      <c r="AC67" s="397"/>
      <c r="AD67" s="397"/>
      <c r="AE67" s="397"/>
      <c r="AF67" s="397"/>
      <c r="AG67" s="397"/>
      <c r="AH67" s="397"/>
      <c r="AI67" s="397"/>
    </row>
    <row r="68">
      <c r="A68" s="397"/>
      <c r="B68" s="397"/>
      <c r="C68" s="397"/>
      <c r="D68" s="397"/>
      <c r="E68" s="397"/>
      <c r="F68" s="397"/>
      <c r="G68" s="397"/>
      <c r="H68" s="397"/>
      <c r="I68" s="397"/>
      <c r="J68" s="397"/>
      <c r="K68" s="397"/>
      <c r="L68" s="397"/>
      <c r="M68" s="397"/>
      <c r="N68" s="397"/>
      <c r="O68" s="397"/>
      <c r="P68" s="397"/>
      <c r="Q68" s="397"/>
      <c r="R68" s="397"/>
      <c r="S68" s="397"/>
      <c r="T68" s="397"/>
      <c r="U68" s="397"/>
      <c r="V68" s="397"/>
      <c r="W68" s="397"/>
      <c r="X68" s="397"/>
      <c r="Y68" s="397"/>
      <c r="Z68" s="397"/>
      <c r="AA68" s="397"/>
      <c r="AB68" s="397"/>
      <c r="AC68" s="397"/>
      <c r="AD68" s="397"/>
      <c r="AE68" s="397"/>
      <c r="AF68" s="397"/>
      <c r="AG68" s="397"/>
      <c r="AH68" s="397"/>
      <c r="AI68" s="397"/>
    </row>
    <row r="69">
      <c r="A69" s="397"/>
      <c r="B69" s="397"/>
      <c r="C69" s="397"/>
      <c r="D69" s="397"/>
      <c r="E69" s="397"/>
      <c r="F69" s="397"/>
      <c r="G69" s="397"/>
      <c r="H69" s="397"/>
      <c r="I69" s="397"/>
      <c r="J69" s="397"/>
      <c r="K69" s="397"/>
      <c r="L69" s="397"/>
      <c r="M69" s="397"/>
      <c r="N69" s="397"/>
      <c r="O69" s="397"/>
      <c r="P69" s="397"/>
      <c r="Q69" s="397"/>
      <c r="R69" s="397"/>
      <c r="S69" s="397"/>
      <c r="T69" s="397"/>
      <c r="U69" s="397"/>
      <c r="V69" s="397"/>
      <c r="W69" s="397"/>
      <c r="X69" s="397"/>
      <c r="Y69" s="397"/>
      <c r="Z69" s="397"/>
      <c r="AA69" s="397"/>
      <c r="AB69" s="397"/>
      <c r="AC69" s="397"/>
      <c r="AD69" s="397"/>
      <c r="AE69" s="397"/>
      <c r="AF69" s="397"/>
      <c r="AG69" s="397"/>
      <c r="AH69" s="397"/>
      <c r="AI69" s="397"/>
    </row>
    <row r="70">
      <c r="A70" s="397"/>
      <c r="B70" s="397"/>
      <c r="C70" s="397"/>
      <c r="D70" s="397"/>
      <c r="E70" s="397"/>
      <c r="F70" s="397"/>
      <c r="G70" s="397"/>
      <c r="H70" s="397"/>
      <c r="I70" s="397"/>
      <c r="J70" s="397"/>
      <c r="K70" s="397"/>
      <c r="L70" s="397"/>
      <c r="M70" s="397"/>
      <c r="N70" s="397"/>
      <c r="O70" s="397"/>
      <c r="P70" s="397"/>
      <c r="Q70" s="397"/>
      <c r="R70" s="397"/>
      <c r="S70" s="397"/>
      <c r="T70" s="397"/>
      <c r="U70" s="397"/>
      <c r="V70" s="397"/>
      <c r="W70" s="397"/>
      <c r="X70" s="397"/>
      <c r="Y70" s="397"/>
      <c r="Z70" s="397"/>
      <c r="AA70" s="397"/>
      <c r="AB70" s="397"/>
      <c r="AC70" s="397"/>
      <c r="AD70" s="397"/>
      <c r="AE70" s="397"/>
      <c r="AF70" s="397"/>
      <c r="AG70" s="397"/>
      <c r="AH70" s="397"/>
      <c r="AI70" s="397"/>
    </row>
    <row r="71">
      <c r="A71" s="397"/>
      <c r="B71" s="397"/>
      <c r="C71" s="397"/>
      <c r="D71" s="397"/>
      <c r="E71" s="397"/>
      <c r="F71" s="397"/>
      <c r="G71" s="397"/>
      <c r="H71" s="397"/>
      <c r="I71" s="397"/>
      <c r="J71" s="397"/>
      <c r="K71" s="397"/>
      <c r="L71" s="397"/>
      <c r="M71" s="397"/>
      <c r="N71" s="397"/>
      <c r="O71" s="397"/>
      <c r="P71" s="397"/>
      <c r="Q71" s="397"/>
      <c r="R71" s="397"/>
      <c r="S71" s="397"/>
      <c r="T71" s="397"/>
      <c r="U71" s="397"/>
      <c r="V71" s="397"/>
      <c r="W71" s="397"/>
      <c r="X71" s="397"/>
      <c r="Y71" s="397"/>
      <c r="Z71" s="397"/>
      <c r="AA71" s="397"/>
      <c r="AB71" s="397"/>
      <c r="AC71" s="397"/>
      <c r="AD71" s="397"/>
      <c r="AE71" s="397"/>
      <c r="AF71" s="397"/>
      <c r="AG71" s="397"/>
      <c r="AH71" s="397"/>
      <c r="AI71" s="397"/>
    </row>
    <row r="72">
      <c r="A72" s="397"/>
      <c r="B72" s="397"/>
      <c r="C72" s="397"/>
      <c r="D72" s="397"/>
      <c r="E72" s="397"/>
      <c r="F72" s="397"/>
      <c r="G72" s="397"/>
      <c r="H72" s="397"/>
      <c r="I72" s="397"/>
      <c r="J72" s="397"/>
      <c r="K72" s="397"/>
      <c r="L72" s="397"/>
      <c r="M72" s="397"/>
      <c r="N72" s="397"/>
      <c r="O72" s="397"/>
      <c r="P72" s="397"/>
      <c r="Q72" s="397"/>
      <c r="R72" s="397"/>
      <c r="S72" s="397"/>
      <c r="T72" s="397"/>
      <c r="U72" s="397"/>
      <c r="V72" s="397"/>
      <c r="W72" s="397"/>
      <c r="X72" s="397"/>
      <c r="Y72" s="397"/>
      <c r="Z72" s="397"/>
      <c r="AA72" s="397"/>
      <c r="AB72" s="397"/>
      <c r="AC72" s="397"/>
      <c r="AD72" s="397"/>
      <c r="AE72" s="397"/>
      <c r="AF72" s="397"/>
      <c r="AG72" s="397"/>
      <c r="AH72" s="397"/>
      <c r="AI72" s="397"/>
    </row>
    <row r="73">
      <c r="A73" s="397"/>
      <c r="B73" s="397"/>
      <c r="C73" s="397"/>
      <c r="D73" s="397"/>
      <c r="E73" s="397"/>
      <c r="F73" s="397"/>
      <c r="G73" s="397"/>
      <c r="H73" s="397"/>
      <c r="I73" s="397"/>
      <c r="J73" s="397"/>
      <c r="K73" s="397"/>
      <c r="L73" s="397"/>
      <c r="M73" s="397"/>
      <c r="N73" s="397"/>
      <c r="O73" s="397"/>
      <c r="P73" s="397"/>
      <c r="Q73" s="397"/>
      <c r="R73" s="397"/>
      <c r="S73" s="397"/>
      <c r="T73" s="397"/>
      <c r="U73" s="397"/>
      <c r="V73" s="397"/>
      <c r="W73" s="397"/>
      <c r="X73" s="397"/>
      <c r="Y73" s="397"/>
      <c r="Z73" s="397"/>
      <c r="AA73" s="397"/>
      <c r="AB73" s="397"/>
      <c r="AC73" s="397"/>
      <c r="AD73" s="397"/>
      <c r="AE73" s="397"/>
      <c r="AF73" s="397"/>
      <c r="AG73" s="397"/>
      <c r="AH73" s="397"/>
      <c r="AI73" s="397"/>
    </row>
    <row r="74">
      <c r="A74" s="397"/>
      <c r="B74" s="397"/>
      <c r="C74" s="397"/>
      <c r="D74" s="397"/>
      <c r="E74" s="397"/>
      <c r="F74" s="397"/>
      <c r="G74" s="397"/>
      <c r="H74" s="397"/>
      <c r="I74" s="397"/>
      <c r="J74" s="397"/>
      <c r="K74" s="397"/>
      <c r="L74" s="397"/>
      <c r="M74" s="397"/>
      <c r="N74" s="397"/>
      <c r="O74" s="397"/>
      <c r="P74" s="397"/>
      <c r="Q74" s="397"/>
      <c r="R74" s="397"/>
      <c r="S74" s="397"/>
      <c r="T74" s="397"/>
      <c r="U74" s="397"/>
      <c r="V74" s="397"/>
      <c r="W74" s="397"/>
      <c r="X74" s="397"/>
      <c r="Y74" s="397"/>
      <c r="Z74" s="397"/>
      <c r="AA74" s="397"/>
      <c r="AB74" s="397"/>
      <c r="AC74" s="397"/>
      <c r="AD74" s="397"/>
      <c r="AE74" s="397"/>
      <c r="AF74" s="397"/>
      <c r="AG74" s="397"/>
      <c r="AH74" s="397"/>
      <c r="AI74" s="397"/>
    </row>
    <row r="75">
      <c r="A75" s="397"/>
      <c r="B75" s="397"/>
      <c r="C75" s="397"/>
      <c r="D75" s="397"/>
      <c r="E75" s="397"/>
      <c r="F75" s="397"/>
      <c r="G75" s="397"/>
      <c r="H75" s="397"/>
      <c r="I75" s="397"/>
      <c r="J75" s="397"/>
      <c r="K75" s="397"/>
      <c r="L75" s="397"/>
      <c r="M75" s="397"/>
      <c r="N75" s="397"/>
      <c r="O75" s="397"/>
      <c r="P75" s="397"/>
      <c r="Q75" s="397"/>
      <c r="R75" s="397"/>
      <c r="S75" s="397"/>
      <c r="T75" s="397"/>
      <c r="U75" s="397"/>
      <c r="V75" s="397"/>
      <c r="W75" s="397"/>
      <c r="X75" s="397"/>
      <c r="Y75" s="397"/>
      <c r="Z75" s="397"/>
      <c r="AA75" s="397"/>
      <c r="AB75" s="397"/>
      <c r="AC75" s="397"/>
      <c r="AD75" s="397"/>
      <c r="AE75" s="397"/>
      <c r="AF75" s="397"/>
      <c r="AG75" s="397"/>
      <c r="AH75" s="397"/>
      <c r="AI75" s="397"/>
    </row>
    <row r="76">
      <c r="A76" s="397"/>
      <c r="B76" s="397"/>
      <c r="C76" s="397"/>
      <c r="D76" s="397"/>
      <c r="E76" s="397"/>
      <c r="F76" s="397"/>
      <c r="G76" s="397"/>
      <c r="H76" s="397"/>
      <c r="I76" s="397"/>
      <c r="J76" s="397"/>
      <c r="K76" s="397"/>
      <c r="L76" s="397"/>
      <c r="M76" s="397"/>
      <c r="N76" s="397"/>
      <c r="O76" s="397"/>
      <c r="P76" s="397"/>
      <c r="Q76" s="397"/>
      <c r="R76" s="397"/>
      <c r="S76" s="397"/>
      <c r="T76" s="397"/>
      <c r="U76" s="397"/>
      <c r="V76" s="397"/>
      <c r="W76" s="397"/>
      <c r="X76" s="397"/>
      <c r="Y76" s="397"/>
      <c r="Z76" s="397"/>
      <c r="AA76" s="397"/>
      <c r="AB76" s="397"/>
      <c r="AC76" s="397"/>
      <c r="AD76" s="397"/>
      <c r="AE76" s="397"/>
      <c r="AF76" s="397"/>
      <c r="AG76" s="397"/>
      <c r="AH76" s="397"/>
      <c r="AI76" s="397"/>
    </row>
    <row r="77">
      <c r="A77" s="397"/>
      <c r="B77" s="397"/>
      <c r="C77" s="397"/>
      <c r="D77" s="397"/>
      <c r="E77" s="397"/>
      <c r="F77" s="397"/>
      <c r="G77" s="397"/>
      <c r="H77" s="397"/>
      <c r="I77" s="397"/>
      <c r="J77" s="397"/>
      <c r="K77" s="397"/>
      <c r="L77" s="397"/>
      <c r="M77" s="397"/>
      <c r="N77" s="397"/>
      <c r="O77" s="397"/>
      <c r="P77" s="397"/>
      <c r="Q77" s="397"/>
      <c r="R77" s="397"/>
      <c r="S77" s="397"/>
      <c r="T77" s="397"/>
      <c r="U77" s="397"/>
      <c r="V77" s="397"/>
      <c r="W77" s="397"/>
      <c r="X77" s="397"/>
      <c r="Y77" s="397"/>
      <c r="Z77" s="397"/>
      <c r="AA77" s="397"/>
      <c r="AB77" s="397"/>
      <c r="AC77" s="397"/>
      <c r="AD77" s="397"/>
      <c r="AE77" s="397"/>
      <c r="AF77" s="397"/>
      <c r="AG77" s="397"/>
      <c r="AH77" s="397"/>
      <c r="AI77" s="397"/>
    </row>
    <row r="78">
      <c r="A78" s="397"/>
      <c r="B78" s="397"/>
      <c r="C78" s="397"/>
      <c r="D78" s="397"/>
      <c r="E78" s="397"/>
      <c r="F78" s="397"/>
      <c r="G78" s="397"/>
      <c r="H78" s="397"/>
      <c r="I78" s="397"/>
      <c r="J78" s="397"/>
      <c r="K78" s="397"/>
      <c r="L78" s="397"/>
      <c r="M78" s="397"/>
      <c r="N78" s="397"/>
      <c r="O78" s="397"/>
      <c r="P78" s="397"/>
      <c r="Q78" s="397"/>
      <c r="R78" s="397"/>
      <c r="S78" s="397"/>
      <c r="T78" s="397"/>
      <c r="U78" s="397"/>
      <c r="V78" s="397"/>
      <c r="W78" s="397"/>
      <c r="X78" s="397"/>
      <c r="Y78" s="397"/>
      <c r="Z78" s="397"/>
      <c r="AA78" s="397"/>
      <c r="AB78" s="397"/>
      <c r="AC78" s="397"/>
      <c r="AD78" s="397"/>
      <c r="AE78" s="397"/>
      <c r="AF78" s="397"/>
      <c r="AG78" s="397"/>
      <c r="AH78" s="397"/>
      <c r="AI78" s="397"/>
    </row>
    <row r="79">
      <c r="A79" s="397"/>
      <c r="B79" s="397"/>
      <c r="C79" s="397"/>
      <c r="D79" s="397"/>
      <c r="E79" s="397"/>
      <c r="F79" s="397"/>
      <c r="G79" s="397"/>
      <c r="H79" s="397"/>
      <c r="I79" s="397"/>
      <c r="J79" s="397"/>
      <c r="K79" s="397"/>
      <c r="L79" s="397"/>
      <c r="M79" s="397"/>
      <c r="N79" s="397"/>
      <c r="O79" s="397"/>
      <c r="P79" s="397"/>
      <c r="Q79" s="397"/>
      <c r="R79" s="397"/>
      <c r="S79" s="397"/>
      <c r="T79" s="397"/>
      <c r="U79" s="397"/>
      <c r="V79" s="397"/>
      <c r="W79" s="397"/>
      <c r="X79" s="397"/>
      <c r="Y79" s="397"/>
      <c r="Z79" s="397"/>
      <c r="AA79" s="397"/>
      <c r="AB79" s="397"/>
      <c r="AC79" s="397"/>
      <c r="AD79" s="397"/>
      <c r="AE79" s="397"/>
      <c r="AF79" s="397"/>
      <c r="AG79" s="397"/>
      <c r="AH79" s="397"/>
      <c r="AI79" s="397"/>
    </row>
    <row r="80">
      <c r="A80" s="397"/>
      <c r="B80" s="397"/>
      <c r="C80" s="397"/>
      <c r="D80" s="397"/>
      <c r="E80" s="397"/>
      <c r="F80" s="397"/>
      <c r="G80" s="397"/>
      <c r="H80" s="397"/>
      <c r="I80" s="397"/>
      <c r="J80" s="397"/>
      <c r="K80" s="397"/>
      <c r="L80" s="397"/>
      <c r="M80" s="397"/>
      <c r="N80" s="397"/>
      <c r="O80" s="397"/>
      <c r="P80" s="397"/>
      <c r="Q80" s="397"/>
      <c r="R80" s="397"/>
      <c r="S80" s="397"/>
      <c r="T80" s="397"/>
      <c r="U80" s="397"/>
      <c r="V80" s="397"/>
      <c r="W80" s="397"/>
      <c r="X80" s="397"/>
      <c r="Y80" s="397"/>
      <c r="Z80" s="397"/>
      <c r="AA80" s="397"/>
      <c r="AB80" s="397"/>
      <c r="AC80" s="397"/>
      <c r="AD80" s="397"/>
      <c r="AE80" s="397"/>
      <c r="AF80" s="397"/>
      <c r="AG80" s="397"/>
      <c r="AH80" s="397"/>
      <c r="AI80" s="397"/>
    </row>
    <row r="81">
      <c r="A81" s="397"/>
      <c r="B81" s="397"/>
      <c r="C81" s="397"/>
      <c r="D81" s="397"/>
      <c r="E81" s="397"/>
      <c r="F81" s="397"/>
      <c r="G81" s="397"/>
      <c r="H81" s="397"/>
      <c r="I81" s="397"/>
      <c r="J81" s="397"/>
      <c r="K81" s="397"/>
      <c r="L81" s="397"/>
      <c r="M81" s="397"/>
      <c r="N81" s="397"/>
      <c r="O81" s="397"/>
      <c r="P81" s="397"/>
      <c r="Q81" s="397"/>
      <c r="R81" s="397"/>
      <c r="S81" s="397"/>
      <c r="T81" s="397"/>
      <c r="U81" s="397"/>
      <c r="V81" s="397"/>
      <c r="W81" s="397"/>
      <c r="X81" s="397"/>
      <c r="Y81" s="397"/>
      <c r="Z81" s="397"/>
      <c r="AA81" s="397"/>
      <c r="AB81" s="397"/>
      <c r="AC81" s="397"/>
      <c r="AD81" s="397"/>
      <c r="AE81" s="397"/>
      <c r="AF81" s="397"/>
      <c r="AG81" s="397"/>
      <c r="AH81" s="397"/>
      <c r="AI81" s="397"/>
    </row>
    <row r="82">
      <c r="A82" s="397"/>
      <c r="B82" s="397"/>
      <c r="C82" s="397"/>
      <c r="D82" s="397"/>
      <c r="E82" s="397"/>
      <c r="F82" s="397"/>
      <c r="G82" s="397"/>
      <c r="H82" s="397"/>
      <c r="I82" s="397"/>
      <c r="J82" s="397"/>
      <c r="K82" s="397"/>
      <c r="L82" s="397"/>
      <c r="M82" s="397"/>
      <c r="N82" s="397"/>
      <c r="O82" s="397"/>
      <c r="P82" s="397"/>
      <c r="Q82" s="397"/>
      <c r="R82" s="397"/>
      <c r="S82" s="397"/>
      <c r="T82" s="397"/>
      <c r="U82" s="397"/>
      <c r="V82" s="397"/>
      <c r="W82" s="397"/>
      <c r="X82" s="397"/>
      <c r="Y82" s="397"/>
      <c r="Z82" s="397"/>
      <c r="AA82" s="397"/>
      <c r="AB82" s="397"/>
      <c r="AC82" s="397"/>
      <c r="AD82" s="397"/>
      <c r="AE82" s="397"/>
      <c r="AF82" s="397"/>
      <c r="AG82" s="397"/>
      <c r="AH82" s="397"/>
      <c r="AI82" s="397"/>
    </row>
    <row r="83">
      <c r="A83" s="397"/>
      <c r="B83" s="397"/>
      <c r="C83" s="397"/>
      <c r="D83" s="397"/>
      <c r="E83" s="397"/>
      <c r="F83" s="397"/>
      <c r="G83" s="397"/>
      <c r="H83" s="397"/>
      <c r="I83" s="397"/>
      <c r="J83" s="397"/>
      <c r="K83" s="397"/>
      <c r="L83" s="397"/>
      <c r="M83" s="397"/>
      <c r="N83" s="397"/>
      <c r="O83" s="397"/>
      <c r="P83" s="397"/>
      <c r="Q83" s="397"/>
      <c r="R83" s="397"/>
      <c r="S83" s="397"/>
      <c r="T83" s="397"/>
      <c r="U83" s="397"/>
      <c r="V83" s="397"/>
      <c r="W83" s="397"/>
      <c r="X83" s="397"/>
      <c r="Y83" s="397"/>
      <c r="Z83" s="397"/>
      <c r="AA83" s="397"/>
      <c r="AB83" s="397"/>
      <c r="AC83" s="397"/>
      <c r="AD83" s="397"/>
      <c r="AE83" s="397"/>
      <c r="AF83" s="397"/>
      <c r="AG83" s="397"/>
      <c r="AH83" s="397"/>
      <c r="AI83" s="397"/>
    </row>
    <row r="84">
      <c r="A84" s="397"/>
      <c r="B84" s="397"/>
      <c r="C84" s="397"/>
      <c r="D84" s="397"/>
      <c r="E84" s="397"/>
      <c r="F84" s="397"/>
      <c r="G84" s="397"/>
      <c r="H84" s="397"/>
      <c r="I84" s="397"/>
      <c r="J84" s="397"/>
      <c r="K84" s="397"/>
      <c r="L84" s="397"/>
      <c r="M84" s="397"/>
      <c r="N84" s="397"/>
      <c r="O84" s="397"/>
      <c r="P84" s="397"/>
      <c r="Q84" s="397"/>
      <c r="R84" s="397"/>
      <c r="S84" s="397"/>
      <c r="T84" s="397"/>
      <c r="U84" s="397"/>
      <c r="V84" s="397"/>
      <c r="W84" s="397"/>
      <c r="X84" s="397"/>
      <c r="Y84" s="397"/>
      <c r="Z84" s="397"/>
      <c r="AA84" s="397"/>
      <c r="AB84" s="397"/>
      <c r="AC84" s="397"/>
      <c r="AD84" s="397"/>
      <c r="AE84" s="397"/>
      <c r="AF84" s="397"/>
      <c r="AG84" s="397"/>
      <c r="AH84" s="397"/>
      <c r="AI84" s="397"/>
    </row>
    <row r="85">
      <c r="A85" s="397"/>
      <c r="B85" s="397"/>
      <c r="C85" s="397"/>
      <c r="D85" s="397"/>
      <c r="E85" s="397"/>
      <c r="F85" s="397"/>
      <c r="G85" s="397"/>
      <c r="H85" s="397"/>
      <c r="I85" s="397"/>
      <c r="J85" s="397"/>
      <c r="K85" s="397"/>
      <c r="L85" s="397"/>
      <c r="M85" s="397"/>
      <c r="N85" s="397"/>
      <c r="O85" s="397"/>
      <c r="P85" s="397"/>
      <c r="Q85" s="397"/>
      <c r="R85" s="397"/>
      <c r="S85" s="397"/>
      <c r="T85" s="397"/>
      <c r="U85" s="397"/>
      <c r="V85" s="397"/>
      <c r="W85" s="397"/>
      <c r="X85" s="397"/>
      <c r="Y85" s="397"/>
      <c r="Z85" s="397"/>
      <c r="AA85" s="397"/>
      <c r="AB85" s="397"/>
      <c r="AC85" s="397"/>
      <c r="AD85" s="397"/>
      <c r="AE85" s="397"/>
      <c r="AF85" s="397"/>
      <c r="AG85" s="397"/>
      <c r="AH85" s="397"/>
      <c r="AI85" s="397"/>
    </row>
    <row r="86">
      <c r="A86" s="397"/>
      <c r="B86" s="397"/>
      <c r="C86" s="397"/>
      <c r="D86" s="397"/>
      <c r="E86" s="397"/>
      <c r="F86" s="397"/>
      <c r="G86" s="397"/>
      <c r="H86" s="397"/>
      <c r="I86" s="397"/>
      <c r="J86" s="397"/>
      <c r="K86" s="397"/>
      <c r="L86" s="397"/>
      <c r="M86" s="397"/>
      <c r="N86" s="397"/>
      <c r="O86" s="397"/>
      <c r="P86" s="397"/>
      <c r="Q86" s="397"/>
      <c r="R86" s="397"/>
      <c r="S86" s="397"/>
      <c r="T86" s="397"/>
      <c r="U86" s="397"/>
      <c r="V86" s="397"/>
      <c r="W86" s="397"/>
      <c r="X86" s="397"/>
      <c r="Y86" s="397"/>
      <c r="Z86" s="397"/>
      <c r="AA86" s="397"/>
      <c r="AB86" s="397"/>
      <c r="AC86" s="397"/>
      <c r="AD86" s="397"/>
      <c r="AE86" s="397"/>
      <c r="AF86" s="397"/>
      <c r="AG86" s="397"/>
      <c r="AH86" s="397"/>
      <c r="AI86" s="397"/>
    </row>
    <row r="87">
      <c r="A87" s="397"/>
      <c r="B87" s="397"/>
      <c r="C87" s="397"/>
      <c r="D87" s="397"/>
      <c r="E87" s="397"/>
      <c r="F87" s="397"/>
      <c r="G87" s="397"/>
      <c r="H87" s="397"/>
      <c r="I87" s="397"/>
      <c r="J87" s="397"/>
      <c r="K87" s="397"/>
      <c r="L87" s="397"/>
      <c r="M87" s="397"/>
      <c r="N87" s="397"/>
      <c r="O87" s="397"/>
      <c r="P87" s="397"/>
      <c r="Q87" s="397"/>
      <c r="R87" s="397"/>
      <c r="S87" s="397"/>
      <c r="T87" s="397"/>
      <c r="U87" s="397"/>
      <c r="V87" s="397"/>
      <c r="W87" s="397"/>
      <c r="X87" s="397"/>
      <c r="Y87" s="397"/>
      <c r="Z87" s="397"/>
      <c r="AA87" s="397"/>
      <c r="AB87" s="397"/>
      <c r="AC87" s="397"/>
      <c r="AD87" s="397"/>
      <c r="AE87" s="397"/>
      <c r="AF87" s="397"/>
      <c r="AG87" s="397"/>
      <c r="AH87" s="397"/>
      <c r="AI87" s="397"/>
    </row>
    <row r="88">
      <c r="A88" s="397"/>
      <c r="B88" s="397"/>
      <c r="C88" s="397"/>
      <c r="D88" s="397"/>
      <c r="E88" s="397"/>
      <c r="F88" s="397"/>
      <c r="G88" s="397"/>
      <c r="H88" s="397"/>
      <c r="I88" s="397"/>
      <c r="J88" s="397"/>
      <c r="K88" s="397"/>
      <c r="L88" s="397"/>
      <c r="M88" s="397"/>
      <c r="N88" s="397"/>
      <c r="O88" s="397"/>
      <c r="P88" s="397"/>
      <c r="Q88" s="397"/>
      <c r="R88" s="397"/>
      <c r="S88" s="397"/>
      <c r="T88" s="397"/>
      <c r="U88" s="397"/>
      <c r="V88" s="397"/>
      <c r="W88" s="397"/>
      <c r="X88" s="397"/>
      <c r="Y88" s="397"/>
      <c r="Z88" s="397"/>
      <c r="AA88" s="397"/>
      <c r="AB88" s="397"/>
      <c r="AC88" s="397"/>
      <c r="AD88" s="397"/>
      <c r="AE88" s="397"/>
      <c r="AF88" s="397"/>
      <c r="AG88" s="397"/>
      <c r="AH88" s="397"/>
      <c r="AI88" s="397"/>
    </row>
    <row r="89">
      <c r="A89" s="397"/>
      <c r="B89" s="397"/>
      <c r="C89" s="397"/>
      <c r="D89" s="397"/>
      <c r="E89" s="397"/>
      <c r="F89" s="397"/>
      <c r="G89" s="397"/>
      <c r="H89" s="397"/>
      <c r="I89" s="397"/>
      <c r="J89" s="397"/>
      <c r="K89" s="397"/>
      <c r="L89" s="397"/>
      <c r="M89" s="397"/>
      <c r="N89" s="397"/>
      <c r="O89" s="397"/>
      <c r="P89" s="397"/>
      <c r="Q89" s="397"/>
      <c r="R89" s="397"/>
      <c r="S89" s="397"/>
      <c r="T89" s="397"/>
      <c r="U89" s="397"/>
      <c r="V89" s="397"/>
      <c r="W89" s="397"/>
      <c r="X89" s="397"/>
      <c r="Y89" s="397"/>
      <c r="Z89" s="397"/>
      <c r="AA89" s="397"/>
      <c r="AB89" s="397"/>
      <c r="AC89" s="397"/>
      <c r="AD89" s="397"/>
      <c r="AE89" s="397"/>
      <c r="AF89" s="397"/>
      <c r="AG89" s="397"/>
      <c r="AH89" s="397"/>
      <c r="AI89" s="397"/>
    </row>
    <row r="90">
      <c r="A90" s="397"/>
      <c r="B90" s="397"/>
      <c r="C90" s="397"/>
      <c r="D90" s="397"/>
      <c r="E90" s="397"/>
      <c r="F90" s="397"/>
      <c r="G90" s="397"/>
      <c r="H90" s="397"/>
      <c r="I90" s="397"/>
      <c r="J90" s="397"/>
      <c r="K90" s="397"/>
      <c r="L90" s="397"/>
      <c r="M90" s="397"/>
      <c r="N90" s="397"/>
      <c r="O90" s="397"/>
      <c r="P90" s="397"/>
      <c r="Q90" s="397"/>
      <c r="R90" s="397"/>
      <c r="S90" s="397"/>
      <c r="T90" s="397"/>
      <c r="U90" s="397"/>
      <c r="V90" s="397"/>
      <c r="W90" s="397"/>
      <c r="X90" s="397"/>
      <c r="Y90" s="397"/>
      <c r="Z90" s="397"/>
      <c r="AA90" s="397"/>
      <c r="AB90" s="397"/>
      <c r="AC90" s="397"/>
      <c r="AD90" s="397"/>
      <c r="AE90" s="397"/>
      <c r="AF90" s="397"/>
      <c r="AG90" s="397"/>
      <c r="AH90" s="397"/>
      <c r="AI90" s="397"/>
    </row>
    <row r="91">
      <c r="A91" s="397"/>
      <c r="B91" s="397"/>
      <c r="C91" s="397"/>
      <c r="D91" s="397"/>
      <c r="E91" s="397"/>
      <c r="F91" s="397"/>
      <c r="G91" s="397"/>
      <c r="H91" s="397"/>
      <c r="I91" s="397"/>
      <c r="J91" s="397"/>
      <c r="K91" s="397"/>
      <c r="L91" s="397"/>
      <c r="M91" s="397"/>
      <c r="N91" s="397"/>
      <c r="O91" s="397"/>
      <c r="P91" s="397"/>
      <c r="Q91" s="397"/>
      <c r="R91" s="397"/>
      <c r="S91" s="397"/>
      <c r="T91" s="397"/>
      <c r="U91" s="397"/>
      <c r="V91" s="397"/>
      <c r="W91" s="397"/>
      <c r="X91" s="397"/>
      <c r="Y91" s="397"/>
      <c r="Z91" s="397"/>
      <c r="AA91" s="397"/>
      <c r="AB91" s="397"/>
      <c r="AC91" s="397"/>
      <c r="AD91" s="397"/>
      <c r="AE91" s="397"/>
      <c r="AF91" s="397"/>
      <c r="AG91" s="397"/>
      <c r="AH91" s="397"/>
      <c r="AI91" s="397"/>
    </row>
    <row r="92">
      <c r="A92" s="397"/>
      <c r="B92" s="397"/>
      <c r="C92" s="397"/>
      <c r="D92" s="397"/>
      <c r="E92" s="397"/>
      <c r="F92" s="397"/>
      <c r="G92" s="397"/>
      <c r="H92" s="397"/>
      <c r="I92" s="397"/>
      <c r="J92" s="397"/>
      <c r="K92" s="397"/>
      <c r="L92" s="397"/>
      <c r="M92" s="397"/>
      <c r="N92" s="397"/>
      <c r="O92" s="397"/>
      <c r="P92" s="397"/>
      <c r="Q92" s="397"/>
      <c r="R92" s="397"/>
      <c r="S92" s="397"/>
      <c r="T92" s="397"/>
      <c r="U92" s="397"/>
      <c r="V92" s="397"/>
      <c r="W92" s="397"/>
      <c r="X92" s="397"/>
      <c r="Y92" s="397"/>
      <c r="Z92" s="397"/>
      <c r="AA92" s="397"/>
      <c r="AB92" s="397"/>
      <c r="AC92" s="397"/>
      <c r="AD92" s="397"/>
      <c r="AE92" s="397"/>
      <c r="AF92" s="397"/>
      <c r="AG92" s="397"/>
      <c r="AH92" s="397"/>
      <c r="AI92" s="397"/>
    </row>
    <row r="93">
      <c r="A93" s="397"/>
      <c r="B93" s="397"/>
      <c r="C93" s="397"/>
      <c r="D93" s="397"/>
      <c r="E93" s="397"/>
      <c r="F93" s="397"/>
      <c r="G93" s="397"/>
      <c r="H93" s="397"/>
      <c r="I93" s="397"/>
      <c r="J93" s="397"/>
      <c r="K93" s="397"/>
      <c r="L93" s="397"/>
      <c r="M93" s="397"/>
      <c r="N93" s="397"/>
      <c r="O93" s="397"/>
      <c r="P93" s="397"/>
      <c r="Q93" s="397"/>
      <c r="R93" s="397"/>
      <c r="S93" s="397"/>
      <c r="T93" s="397"/>
      <c r="U93" s="397"/>
      <c r="V93" s="397"/>
      <c r="W93" s="397"/>
      <c r="X93" s="397"/>
      <c r="Y93" s="397"/>
      <c r="Z93" s="397"/>
      <c r="AA93" s="397"/>
      <c r="AB93" s="397"/>
      <c r="AC93" s="397"/>
      <c r="AD93" s="397"/>
      <c r="AE93" s="397"/>
      <c r="AF93" s="397"/>
      <c r="AG93" s="397"/>
      <c r="AH93" s="397"/>
      <c r="AI93" s="397"/>
    </row>
    <row r="94">
      <c r="A94" s="397"/>
      <c r="B94" s="397"/>
      <c r="C94" s="397"/>
      <c r="D94" s="397"/>
      <c r="E94" s="397"/>
      <c r="F94" s="397"/>
      <c r="G94" s="397"/>
      <c r="H94" s="397"/>
      <c r="I94" s="397"/>
      <c r="J94" s="397"/>
      <c r="K94" s="397"/>
      <c r="L94" s="397"/>
      <c r="M94" s="397"/>
      <c r="N94" s="397"/>
      <c r="O94" s="397"/>
      <c r="P94" s="397"/>
      <c r="Q94" s="397"/>
      <c r="R94" s="397"/>
      <c r="S94" s="397"/>
      <c r="T94" s="397"/>
      <c r="U94" s="397"/>
      <c r="V94" s="397"/>
      <c r="W94" s="397"/>
      <c r="X94" s="397"/>
      <c r="Y94" s="397"/>
      <c r="Z94" s="397"/>
      <c r="AA94" s="397"/>
      <c r="AB94" s="397"/>
      <c r="AC94" s="397"/>
      <c r="AD94" s="397"/>
      <c r="AE94" s="397"/>
      <c r="AF94" s="397"/>
      <c r="AG94" s="397"/>
      <c r="AH94" s="397"/>
      <c r="AI94" s="397"/>
    </row>
    <row r="95">
      <c r="A95" s="397"/>
      <c r="B95" s="397"/>
      <c r="C95" s="397"/>
      <c r="D95" s="397"/>
      <c r="E95" s="397"/>
      <c r="F95" s="397"/>
      <c r="G95" s="397"/>
      <c r="H95" s="397"/>
      <c r="I95" s="397"/>
      <c r="J95" s="397"/>
      <c r="K95" s="397"/>
      <c r="L95" s="397"/>
      <c r="M95" s="397"/>
      <c r="N95" s="397"/>
      <c r="O95" s="397"/>
      <c r="P95" s="397"/>
      <c r="Q95" s="397"/>
      <c r="R95" s="397"/>
      <c r="S95" s="397"/>
      <c r="T95" s="397"/>
      <c r="U95" s="397"/>
      <c r="V95" s="397"/>
      <c r="W95" s="397"/>
      <c r="X95" s="397"/>
      <c r="Y95" s="397"/>
      <c r="Z95" s="397"/>
      <c r="AA95" s="397"/>
      <c r="AB95" s="397"/>
      <c r="AC95" s="397"/>
      <c r="AD95" s="397"/>
      <c r="AE95" s="397"/>
      <c r="AF95" s="397"/>
      <c r="AG95" s="397"/>
      <c r="AH95" s="397"/>
      <c r="AI95" s="397"/>
    </row>
    <row r="96">
      <c r="A96" s="397"/>
      <c r="B96" s="397"/>
      <c r="C96" s="397"/>
      <c r="D96" s="397"/>
      <c r="E96" s="397"/>
      <c r="F96" s="397"/>
      <c r="G96" s="397"/>
      <c r="H96" s="397"/>
      <c r="I96" s="397"/>
      <c r="J96" s="397"/>
      <c r="K96" s="397"/>
      <c r="L96" s="397"/>
      <c r="M96" s="397"/>
      <c r="N96" s="397"/>
      <c r="O96" s="397"/>
      <c r="P96" s="397"/>
      <c r="Q96" s="397"/>
      <c r="R96" s="397"/>
      <c r="S96" s="397"/>
      <c r="T96" s="397"/>
      <c r="U96" s="397"/>
      <c r="V96" s="397"/>
      <c r="W96" s="397"/>
      <c r="X96" s="397"/>
      <c r="Y96" s="397"/>
      <c r="Z96" s="397"/>
      <c r="AA96" s="397"/>
      <c r="AB96" s="397"/>
      <c r="AC96" s="397"/>
      <c r="AD96" s="397"/>
      <c r="AE96" s="397"/>
      <c r="AF96" s="397"/>
      <c r="AG96" s="397"/>
      <c r="AH96" s="397"/>
      <c r="AI96" s="397"/>
    </row>
    <row r="97">
      <c r="A97" s="397"/>
      <c r="B97" s="397"/>
      <c r="C97" s="397"/>
      <c r="D97" s="397"/>
      <c r="E97" s="397"/>
      <c r="F97" s="397"/>
      <c r="G97" s="397"/>
      <c r="H97" s="397"/>
      <c r="I97" s="397"/>
      <c r="J97" s="397"/>
      <c r="K97" s="397"/>
      <c r="L97" s="397"/>
      <c r="M97" s="397"/>
      <c r="N97" s="397"/>
      <c r="O97" s="397"/>
      <c r="P97" s="397"/>
      <c r="Q97" s="397"/>
      <c r="R97" s="397"/>
      <c r="S97" s="397"/>
      <c r="T97" s="397"/>
      <c r="U97" s="397"/>
      <c r="V97" s="397"/>
      <c r="W97" s="397"/>
      <c r="X97" s="397"/>
      <c r="Y97" s="397"/>
      <c r="Z97" s="397"/>
      <c r="AA97" s="397"/>
      <c r="AB97" s="397"/>
      <c r="AC97" s="397"/>
      <c r="AD97" s="397"/>
      <c r="AE97" s="397"/>
      <c r="AF97" s="397"/>
      <c r="AG97" s="397"/>
      <c r="AH97" s="397"/>
      <c r="AI97" s="397"/>
    </row>
    <row r="98">
      <c r="A98" s="397"/>
      <c r="B98" s="397"/>
      <c r="C98" s="397"/>
      <c r="D98" s="397"/>
      <c r="E98" s="397"/>
      <c r="F98" s="397"/>
      <c r="G98" s="397"/>
      <c r="H98" s="397"/>
      <c r="I98" s="397"/>
      <c r="J98" s="397"/>
      <c r="K98" s="397"/>
      <c r="L98" s="397"/>
      <c r="M98" s="397"/>
      <c r="N98" s="397"/>
      <c r="O98" s="397"/>
      <c r="P98" s="397"/>
      <c r="Q98" s="397"/>
      <c r="R98" s="397"/>
      <c r="S98" s="397"/>
      <c r="T98" s="397"/>
      <c r="U98" s="397"/>
      <c r="V98" s="397"/>
      <c r="W98" s="397"/>
      <c r="X98" s="397"/>
      <c r="Y98" s="397"/>
      <c r="Z98" s="397"/>
      <c r="AA98" s="397"/>
      <c r="AB98" s="397"/>
      <c r="AC98" s="397"/>
      <c r="AD98" s="397"/>
      <c r="AE98" s="397"/>
      <c r="AF98" s="397"/>
      <c r="AG98" s="397"/>
      <c r="AH98" s="397"/>
      <c r="AI98" s="397"/>
    </row>
    <row r="99">
      <c r="A99" s="397"/>
      <c r="B99" s="397"/>
      <c r="C99" s="397"/>
      <c r="D99" s="397"/>
      <c r="E99" s="397"/>
      <c r="F99" s="397"/>
      <c r="G99" s="397"/>
      <c r="H99" s="397"/>
      <c r="I99" s="397"/>
      <c r="J99" s="397"/>
      <c r="K99" s="397"/>
      <c r="L99" s="397"/>
      <c r="M99" s="397"/>
      <c r="N99" s="397"/>
      <c r="O99" s="397"/>
      <c r="P99" s="397"/>
      <c r="Q99" s="397"/>
      <c r="R99" s="397"/>
      <c r="S99" s="397"/>
      <c r="T99" s="397"/>
      <c r="U99" s="397"/>
      <c r="V99" s="397"/>
      <c r="W99" s="397"/>
      <c r="X99" s="397"/>
      <c r="Y99" s="397"/>
      <c r="Z99" s="397"/>
      <c r="AA99" s="397"/>
      <c r="AB99" s="397"/>
      <c r="AC99" s="397"/>
      <c r="AD99" s="397"/>
      <c r="AE99" s="397"/>
      <c r="AF99" s="397"/>
      <c r="AG99" s="397"/>
      <c r="AH99" s="397"/>
      <c r="AI99" s="397"/>
    </row>
    <row r="100">
      <c r="A100" s="397"/>
      <c r="B100" s="397"/>
      <c r="C100" s="397"/>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c r="AA100" s="397"/>
      <c r="AB100" s="397"/>
      <c r="AC100" s="397"/>
      <c r="AD100" s="397"/>
      <c r="AE100" s="397"/>
      <c r="AF100" s="397"/>
      <c r="AG100" s="397"/>
      <c r="AH100" s="397"/>
      <c r="AI100" s="397"/>
    </row>
    <row r="101">
      <c r="A101" s="397"/>
      <c r="B101" s="397"/>
      <c r="C101" s="397"/>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c r="AA101" s="397"/>
      <c r="AB101" s="397"/>
      <c r="AC101" s="397"/>
      <c r="AD101" s="397"/>
      <c r="AE101" s="397"/>
      <c r="AF101" s="397"/>
      <c r="AG101" s="397"/>
      <c r="AH101" s="397"/>
      <c r="AI101" s="397"/>
    </row>
    <row r="102">
      <c r="A102" s="397"/>
      <c r="B102" s="397"/>
      <c r="C102" s="397"/>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c r="AA102" s="397"/>
      <c r="AB102" s="397"/>
      <c r="AC102" s="397"/>
      <c r="AD102" s="397"/>
      <c r="AE102" s="397"/>
      <c r="AF102" s="397"/>
      <c r="AG102" s="397"/>
      <c r="AH102" s="397"/>
      <c r="AI102" s="397"/>
    </row>
    <row r="103">
      <c r="A103" s="397"/>
      <c r="B103" s="397"/>
      <c r="C103" s="397"/>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c r="AA103" s="397"/>
      <c r="AB103" s="397"/>
      <c r="AC103" s="397"/>
      <c r="AD103" s="397"/>
      <c r="AE103" s="397"/>
      <c r="AF103" s="397"/>
      <c r="AG103" s="397"/>
      <c r="AH103" s="397"/>
      <c r="AI103" s="397"/>
    </row>
    <row r="104">
      <c r="A104" s="397"/>
      <c r="B104" s="397"/>
      <c r="C104" s="397"/>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c r="AA104" s="397"/>
      <c r="AB104" s="397"/>
      <c r="AC104" s="397"/>
      <c r="AD104" s="397"/>
      <c r="AE104" s="397"/>
      <c r="AF104" s="397"/>
      <c r="AG104" s="397"/>
      <c r="AH104" s="397"/>
      <c r="AI104" s="397"/>
    </row>
    <row r="105">
      <c r="A105" s="397"/>
      <c r="B105" s="397"/>
      <c r="C105" s="397"/>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c r="AA105" s="397"/>
      <c r="AB105" s="397"/>
      <c r="AC105" s="397"/>
      <c r="AD105" s="397"/>
      <c r="AE105" s="397"/>
      <c r="AF105" s="397"/>
      <c r="AG105" s="397"/>
      <c r="AH105" s="397"/>
      <c r="AI105" s="397"/>
    </row>
    <row r="106">
      <c r="A106" s="397"/>
      <c r="B106" s="397"/>
      <c r="C106" s="397"/>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c r="AA106" s="397"/>
      <c r="AB106" s="397"/>
      <c r="AC106" s="397"/>
      <c r="AD106" s="397"/>
      <c r="AE106" s="397"/>
      <c r="AF106" s="397"/>
      <c r="AG106" s="397"/>
      <c r="AH106" s="397"/>
      <c r="AI106" s="397"/>
    </row>
    <row r="107">
      <c r="A107" s="397"/>
      <c r="B107" s="397"/>
      <c r="C107" s="397"/>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c r="AA107" s="397"/>
      <c r="AB107" s="397"/>
      <c r="AC107" s="397"/>
      <c r="AD107" s="397"/>
      <c r="AE107" s="397"/>
      <c r="AF107" s="397"/>
      <c r="AG107" s="397"/>
      <c r="AH107" s="397"/>
      <c r="AI107" s="397"/>
    </row>
    <row r="108">
      <c r="A108" s="397"/>
      <c r="B108" s="397"/>
      <c r="C108" s="397"/>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c r="AA108" s="397"/>
      <c r="AB108" s="397"/>
      <c r="AC108" s="397"/>
      <c r="AD108" s="397"/>
      <c r="AE108" s="397"/>
      <c r="AF108" s="397"/>
      <c r="AG108" s="397"/>
      <c r="AH108" s="397"/>
      <c r="AI108" s="397"/>
    </row>
    <row r="109">
      <c r="A109" s="397"/>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c r="AA109" s="397"/>
      <c r="AB109" s="397"/>
      <c r="AC109" s="397"/>
      <c r="AD109" s="397"/>
      <c r="AE109" s="397"/>
      <c r="AF109" s="397"/>
      <c r="AG109" s="397"/>
      <c r="AH109" s="397"/>
      <c r="AI109" s="397"/>
    </row>
    <row r="110">
      <c r="A110" s="397"/>
      <c r="B110" s="397"/>
      <c r="C110" s="397"/>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c r="AA110" s="397"/>
      <c r="AB110" s="397"/>
      <c r="AC110" s="397"/>
      <c r="AD110" s="397"/>
      <c r="AE110" s="397"/>
      <c r="AF110" s="397"/>
      <c r="AG110" s="397"/>
      <c r="AH110" s="397"/>
      <c r="AI110" s="397"/>
    </row>
    <row r="111">
      <c r="A111" s="397"/>
      <c r="B111" s="397"/>
      <c r="C111" s="397"/>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c r="AA111" s="397"/>
      <c r="AB111" s="397"/>
      <c r="AC111" s="397"/>
      <c r="AD111" s="397"/>
      <c r="AE111" s="397"/>
      <c r="AF111" s="397"/>
      <c r="AG111" s="397"/>
      <c r="AH111" s="397"/>
      <c r="AI111" s="397"/>
    </row>
    <row r="112">
      <c r="A112" s="397"/>
      <c r="B112" s="397"/>
      <c r="C112" s="397"/>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c r="AA112" s="397"/>
      <c r="AB112" s="397"/>
      <c r="AC112" s="397"/>
      <c r="AD112" s="397"/>
      <c r="AE112" s="397"/>
      <c r="AF112" s="397"/>
      <c r="AG112" s="397"/>
      <c r="AH112" s="397"/>
      <c r="AI112" s="397"/>
    </row>
    <row r="113">
      <c r="A113" s="397"/>
      <c r="B113" s="397"/>
      <c r="C113" s="397"/>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c r="AA113" s="397"/>
      <c r="AB113" s="397"/>
      <c r="AC113" s="397"/>
      <c r="AD113" s="397"/>
      <c r="AE113" s="397"/>
      <c r="AF113" s="397"/>
      <c r="AG113" s="397"/>
      <c r="AH113" s="397"/>
      <c r="AI113" s="397"/>
    </row>
    <row r="114">
      <c r="A114" s="397"/>
      <c r="B114" s="397"/>
      <c r="C114" s="397"/>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c r="AA114" s="397"/>
      <c r="AB114" s="397"/>
      <c r="AC114" s="397"/>
      <c r="AD114" s="397"/>
      <c r="AE114" s="397"/>
      <c r="AF114" s="397"/>
      <c r="AG114" s="397"/>
      <c r="AH114" s="397"/>
      <c r="AI114" s="397"/>
    </row>
    <row r="115">
      <c r="A115" s="397"/>
      <c r="B115" s="397"/>
      <c r="C115" s="397"/>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c r="AA115" s="397"/>
      <c r="AB115" s="397"/>
      <c r="AC115" s="397"/>
      <c r="AD115" s="397"/>
      <c r="AE115" s="397"/>
      <c r="AF115" s="397"/>
      <c r="AG115" s="397"/>
      <c r="AH115" s="397"/>
      <c r="AI115" s="397"/>
    </row>
    <row r="116">
      <c r="A116" s="397"/>
      <c r="B116" s="397"/>
      <c r="C116" s="397"/>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c r="AA116" s="397"/>
      <c r="AB116" s="397"/>
      <c r="AC116" s="397"/>
      <c r="AD116" s="397"/>
      <c r="AE116" s="397"/>
      <c r="AF116" s="397"/>
      <c r="AG116" s="397"/>
      <c r="AH116" s="397"/>
      <c r="AI116" s="397"/>
    </row>
    <row r="117">
      <c r="A117" s="397"/>
      <c r="B117" s="397"/>
      <c r="C117" s="397"/>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c r="AA117" s="397"/>
      <c r="AB117" s="397"/>
      <c r="AC117" s="397"/>
      <c r="AD117" s="397"/>
      <c r="AE117" s="397"/>
      <c r="AF117" s="397"/>
      <c r="AG117" s="397"/>
      <c r="AH117" s="397"/>
      <c r="AI117" s="397"/>
    </row>
    <row r="118">
      <c r="A118" s="397"/>
      <c r="B118" s="397"/>
      <c r="C118" s="397"/>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c r="AA118" s="397"/>
      <c r="AB118" s="397"/>
      <c r="AC118" s="397"/>
      <c r="AD118" s="397"/>
      <c r="AE118" s="397"/>
      <c r="AF118" s="397"/>
      <c r="AG118" s="397"/>
      <c r="AH118" s="397"/>
      <c r="AI118" s="397"/>
    </row>
    <row r="119">
      <c r="A119" s="397"/>
      <c r="B119" s="397"/>
      <c r="C119" s="397"/>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c r="AA119" s="397"/>
      <c r="AB119" s="397"/>
      <c r="AC119" s="397"/>
      <c r="AD119" s="397"/>
      <c r="AE119" s="397"/>
      <c r="AF119" s="397"/>
      <c r="AG119" s="397"/>
      <c r="AH119" s="397"/>
      <c r="AI119" s="397"/>
    </row>
    <row r="120">
      <c r="A120" s="397"/>
      <c r="B120" s="397"/>
      <c r="C120" s="397"/>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c r="AA120" s="397"/>
      <c r="AB120" s="397"/>
      <c r="AC120" s="397"/>
      <c r="AD120" s="397"/>
      <c r="AE120" s="397"/>
      <c r="AF120" s="397"/>
      <c r="AG120" s="397"/>
      <c r="AH120" s="397"/>
      <c r="AI120" s="397"/>
    </row>
    <row r="121">
      <c r="A121" s="397"/>
      <c r="B121" s="397"/>
      <c r="C121" s="397"/>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c r="AA121" s="397"/>
      <c r="AB121" s="397"/>
      <c r="AC121" s="397"/>
      <c r="AD121" s="397"/>
      <c r="AE121" s="397"/>
      <c r="AF121" s="397"/>
      <c r="AG121" s="397"/>
      <c r="AH121" s="397"/>
      <c r="AI121" s="397"/>
    </row>
    <row r="122">
      <c r="A122" s="397"/>
      <c r="B122" s="397"/>
      <c r="C122" s="397"/>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c r="AA122" s="397"/>
      <c r="AB122" s="397"/>
      <c r="AC122" s="397"/>
      <c r="AD122" s="397"/>
      <c r="AE122" s="397"/>
      <c r="AF122" s="397"/>
      <c r="AG122" s="397"/>
      <c r="AH122" s="397"/>
      <c r="AI122" s="397"/>
    </row>
    <row r="123">
      <c r="A123" s="397"/>
      <c r="B123" s="397"/>
      <c r="C123" s="397"/>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c r="AA123" s="397"/>
      <c r="AB123" s="397"/>
      <c r="AC123" s="397"/>
      <c r="AD123" s="397"/>
      <c r="AE123" s="397"/>
      <c r="AF123" s="397"/>
      <c r="AG123" s="397"/>
      <c r="AH123" s="397"/>
      <c r="AI123" s="397"/>
    </row>
    <row r="124">
      <c r="A124" s="397"/>
      <c r="B124" s="397"/>
      <c r="C124" s="397"/>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c r="AA124" s="397"/>
      <c r="AB124" s="397"/>
      <c r="AC124" s="397"/>
      <c r="AD124" s="397"/>
      <c r="AE124" s="397"/>
      <c r="AF124" s="397"/>
      <c r="AG124" s="397"/>
      <c r="AH124" s="397"/>
      <c r="AI124" s="397"/>
    </row>
    <row r="125">
      <c r="A125" s="397"/>
      <c r="B125" s="397"/>
      <c r="C125" s="397"/>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c r="AA125" s="397"/>
      <c r="AB125" s="397"/>
      <c r="AC125" s="397"/>
      <c r="AD125" s="397"/>
      <c r="AE125" s="397"/>
      <c r="AF125" s="397"/>
      <c r="AG125" s="397"/>
      <c r="AH125" s="397"/>
      <c r="AI125" s="397"/>
    </row>
    <row r="126">
      <c r="A126" s="397"/>
      <c r="B126" s="397"/>
      <c r="C126" s="397"/>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c r="AA126" s="397"/>
      <c r="AB126" s="397"/>
      <c r="AC126" s="397"/>
      <c r="AD126" s="397"/>
      <c r="AE126" s="397"/>
      <c r="AF126" s="397"/>
      <c r="AG126" s="397"/>
      <c r="AH126" s="397"/>
      <c r="AI126" s="397"/>
    </row>
    <row r="127">
      <c r="A127" s="397"/>
      <c r="B127" s="397"/>
      <c r="C127" s="397"/>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c r="AA127" s="397"/>
      <c r="AB127" s="397"/>
      <c r="AC127" s="397"/>
      <c r="AD127" s="397"/>
      <c r="AE127" s="397"/>
      <c r="AF127" s="397"/>
      <c r="AG127" s="397"/>
      <c r="AH127" s="397"/>
      <c r="AI127" s="397"/>
    </row>
    <row r="128">
      <c r="A128" s="397"/>
      <c r="B128" s="397"/>
      <c r="C128" s="397"/>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c r="AA128" s="397"/>
      <c r="AB128" s="397"/>
      <c r="AC128" s="397"/>
      <c r="AD128" s="397"/>
      <c r="AE128" s="397"/>
      <c r="AF128" s="397"/>
      <c r="AG128" s="397"/>
      <c r="AH128" s="397"/>
      <c r="AI128" s="397"/>
    </row>
    <row r="129">
      <c r="A129" s="397"/>
      <c r="B129" s="397"/>
      <c r="C129" s="397"/>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c r="AA129" s="397"/>
      <c r="AB129" s="397"/>
      <c r="AC129" s="397"/>
      <c r="AD129" s="397"/>
      <c r="AE129" s="397"/>
      <c r="AF129" s="397"/>
      <c r="AG129" s="397"/>
      <c r="AH129" s="397"/>
      <c r="AI129" s="397"/>
    </row>
    <row r="130">
      <c r="A130" s="397"/>
      <c r="B130" s="397"/>
      <c r="C130" s="397"/>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c r="AA130" s="397"/>
      <c r="AB130" s="397"/>
      <c r="AC130" s="397"/>
      <c r="AD130" s="397"/>
      <c r="AE130" s="397"/>
      <c r="AF130" s="397"/>
      <c r="AG130" s="397"/>
      <c r="AH130" s="397"/>
      <c r="AI130" s="397"/>
    </row>
    <row r="131">
      <c r="A131" s="397"/>
      <c r="B131" s="397"/>
      <c r="C131" s="397"/>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c r="AA131" s="397"/>
      <c r="AB131" s="397"/>
      <c r="AC131" s="397"/>
      <c r="AD131" s="397"/>
      <c r="AE131" s="397"/>
      <c r="AF131" s="397"/>
      <c r="AG131" s="397"/>
      <c r="AH131" s="397"/>
      <c r="AI131" s="397"/>
    </row>
    <row r="132">
      <c r="A132" s="397"/>
      <c r="B132" s="397"/>
      <c r="C132" s="397"/>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c r="AA132" s="397"/>
      <c r="AB132" s="397"/>
      <c r="AC132" s="397"/>
      <c r="AD132" s="397"/>
      <c r="AE132" s="397"/>
      <c r="AF132" s="397"/>
      <c r="AG132" s="397"/>
      <c r="AH132" s="397"/>
      <c r="AI132" s="397"/>
    </row>
    <row r="133">
      <c r="A133" s="397"/>
      <c r="B133" s="397"/>
      <c r="C133" s="397"/>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c r="AA133" s="397"/>
      <c r="AB133" s="397"/>
      <c r="AC133" s="397"/>
      <c r="AD133" s="397"/>
      <c r="AE133" s="397"/>
      <c r="AF133" s="397"/>
      <c r="AG133" s="397"/>
      <c r="AH133" s="397"/>
      <c r="AI133" s="397"/>
    </row>
    <row r="134">
      <c r="A134" s="397"/>
      <c r="B134" s="397"/>
      <c r="C134" s="397"/>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c r="AA134" s="397"/>
      <c r="AB134" s="397"/>
      <c r="AC134" s="397"/>
      <c r="AD134" s="397"/>
      <c r="AE134" s="397"/>
      <c r="AF134" s="397"/>
      <c r="AG134" s="397"/>
      <c r="AH134" s="397"/>
      <c r="AI134" s="397"/>
    </row>
    <row r="135">
      <c r="A135" s="397"/>
      <c r="B135" s="397"/>
      <c r="C135" s="397"/>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c r="AA135" s="397"/>
      <c r="AB135" s="397"/>
      <c r="AC135" s="397"/>
      <c r="AD135" s="397"/>
      <c r="AE135" s="397"/>
      <c r="AF135" s="397"/>
      <c r="AG135" s="397"/>
      <c r="AH135" s="397"/>
      <c r="AI135" s="397"/>
    </row>
    <row r="136">
      <c r="A136" s="397"/>
      <c r="B136" s="397"/>
      <c r="C136" s="397"/>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c r="AA136" s="397"/>
      <c r="AB136" s="397"/>
      <c r="AC136" s="397"/>
      <c r="AD136" s="397"/>
      <c r="AE136" s="397"/>
      <c r="AF136" s="397"/>
      <c r="AG136" s="397"/>
      <c r="AH136" s="397"/>
      <c r="AI136" s="397"/>
    </row>
    <row r="137">
      <c r="A137" s="397"/>
      <c r="B137" s="397"/>
      <c r="C137" s="397"/>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c r="AA137" s="397"/>
      <c r="AB137" s="397"/>
      <c r="AC137" s="397"/>
      <c r="AD137" s="397"/>
      <c r="AE137" s="397"/>
      <c r="AF137" s="397"/>
      <c r="AG137" s="397"/>
      <c r="AH137" s="397"/>
      <c r="AI137" s="397"/>
    </row>
    <row r="138">
      <c r="A138" s="397"/>
      <c r="B138" s="397"/>
      <c r="C138" s="397"/>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c r="AA138" s="397"/>
      <c r="AB138" s="397"/>
      <c r="AC138" s="397"/>
      <c r="AD138" s="397"/>
      <c r="AE138" s="397"/>
      <c r="AF138" s="397"/>
      <c r="AG138" s="397"/>
      <c r="AH138" s="397"/>
      <c r="AI138" s="397"/>
    </row>
    <row r="139">
      <c r="A139" s="397"/>
      <c r="B139" s="397"/>
      <c r="C139" s="397"/>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c r="AA139" s="397"/>
      <c r="AB139" s="397"/>
      <c r="AC139" s="397"/>
      <c r="AD139" s="397"/>
      <c r="AE139" s="397"/>
      <c r="AF139" s="397"/>
      <c r="AG139" s="397"/>
      <c r="AH139" s="397"/>
      <c r="AI139" s="397"/>
    </row>
    <row r="140">
      <c r="A140" s="397"/>
      <c r="B140" s="397"/>
      <c r="C140" s="397"/>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c r="AA140" s="397"/>
      <c r="AB140" s="397"/>
      <c r="AC140" s="397"/>
      <c r="AD140" s="397"/>
      <c r="AE140" s="397"/>
      <c r="AF140" s="397"/>
      <c r="AG140" s="397"/>
      <c r="AH140" s="397"/>
      <c r="AI140" s="397"/>
    </row>
    <row r="141">
      <c r="A141" s="397"/>
      <c r="B141" s="397"/>
      <c r="C141" s="397"/>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c r="AA141" s="397"/>
      <c r="AB141" s="397"/>
      <c r="AC141" s="397"/>
      <c r="AD141" s="397"/>
      <c r="AE141" s="397"/>
      <c r="AF141" s="397"/>
      <c r="AG141" s="397"/>
      <c r="AH141" s="397"/>
      <c r="AI141" s="397"/>
    </row>
    <row r="142">
      <c r="A142" s="397"/>
      <c r="B142" s="397"/>
      <c r="C142" s="397"/>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c r="AA142" s="397"/>
      <c r="AB142" s="397"/>
      <c r="AC142" s="397"/>
      <c r="AD142" s="397"/>
      <c r="AE142" s="397"/>
      <c r="AF142" s="397"/>
      <c r="AG142" s="397"/>
      <c r="AH142" s="397"/>
      <c r="AI142" s="397"/>
    </row>
    <row r="143">
      <c r="A143" s="397"/>
      <c r="B143" s="397"/>
      <c r="C143" s="397"/>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c r="AA143" s="397"/>
      <c r="AB143" s="397"/>
      <c r="AC143" s="397"/>
      <c r="AD143" s="397"/>
      <c r="AE143" s="397"/>
      <c r="AF143" s="397"/>
      <c r="AG143" s="397"/>
      <c r="AH143" s="397"/>
      <c r="AI143" s="397"/>
    </row>
    <row r="144">
      <c r="A144" s="397"/>
      <c r="B144" s="397"/>
      <c r="C144" s="397"/>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c r="AA144" s="397"/>
      <c r="AB144" s="397"/>
      <c r="AC144" s="397"/>
      <c r="AD144" s="397"/>
      <c r="AE144" s="397"/>
      <c r="AF144" s="397"/>
      <c r="AG144" s="397"/>
      <c r="AH144" s="397"/>
      <c r="AI144" s="397"/>
    </row>
    <row r="145">
      <c r="A145" s="397"/>
      <c r="B145" s="397"/>
      <c r="C145" s="397"/>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c r="AA145" s="397"/>
      <c r="AB145" s="397"/>
      <c r="AC145" s="397"/>
      <c r="AD145" s="397"/>
      <c r="AE145" s="397"/>
      <c r="AF145" s="397"/>
      <c r="AG145" s="397"/>
      <c r="AH145" s="397"/>
      <c r="AI145" s="397"/>
    </row>
    <row r="146">
      <c r="A146" s="397"/>
      <c r="B146" s="397"/>
      <c r="C146" s="397"/>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c r="AA146" s="397"/>
      <c r="AB146" s="397"/>
      <c r="AC146" s="397"/>
      <c r="AD146" s="397"/>
      <c r="AE146" s="397"/>
      <c r="AF146" s="397"/>
      <c r="AG146" s="397"/>
      <c r="AH146" s="397"/>
      <c r="AI146" s="397"/>
    </row>
    <row r="147">
      <c r="A147" s="397"/>
      <c r="B147" s="397"/>
      <c r="C147" s="397"/>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c r="AA147" s="397"/>
      <c r="AB147" s="397"/>
      <c r="AC147" s="397"/>
      <c r="AD147" s="397"/>
      <c r="AE147" s="397"/>
      <c r="AF147" s="397"/>
      <c r="AG147" s="397"/>
      <c r="AH147" s="397"/>
      <c r="AI147" s="397"/>
    </row>
    <row r="148">
      <c r="A148" s="397"/>
      <c r="B148" s="397"/>
      <c r="C148" s="397"/>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c r="AA148" s="397"/>
      <c r="AB148" s="397"/>
      <c r="AC148" s="397"/>
      <c r="AD148" s="397"/>
      <c r="AE148" s="397"/>
      <c r="AF148" s="397"/>
      <c r="AG148" s="397"/>
      <c r="AH148" s="397"/>
      <c r="AI148" s="397"/>
    </row>
    <row r="149">
      <c r="A149" s="397"/>
      <c r="B149" s="397"/>
      <c r="C149" s="397"/>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c r="AA149" s="397"/>
      <c r="AB149" s="397"/>
      <c r="AC149" s="397"/>
      <c r="AD149" s="397"/>
      <c r="AE149" s="397"/>
      <c r="AF149" s="397"/>
      <c r="AG149" s="397"/>
      <c r="AH149" s="397"/>
      <c r="AI149" s="397"/>
    </row>
    <row r="150">
      <c r="A150" s="397"/>
      <c r="B150" s="397"/>
      <c r="C150" s="397"/>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c r="AA150" s="397"/>
      <c r="AB150" s="397"/>
      <c r="AC150" s="397"/>
      <c r="AD150" s="397"/>
      <c r="AE150" s="397"/>
      <c r="AF150" s="397"/>
      <c r="AG150" s="397"/>
      <c r="AH150" s="397"/>
      <c r="AI150" s="397"/>
    </row>
    <row r="151">
      <c r="A151" s="397"/>
      <c r="B151" s="397"/>
      <c r="C151" s="397"/>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c r="AA151" s="397"/>
      <c r="AB151" s="397"/>
      <c r="AC151" s="397"/>
      <c r="AD151" s="397"/>
      <c r="AE151" s="397"/>
      <c r="AF151" s="397"/>
      <c r="AG151" s="397"/>
      <c r="AH151" s="397"/>
      <c r="AI151" s="397"/>
    </row>
    <row r="152">
      <c r="A152" s="397"/>
      <c r="B152" s="397"/>
      <c r="C152" s="397"/>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c r="AA152" s="397"/>
      <c r="AB152" s="397"/>
      <c r="AC152" s="397"/>
      <c r="AD152" s="397"/>
      <c r="AE152" s="397"/>
      <c r="AF152" s="397"/>
      <c r="AG152" s="397"/>
      <c r="AH152" s="397"/>
      <c r="AI152" s="397"/>
    </row>
    <row r="153">
      <c r="A153" s="397"/>
      <c r="B153" s="397"/>
      <c r="C153" s="397"/>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c r="AA153" s="397"/>
      <c r="AB153" s="397"/>
      <c r="AC153" s="397"/>
      <c r="AD153" s="397"/>
      <c r="AE153" s="397"/>
      <c r="AF153" s="397"/>
      <c r="AG153" s="397"/>
      <c r="AH153" s="397"/>
      <c r="AI153" s="397"/>
    </row>
    <row r="154">
      <c r="A154" s="397"/>
      <c r="B154" s="397"/>
      <c r="C154" s="397"/>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c r="AA154" s="397"/>
      <c r="AB154" s="397"/>
      <c r="AC154" s="397"/>
      <c r="AD154" s="397"/>
      <c r="AE154" s="397"/>
      <c r="AF154" s="397"/>
      <c r="AG154" s="397"/>
      <c r="AH154" s="397"/>
      <c r="AI154" s="397"/>
    </row>
    <row r="155">
      <c r="A155" s="397"/>
      <c r="B155" s="397"/>
      <c r="C155" s="397"/>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c r="AA155" s="397"/>
      <c r="AB155" s="397"/>
      <c r="AC155" s="397"/>
      <c r="AD155" s="397"/>
      <c r="AE155" s="397"/>
      <c r="AF155" s="397"/>
      <c r="AG155" s="397"/>
      <c r="AH155" s="397"/>
      <c r="AI155" s="397"/>
    </row>
    <row r="156">
      <c r="A156" s="397"/>
      <c r="B156" s="397"/>
      <c r="C156" s="397"/>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c r="AA156" s="397"/>
      <c r="AB156" s="397"/>
      <c r="AC156" s="397"/>
      <c r="AD156" s="397"/>
      <c r="AE156" s="397"/>
      <c r="AF156" s="397"/>
      <c r="AG156" s="397"/>
      <c r="AH156" s="397"/>
      <c r="AI156" s="397"/>
    </row>
    <row r="157">
      <c r="A157" s="397"/>
      <c r="B157" s="397"/>
      <c r="C157" s="397"/>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c r="AA157" s="397"/>
      <c r="AB157" s="397"/>
      <c r="AC157" s="397"/>
      <c r="AD157" s="397"/>
      <c r="AE157" s="397"/>
      <c r="AF157" s="397"/>
      <c r="AG157" s="397"/>
      <c r="AH157" s="397"/>
      <c r="AI157" s="397"/>
    </row>
    <row r="158">
      <c r="A158" s="397"/>
      <c r="B158" s="397"/>
      <c r="C158" s="397"/>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c r="AA158" s="397"/>
      <c r="AB158" s="397"/>
      <c r="AC158" s="397"/>
      <c r="AD158" s="397"/>
      <c r="AE158" s="397"/>
      <c r="AF158" s="397"/>
      <c r="AG158" s="397"/>
      <c r="AH158" s="397"/>
      <c r="AI158" s="397"/>
    </row>
    <row r="159">
      <c r="A159" s="397"/>
      <c r="B159" s="397"/>
      <c r="C159" s="397"/>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c r="AA159" s="397"/>
      <c r="AB159" s="397"/>
      <c r="AC159" s="397"/>
      <c r="AD159" s="397"/>
      <c r="AE159" s="397"/>
      <c r="AF159" s="397"/>
      <c r="AG159" s="397"/>
      <c r="AH159" s="397"/>
      <c r="AI159" s="397"/>
    </row>
    <row r="160">
      <c r="A160" s="397"/>
      <c r="B160" s="397"/>
      <c r="C160" s="397"/>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c r="AA160" s="397"/>
      <c r="AB160" s="397"/>
      <c r="AC160" s="397"/>
      <c r="AD160" s="397"/>
      <c r="AE160" s="397"/>
      <c r="AF160" s="397"/>
      <c r="AG160" s="397"/>
      <c r="AH160" s="397"/>
      <c r="AI160" s="397"/>
    </row>
    <row r="161">
      <c r="A161" s="397"/>
      <c r="B161" s="397"/>
      <c r="C161" s="397"/>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c r="AA161" s="397"/>
      <c r="AB161" s="397"/>
      <c r="AC161" s="397"/>
      <c r="AD161" s="397"/>
      <c r="AE161" s="397"/>
      <c r="AF161" s="397"/>
      <c r="AG161" s="397"/>
      <c r="AH161" s="397"/>
      <c r="AI161" s="397"/>
    </row>
    <row r="162">
      <c r="A162" s="397"/>
      <c r="B162" s="397"/>
      <c r="C162" s="397"/>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c r="AA162" s="397"/>
      <c r="AB162" s="397"/>
      <c r="AC162" s="397"/>
      <c r="AD162" s="397"/>
      <c r="AE162" s="397"/>
      <c r="AF162" s="397"/>
      <c r="AG162" s="397"/>
      <c r="AH162" s="397"/>
      <c r="AI162" s="397"/>
    </row>
    <row r="163">
      <c r="A163" s="397"/>
      <c r="B163" s="397"/>
      <c r="C163" s="397"/>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c r="AA163" s="397"/>
      <c r="AB163" s="397"/>
      <c r="AC163" s="397"/>
      <c r="AD163" s="397"/>
      <c r="AE163" s="397"/>
      <c r="AF163" s="397"/>
      <c r="AG163" s="397"/>
      <c r="AH163" s="397"/>
      <c r="AI163" s="397"/>
    </row>
    <row r="164">
      <c r="A164" s="397"/>
      <c r="B164" s="397"/>
      <c r="C164" s="397"/>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c r="AA164" s="397"/>
      <c r="AB164" s="397"/>
      <c r="AC164" s="397"/>
      <c r="AD164" s="397"/>
      <c r="AE164" s="397"/>
      <c r="AF164" s="397"/>
      <c r="AG164" s="397"/>
      <c r="AH164" s="397"/>
      <c r="AI164" s="397"/>
    </row>
    <row r="165">
      <c r="A165" s="397"/>
      <c r="B165" s="397"/>
      <c r="C165" s="397"/>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c r="AA165" s="397"/>
      <c r="AB165" s="397"/>
      <c r="AC165" s="397"/>
      <c r="AD165" s="397"/>
      <c r="AE165" s="397"/>
      <c r="AF165" s="397"/>
      <c r="AG165" s="397"/>
      <c r="AH165" s="397"/>
      <c r="AI165" s="397"/>
    </row>
    <row r="166">
      <c r="A166" s="397"/>
      <c r="B166" s="397"/>
      <c r="C166" s="397"/>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c r="AA166" s="397"/>
      <c r="AB166" s="397"/>
      <c r="AC166" s="397"/>
      <c r="AD166" s="397"/>
      <c r="AE166" s="397"/>
      <c r="AF166" s="397"/>
      <c r="AG166" s="397"/>
      <c r="AH166" s="397"/>
      <c r="AI166" s="397"/>
    </row>
    <row r="167">
      <c r="A167" s="397"/>
      <c r="B167" s="397"/>
      <c r="C167" s="397"/>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c r="AA167" s="397"/>
      <c r="AB167" s="397"/>
      <c r="AC167" s="397"/>
      <c r="AD167" s="397"/>
      <c r="AE167" s="397"/>
      <c r="AF167" s="397"/>
      <c r="AG167" s="397"/>
      <c r="AH167" s="397"/>
      <c r="AI167" s="397"/>
    </row>
    <row r="168">
      <c r="A168" s="397"/>
      <c r="B168" s="397"/>
      <c r="C168" s="397"/>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c r="AA168" s="397"/>
      <c r="AB168" s="397"/>
      <c r="AC168" s="397"/>
      <c r="AD168" s="397"/>
      <c r="AE168" s="397"/>
      <c r="AF168" s="397"/>
      <c r="AG168" s="397"/>
      <c r="AH168" s="397"/>
      <c r="AI168" s="397"/>
    </row>
    <row r="169">
      <c r="A169" s="397"/>
      <c r="B169" s="397"/>
      <c r="C169" s="397"/>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c r="AA169" s="397"/>
      <c r="AB169" s="397"/>
      <c r="AC169" s="397"/>
      <c r="AD169" s="397"/>
      <c r="AE169" s="397"/>
      <c r="AF169" s="397"/>
      <c r="AG169" s="397"/>
      <c r="AH169" s="397"/>
      <c r="AI169" s="397"/>
    </row>
    <row r="170">
      <c r="A170" s="397"/>
      <c r="B170" s="397"/>
      <c r="C170" s="397"/>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c r="AA170" s="397"/>
      <c r="AB170" s="397"/>
      <c r="AC170" s="397"/>
      <c r="AD170" s="397"/>
      <c r="AE170" s="397"/>
      <c r="AF170" s="397"/>
      <c r="AG170" s="397"/>
      <c r="AH170" s="397"/>
      <c r="AI170" s="397"/>
    </row>
    <row r="171">
      <c r="A171" s="397"/>
      <c r="B171" s="397"/>
      <c r="C171" s="397"/>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c r="AA171" s="397"/>
      <c r="AB171" s="397"/>
      <c r="AC171" s="397"/>
      <c r="AD171" s="397"/>
      <c r="AE171" s="397"/>
      <c r="AF171" s="397"/>
      <c r="AG171" s="397"/>
      <c r="AH171" s="397"/>
      <c r="AI171" s="397"/>
    </row>
    <row r="172">
      <c r="A172" s="397"/>
      <c r="B172" s="397"/>
      <c r="C172" s="397"/>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c r="AA172" s="397"/>
      <c r="AB172" s="397"/>
      <c r="AC172" s="397"/>
      <c r="AD172" s="397"/>
      <c r="AE172" s="397"/>
      <c r="AF172" s="397"/>
      <c r="AG172" s="397"/>
      <c r="AH172" s="397"/>
      <c r="AI172" s="397"/>
    </row>
    <row r="173">
      <c r="A173" s="397"/>
      <c r="B173" s="397"/>
      <c r="C173" s="397"/>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c r="AA173" s="397"/>
      <c r="AB173" s="397"/>
      <c r="AC173" s="397"/>
      <c r="AD173" s="397"/>
      <c r="AE173" s="397"/>
      <c r="AF173" s="397"/>
      <c r="AG173" s="397"/>
      <c r="AH173" s="397"/>
      <c r="AI173" s="397"/>
    </row>
    <row r="174">
      <c r="A174" s="397"/>
      <c r="B174" s="397"/>
      <c r="C174" s="397"/>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c r="AA174" s="397"/>
      <c r="AB174" s="397"/>
      <c r="AC174" s="397"/>
      <c r="AD174" s="397"/>
      <c r="AE174" s="397"/>
      <c r="AF174" s="397"/>
      <c r="AG174" s="397"/>
      <c r="AH174" s="397"/>
      <c r="AI174" s="397"/>
    </row>
    <row r="175">
      <c r="A175" s="397"/>
      <c r="B175" s="397"/>
      <c r="C175" s="397"/>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c r="AA175" s="397"/>
      <c r="AB175" s="397"/>
      <c r="AC175" s="397"/>
      <c r="AD175" s="397"/>
      <c r="AE175" s="397"/>
      <c r="AF175" s="397"/>
      <c r="AG175" s="397"/>
      <c r="AH175" s="397"/>
      <c r="AI175" s="397"/>
    </row>
    <row r="176">
      <c r="A176" s="397"/>
      <c r="B176" s="397"/>
      <c r="C176" s="397"/>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c r="AA176" s="397"/>
      <c r="AB176" s="397"/>
      <c r="AC176" s="397"/>
      <c r="AD176" s="397"/>
      <c r="AE176" s="397"/>
      <c r="AF176" s="397"/>
      <c r="AG176" s="397"/>
      <c r="AH176" s="397"/>
      <c r="AI176" s="397"/>
    </row>
    <row r="177">
      <c r="A177" s="397"/>
      <c r="B177" s="397"/>
      <c r="C177" s="397"/>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c r="AA177" s="397"/>
      <c r="AB177" s="397"/>
      <c r="AC177" s="397"/>
      <c r="AD177" s="397"/>
      <c r="AE177" s="397"/>
      <c r="AF177" s="397"/>
      <c r="AG177" s="397"/>
      <c r="AH177" s="397"/>
      <c r="AI177" s="397"/>
    </row>
    <row r="178">
      <c r="A178" s="397"/>
      <c r="B178" s="397"/>
      <c r="C178" s="397"/>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c r="AA178" s="397"/>
      <c r="AB178" s="397"/>
      <c r="AC178" s="397"/>
      <c r="AD178" s="397"/>
      <c r="AE178" s="397"/>
      <c r="AF178" s="397"/>
      <c r="AG178" s="397"/>
      <c r="AH178" s="397"/>
      <c r="AI178" s="397"/>
    </row>
    <row r="179">
      <c r="A179" s="397"/>
      <c r="B179" s="397"/>
      <c r="C179" s="397"/>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c r="AA179" s="397"/>
      <c r="AB179" s="397"/>
      <c r="AC179" s="397"/>
      <c r="AD179" s="397"/>
      <c r="AE179" s="397"/>
      <c r="AF179" s="397"/>
      <c r="AG179" s="397"/>
      <c r="AH179" s="397"/>
      <c r="AI179" s="397"/>
    </row>
    <row r="180">
      <c r="A180" s="397"/>
      <c r="B180" s="397"/>
      <c r="C180" s="397"/>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c r="AA180" s="397"/>
      <c r="AB180" s="397"/>
      <c r="AC180" s="397"/>
      <c r="AD180" s="397"/>
      <c r="AE180" s="397"/>
      <c r="AF180" s="397"/>
      <c r="AG180" s="397"/>
      <c r="AH180" s="397"/>
      <c r="AI180" s="397"/>
    </row>
    <row r="181">
      <c r="A181" s="397"/>
      <c r="B181" s="397"/>
      <c r="C181" s="397"/>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c r="AA181" s="397"/>
      <c r="AB181" s="397"/>
      <c r="AC181" s="397"/>
      <c r="AD181" s="397"/>
      <c r="AE181" s="397"/>
      <c r="AF181" s="397"/>
      <c r="AG181" s="397"/>
      <c r="AH181" s="397"/>
      <c r="AI181" s="397"/>
    </row>
    <row r="182">
      <c r="A182" s="397"/>
      <c r="B182" s="397"/>
      <c r="C182" s="397"/>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c r="AA182" s="397"/>
      <c r="AB182" s="397"/>
      <c r="AC182" s="397"/>
      <c r="AD182" s="397"/>
      <c r="AE182" s="397"/>
      <c r="AF182" s="397"/>
      <c r="AG182" s="397"/>
      <c r="AH182" s="397"/>
      <c r="AI182" s="397"/>
    </row>
    <row r="183">
      <c r="A183" s="397"/>
      <c r="B183" s="397"/>
      <c r="C183" s="397"/>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c r="AA183" s="397"/>
      <c r="AB183" s="397"/>
      <c r="AC183" s="397"/>
      <c r="AD183" s="397"/>
      <c r="AE183" s="397"/>
      <c r="AF183" s="397"/>
      <c r="AG183" s="397"/>
      <c r="AH183" s="397"/>
      <c r="AI183" s="397"/>
    </row>
    <row r="184">
      <c r="A184" s="397"/>
      <c r="B184" s="397"/>
      <c r="C184" s="397"/>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c r="AA184" s="397"/>
      <c r="AB184" s="397"/>
      <c r="AC184" s="397"/>
      <c r="AD184" s="397"/>
      <c r="AE184" s="397"/>
      <c r="AF184" s="397"/>
      <c r="AG184" s="397"/>
      <c r="AH184" s="397"/>
      <c r="AI184" s="397"/>
    </row>
    <row r="185">
      <c r="A185" s="397"/>
      <c r="B185" s="397"/>
      <c r="C185" s="397"/>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c r="AA185" s="397"/>
      <c r="AB185" s="397"/>
      <c r="AC185" s="397"/>
      <c r="AD185" s="397"/>
      <c r="AE185" s="397"/>
      <c r="AF185" s="397"/>
      <c r="AG185" s="397"/>
      <c r="AH185" s="397"/>
      <c r="AI185" s="397"/>
    </row>
    <row r="186">
      <c r="A186" s="397"/>
      <c r="B186" s="397"/>
      <c r="C186" s="397"/>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c r="AA186" s="397"/>
      <c r="AB186" s="397"/>
      <c r="AC186" s="397"/>
      <c r="AD186" s="397"/>
      <c r="AE186" s="397"/>
      <c r="AF186" s="397"/>
      <c r="AG186" s="397"/>
      <c r="AH186" s="397"/>
      <c r="AI186" s="397"/>
    </row>
    <row r="187">
      <c r="A187" s="397"/>
      <c r="B187" s="397"/>
      <c r="C187" s="397"/>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c r="AA187" s="397"/>
      <c r="AB187" s="397"/>
      <c r="AC187" s="397"/>
      <c r="AD187" s="397"/>
      <c r="AE187" s="397"/>
      <c r="AF187" s="397"/>
      <c r="AG187" s="397"/>
      <c r="AH187" s="397"/>
      <c r="AI187" s="397"/>
    </row>
    <row r="188">
      <c r="A188" s="397"/>
      <c r="B188" s="397"/>
      <c r="C188" s="397"/>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c r="AA188" s="397"/>
      <c r="AB188" s="397"/>
      <c r="AC188" s="397"/>
      <c r="AD188" s="397"/>
      <c r="AE188" s="397"/>
      <c r="AF188" s="397"/>
      <c r="AG188" s="397"/>
      <c r="AH188" s="397"/>
      <c r="AI188" s="397"/>
    </row>
    <row r="189">
      <c r="A189" s="397"/>
      <c r="B189" s="397"/>
      <c r="C189" s="397"/>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c r="AA189" s="397"/>
      <c r="AB189" s="397"/>
      <c r="AC189" s="397"/>
      <c r="AD189" s="397"/>
      <c r="AE189" s="397"/>
      <c r="AF189" s="397"/>
      <c r="AG189" s="397"/>
      <c r="AH189" s="397"/>
      <c r="AI189" s="397"/>
    </row>
    <row r="190">
      <c r="A190" s="397"/>
      <c r="B190" s="397"/>
      <c r="C190" s="397"/>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c r="AA190" s="397"/>
      <c r="AB190" s="397"/>
      <c r="AC190" s="397"/>
      <c r="AD190" s="397"/>
      <c r="AE190" s="397"/>
      <c r="AF190" s="397"/>
      <c r="AG190" s="397"/>
      <c r="AH190" s="397"/>
      <c r="AI190" s="397"/>
    </row>
    <row r="191">
      <c r="A191" s="397"/>
      <c r="B191" s="397"/>
      <c r="C191" s="397"/>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c r="AA191" s="397"/>
      <c r="AB191" s="397"/>
      <c r="AC191" s="397"/>
      <c r="AD191" s="397"/>
      <c r="AE191" s="397"/>
      <c r="AF191" s="397"/>
      <c r="AG191" s="397"/>
      <c r="AH191" s="397"/>
      <c r="AI191" s="397"/>
    </row>
    <row r="192">
      <c r="A192" s="397"/>
      <c r="B192" s="397"/>
      <c r="C192" s="397"/>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c r="AA192" s="397"/>
      <c r="AB192" s="397"/>
      <c r="AC192" s="397"/>
      <c r="AD192" s="397"/>
      <c r="AE192" s="397"/>
      <c r="AF192" s="397"/>
      <c r="AG192" s="397"/>
      <c r="AH192" s="397"/>
      <c r="AI192" s="397"/>
    </row>
    <row r="193">
      <c r="A193" s="397"/>
      <c r="B193" s="397"/>
      <c r="C193" s="397"/>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c r="AA193" s="397"/>
      <c r="AB193" s="397"/>
      <c r="AC193" s="397"/>
      <c r="AD193" s="397"/>
      <c r="AE193" s="397"/>
      <c r="AF193" s="397"/>
      <c r="AG193" s="397"/>
      <c r="AH193" s="397"/>
      <c r="AI193" s="397"/>
    </row>
    <row r="194">
      <c r="A194" s="397"/>
      <c r="B194" s="397"/>
      <c r="C194" s="397"/>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c r="AA194" s="397"/>
      <c r="AB194" s="397"/>
      <c r="AC194" s="397"/>
      <c r="AD194" s="397"/>
      <c r="AE194" s="397"/>
      <c r="AF194" s="397"/>
      <c r="AG194" s="397"/>
      <c r="AH194" s="397"/>
      <c r="AI194" s="397"/>
    </row>
    <row r="195">
      <c r="A195" s="397"/>
      <c r="B195" s="397"/>
      <c r="C195" s="397"/>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c r="AA195" s="397"/>
      <c r="AB195" s="397"/>
      <c r="AC195" s="397"/>
      <c r="AD195" s="397"/>
      <c r="AE195" s="397"/>
      <c r="AF195" s="397"/>
      <c r="AG195" s="397"/>
      <c r="AH195" s="397"/>
      <c r="AI195" s="397"/>
    </row>
    <row r="196">
      <c r="A196" s="397"/>
      <c r="B196" s="397"/>
      <c r="C196" s="397"/>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c r="AA196" s="397"/>
      <c r="AB196" s="397"/>
      <c r="AC196" s="397"/>
      <c r="AD196" s="397"/>
      <c r="AE196" s="397"/>
      <c r="AF196" s="397"/>
      <c r="AG196" s="397"/>
      <c r="AH196" s="397"/>
      <c r="AI196" s="397"/>
    </row>
    <row r="197">
      <c r="A197" s="397"/>
      <c r="B197" s="397"/>
      <c r="C197" s="397"/>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c r="AA197" s="397"/>
      <c r="AB197" s="397"/>
      <c r="AC197" s="397"/>
      <c r="AD197" s="397"/>
      <c r="AE197" s="397"/>
      <c r="AF197" s="397"/>
      <c r="AG197" s="397"/>
      <c r="AH197" s="397"/>
      <c r="AI197" s="397"/>
    </row>
    <row r="198">
      <c r="A198" s="397"/>
      <c r="B198" s="397"/>
      <c r="C198" s="397"/>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c r="AA198" s="397"/>
      <c r="AB198" s="397"/>
      <c r="AC198" s="397"/>
      <c r="AD198" s="397"/>
      <c r="AE198" s="397"/>
      <c r="AF198" s="397"/>
      <c r="AG198" s="397"/>
      <c r="AH198" s="397"/>
      <c r="AI198" s="397"/>
    </row>
    <row r="199">
      <c r="A199" s="397"/>
      <c r="B199" s="397"/>
      <c r="C199" s="397"/>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c r="AA199" s="397"/>
      <c r="AB199" s="397"/>
      <c r="AC199" s="397"/>
      <c r="AD199" s="397"/>
      <c r="AE199" s="397"/>
      <c r="AF199" s="397"/>
      <c r="AG199" s="397"/>
      <c r="AH199" s="397"/>
      <c r="AI199" s="397"/>
    </row>
    <row r="200">
      <c r="A200" s="397"/>
      <c r="B200" s="397"/>
      <c r="C200" s="397"/>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c r="AA200" s="397"/>
      <c r="AB200" s="397"/>
      <c r="AC200" s="397"/>
      <c r="AD200" s="397"/>
      <c r="AE200" s="397"/>
      <c r="AF200" s="397"/>
      <c r="AG200" s="397"/>
      <c r="AH200" s="397"/>
      <c r="AI200" s="397"/>
    </row>
    <row r="201">
      <c r="A201" s="397"/>
      <c r="B201" s="397"/>
      <c r="C201" s="397"/>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c r="AA201" s="397"/>
      <c r="AB201" s="397"/>
      <c r="AC201" s="397"/>
      <c r="AD201" s="397"/>
      <c r="AE201" s="397"/>
      <c r="AF201" s="397"/>
      <c r="AG201" s="397"/>
      <c r="AH201" s="397"/>
      <c r="AI201" s="397"/>
    </row>
    <row r="202">
      <c r="A202" s="397"/>
      <c r="B202" s="397"/>
      <c r="C202" s="397"/>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c r="AA202" s="397"/>
      <c r="AB202" s="397"/>
      <c r="AC202" s="397"/>
      <c r="AD202" s="397"/>
      <c r="AE202" s="397"/>
      <c r="AF202" s="397"/>
      <c r="AG202" s="397"/>
      <c r="AH202" s="397"/>
      <c r="AI202" s="397"/>
    </row>
    <row r="203">
      <c r="A203" s="397"/>
      <c r="B203" s="397"/>
      <c r="C203" s="397"/>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c r="AA203" s="397"/>
      <c r="AB203" s="397"/>
      <c r="AC203" s="397"/>
      <c r="AD203" s="397"/>
      <c r="AE203" s="397"/>
      <c r="AF203" s="397"/>
      <c r="AG203" s="397"/>
      <c r="AH203" s="397"/>
      <c r="AI203" s="397"/>
    </row>
    <row r="204">
      <c r="A204" s="397"/>
      <c r="B204" s="397"/>
      <c r="C204" s="397"/>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c r="AA204" s="397"/>
      <c r="AB204" s="397"/>
      <c r="AC204" s="397"/>
      <c r="AD204" s="397"/>
      <c r="AE204" s="397"/>
      <c r="AF204" s="397"/>
      <c r="AG204" s="397"/>
      <c r="AH204" s="397"/>
      <c r="AI204" s="397"/>
    </row>
    <row r="205">
      <c r="A205" s="397"/>
      <c r="B205" s="397"/>
      <c r="C205" s="397"/>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c r="AA205" s="397"/>
      <c r="AB205" s="397"/>
      <c r="AC205" s="397"/>
      <c r="AD205" s="397"/>
      <c r="AE205" s="397"/>
      <c r="AF205" s="397"/>
      <c r="AG205" s="397"/>
      <c r="AH205" s="397"/>
      <c r="AI205" s="397"/>
    </row>
    <row r="206">
      <c r="A206" s="397"/>
      <c r="B206" s="397"/>
      <c r="C206" s="397"/>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c r="AA206" s="397"/>
      <c r="AB206" s="397"/>
      <c r="AC206" s="397"/>
      <c r="AD206" s="397"/>
      <c r="AE206" s="397"/>
      <c r="AF206" s="397"/>
      <c r="AG206" s="397"/>
      <c r="AH206" s="397"/>
      <c r="AI206" s="397"/>
    </row>
    <row r="207">
      <c r="A207" s="397"/>
      <c r="B207" s="397"/>
      <c r="C207" s="397"/>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c r="AA207" s="397"/>
      <c r="AB207" s="397"/>
      <c r="AC207" s="397"/>
      <c r="AD207" s="397"/>
      <c r="AE207" s="397"/>
      <c r="AF207" s="397"/>
      <c r="AG207" s="397"/>
      <c r="AH207" s="397"/>
      <c r="AI207" s="397"/>
    </row>
    <row r="208">
      <c r="A208" s="397"/>
      <c r="B208" s="397"/>
      <c r="C208" s="397"/>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c r="AA208" s="397"/>
      <c r="AB208" s="397"/>
      <c r="AC208" s="397"/>
      <c r="AD208" s="397"/>
      <c r="AE208" s="397"/>
      <c r="AF208" s="397"/>
      <c r="AG208" s="397"/>
      <c r="AH208" s="397"/>
      <c r="AI208" s="397"/>
    </row>
    <row r="209">
      <c r="A209" s="397"/>
      <c r="B209" s="397"/>
      <c r="C209" s="397"/>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c r="AA209" s="397"/>
      <c r="AB209" s="397"/>
      <c r="AC209" s="397"/>
      <c r="AD209" s="397"/>
      <c r="AE209" s="397"/>
      <c r="AF209" s="397"/>
      <c r="AG209" s="397"/>
      <c r="AH209" s="397"/>
      <c r="AI209" s="397"/>
    </row>
    <row r="210">
      <c r="A210" s="397"/>
      <c r="B210" s="397"/>
      <c r="C210" s="397"/>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c r="AA210" s="397"/>
      <c r="AB210" s="397"/>
      <c r="AC210" s="397"/>
      <c r="AD210" s="397"/>
      <c r="AE210" s="397"/>
      <c r="AF210" s="397"/>
      <c r="AG210" s="397"/>
      <c r="AH210" s="397"/>
      <c r="AI210" s="397"/>
    </row>
    <row r="211">
      <c r="A211" s="397"/>
      <c r="B211" s="397"/>
      <c r="C211" s="397"/>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c r="AA211" s="397"/>
      <c r="AB211" s="397"/>
      <c r="AC211" s="397"/>
      <c r="AD211" s="397"/>
      <c r="AE211" s="397"/>
      <c r="AF211" s="397"/>
      <c r="AG211" s="397"/>
      <c r="AH211" s="397"/>
      <c r="AI211" s="397"/>
    </row>
    <row r="212">
      <c r="A212" s="397"/>
      <c r="B212" s="397"/>
      <c r="C212" s="397"/>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c r="AA212" s="397"/>
      <c r="AB212" s="397"/>
      <c r="AC212" s="397"/>
      <c r="AD212" s="397"/>
      <c r="AE212" s="397"/>
      <c r="AF212" s="397"/>
      <c r="AG212" s="397"/>
      <c r="AH212" s="397"/>
      <c r="AI212" s="397"/>
    </row>
    <row r="213">
      <c r="A213" s="397"/>
      <c r="B213" s="397"/>
      <c r="C213" s="397"/>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c r="AA213" s="397"/>
      <c r="AB213" s="397"/>
      <c r="AC213" s="397"/>
      <c r="AD213" s="397"/>
      <c r="AE213" s="397"/>
      <c r="AF213" s="397"/>
      <c r="AG213" s="397"/>
      <c r="AH213" s="397"/>
      <c r="AI213" s="397"/>
    </row>
    <row r="214">
      <c r="A214" s="397"/>
      <c r="B214" s="397"/>
      <c r="C214" s="397"/>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c r="AA214" s="397"/>
      <c r="AB214" s="397"/>
      <c r="AC214" s="397"/>
      <c r="AD214" s="397"/>
      <c r="AE214" s="397"/>
      <c r="AF214" s="397"/>
      <c r="AG214" s="397"/>
      <c r="AH214" s="397"/>
      <c r="AI214" s="397"/>
    </row>
    <row r="215">
      <c r="A215" s="397"/>
      <c r="B215" s="397"/>
      <c r="C215" s="397"/>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c r="AA215" s="397"/>
      <c r="AB215" s="397"/>
      <c r="AC215" s="397"/>
      <c r="AD215" s="397"/>
      <c r="AE215" s="397"/>
      <c r="AF215" s="397"/>
      <c r="AG215" s="397"/>
      <c r="AH215" s="397"/>
      <c r="AI215" s="397"/>
    </row>
    <row r="216">
      <c r="A216" s="397"/>
      <c r="B216" s="397"/>
      <c r="C216" s="397"/>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c r="AA216" s="397"/>
      <c r="AB216" s="397"/>
      <c r="AC216" s="397"/>
      <c r="AD216" s="397"/>
      <c r="AE216" s="397"/>
      <c r="AF216" s="397"/>
      <c r="AG216" s="397"/>
      <c r="AH216" s="397"/>
      <c r="AI216" s="397"/>
    </row>
    <row r="217">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c r="AA217" s="397"/>
      <c r="AB217" s="397"/>
      <c r="AC217" s="397"/>
      <c r="AD217" s="397"/>
      <c r="AE217" s="397"/>
      <c r="AF217" s="397"/>
      <c r="AG217" s="397"/>
      <c r="AH217" s="397"/>
      <c r="AI217" s="397"/>
    </row>
    <row r="218">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c r="AA218" s="397"/>
      <c r="AB218" s="397"/>
      <c r="AC218" s="397"/>
      <c r="AD218" s="397"/>
      <c r="AE218" s="397"/>
      <c r="AF218" s="397"/>
      <c r="AG218" s="397"/>
      <c r="AH218" s="397"/>
      <c r="AI218" s="397"/>
    </row>
    <row r="219">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c r="AA219" s="397"/>
      <c r="AB219" s="397"/>
      <c r="AC219" s="397"/>
      <c r="AD219" s="397"/>
      <c r="AE219" s="397"/>
      <c r="AF219" s="397"/>
      <c r="AG219" s="397"/>
      <c r="AH219" s="397"/>
      <c r="AI219" s="397"/>
    </row>
    <row r="220">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c r="AA220" s="397"/>
      <c r="AB220" s="397"/>
      <c r="AC220" s="397"/>
      <c r="AD220" s="397"/>
      <c r="AE220" s="397"/>
      <c r="AF220" s="397"/>
      <c r="AG220" s="397"/>
      <c r="AH220" s="397"/>
      <c r="AI220" s="397"/>
    </row>
    <row r="22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c r="AA221" s="397"/>
      <c r="AB221" s="397"/>
      <c r="AC221" s="397"/>
      <c r="AD221" s="397"/>
      <c r="AE221" s="397"/>
      <c r="AF221" s="397"/>
      <c r="AG221" s="397"/>
      <c r="AH221" s="397"/>
      <c r="AI221" s="397"/>
    </row>
    <row r="222">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c r="AA222" s="397"/>
      <c r="AB222" s="397"/>
      <c r="AC222" s="397"/>
      <c r="AD222" s="397"/>
      <c r="AE222" s="397"/>
      <c r="AF222" s="397"/>
      <c r="AG222" s="397"/>
      <c r="AH222" s="397"/>
      <c r="AI222" s="397"/>
    </row>
    <row r="223">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c r="AA223" s="397"/>
      <c r="AB223" s="397"/>
      <c r="AC223" s="397"/>
      <c r="AD223" s="397"/>
      <c r="AE223" s="397"/>
      <c r="AF223" s="397"/>
      <c r="AG223" s="397"/>
      <c r="AH223" s="397"/>
      <c r="AI223" s="397"/>
    </row>
    <row r="224">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c r="AA224" s="397"/>
      <c r="AB224" s="397"/>
      <c r="AC224" s="397"/>
      <c r="AD224" s="397"/>
      <c r="AE224" s="397"/>
      <c r="AF224" s="397"/>
      <c r="AG224" s="397"/>
      <c r="AH224" s="397"/>
      <c r="AI224" s="397"/>
    </row>
    <row r="225">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c r="AA225" s="397"/>
      <c r="AB225" s="397"/>
      <c r="AC225" s="397"/>
      <c r="AD225" s="397"/>
      <c r="AE225" s="397"/>
      <c r="AF225" s="397"/>
      <c r="AG225" s="397"/>
      <c r="AH225" s="397"/>
      <c r="AI225" s="397"/>
    </row>
    <row r="226">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c r="AA226" s="397"/>
      <c r="AB226" s="397"/>
      <c r="AC226" s="397"/>
      <c r="AD226" s="397"/>
      <c r="AE226" s="397"/>
      <c r="AF226" s="397"/>
      <c r="AG226" s="397"/>
      <c r="AH226" s="397"/>
      <c r="AI226" s="397"/>
    </row>
    <row r="227">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c r="AA227" s="397"/>
      <c r="AB227" s="397"/>
      <c r="AC227" s="397"/>
      <c r="AD227" s="397"/>
      <c r="AE227" s="397"/>
      <c r="AF227" s="397"/>
      <c r="AG227" s="397"/>
      <c r="AH227" s="397"/>
      <c r="AI227" s="397"/>
    </row>
    <row r="228">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c r="AA228" s="397"/>
      <c r="AB228" s="397"/>
      <c r="AC228" s="397"/>
      <c r="AD228" s="397"/>
      <c r="AE228" s="397"/>
      <c r="AF228" s="397"/>
      <c r="AG228" s="397"/>
      <c r="AH228" s="397"/>
      <c r="AI228" s="397"/>
    </row>
    <row r="229">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c r="AA229" s="397"/>
      <c r="AB229" s="397"/>
      <c r="AC229" s="397"/>
      <c r="AD229" s="397"/>
      <c r="AE229" s="397"/>
      <c r="AF229" s="397"/>
      <c r="AG229" s="397"/>
      <c r="AH229" s="397"/>
      <c r="AI229" s="397"/>
    </row>
    <row r="230">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c r="AA230" s="397"/>
      <c r="AB230" s="397"/>
      <c r="AC230" s="397"/>
      <c r="AD230" s="397"/>
      <c r="AE230" s="397"/>
      <c r="AF230" s="397"/>
      <c r="AG230" s="397"/>
      <c r="AH230" s="397"/>
      <c r="AI230" s="397"/>
    </row>
    <row r="23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c r="AA231" s="397"/>
      <c r="AB231" s="397"/>
      <c r="AC231" s="397"/>
      <c r="AD231" s="397"/>
      <c r="AE231" s="397"/>
      <c r="AF231" s="397"/>
      <c r="AG231" s="397"/>
      <c r="AH231" s="397"/>
      <c r="AI231" s="397"/>
    </row>
    <row r="232">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c r="AA232" s="397"/>
      <c r="AB232" s="397"/>
      <c r="AC232" s="397"/>
      <c r="AD232" s="397"/>
      <c r="AE232" s="397"/>
      <c r="AF232" s="397"/>
      <c r="AG232" s="397"/>
      <c r="AH232" s="397"/>
      <c r="AI232" s="397"/>
    </row>
    <row r="233">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c r="AA233" s="397"/>
      <c r="AB233" s="397"/>
      <c r="AC233" s="397"/>
      <c r="AD233" s="397"/>
      <c r="AE233" s="397"/>
      <c r="AF233" s="397"/>
      <c r="AG233" s="397"/>
      <c r="AH233" s="397"/>
      <c r="AI233" s="397"/>
    </row>
    <row r="234">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c r="AA234" s="397"/>
      <c r="AB234" s="397"/>
      <c r="AC234" s="397"/>
      <c r="AD234" s="397"/>
      <c r="AE234" s="397"/>
      <c r="AF234" s="397"/>
      <c r="AG234" s="397"/>
      <c r="AH234" s="397"/>
      <c r="AI234" s="397"/>
    </row>
    <row r="235">
      <c r="A235" s="397"/>
      <c r="B235" s="397"/>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c r="AA235" s="397"/>
      <c r="AB235" s="397"/>
      <c r="AC235" s="397"/>
      <c r="AD235" s="397"/>
      <c r="AE235" s="397"/>
      <c r="AF235" s="397"/>
      <c r="AG235" s="397"/>
      <c r="AH235" s="397"/>
      <c r="AI235" s="397"/>
    </row>
    <row r="236">
      <c r="A236" s="397"/>
      <c r="B236" s="397"/>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c r="AA236" s="397"/>
      <c r="AB236" s="397"/>
      <c r="AC236" s="397"/>
      <c r="AD236" s="397"/>
      <c r="AE236" s="397"/>
      <c r="AF236" s="397"/>
      <c r="AG236" s="397"/>
      <c r="AH236" s="397"/>
      <c r="AI236" s="397"/>
    </row>
    <row r="237">
      <c r="A237" s="397"/>
      <c r="B237" s="397"/>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c r="AA237" s="397"/>
      <c r="AB237" s="397"/>
      <c r="AC237" s="397"/>
      <c r="AD237" s="397"/>
      <c r="AE237" s="397"/>
      <c r="AF237" s="397"/>
      <c r="AG237" s="397"/>
      <c r="AH237" s="397"/>
      <c r="AI237" s="397"/>
    </row>
    <row r="238">
      <c r="A238" s="397"/>
      <c r="B238" s="397"/>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c r="AA238" s="397"/>
      <c r="AB238" s="397"/>
      <c r="AC238" s="397"/>
      <c r="AD238" s="397"/>
      <c r="AE238" s="397"/>
      <c r="AF238" s="397"/>
      <c r="AG238" s="397"/>
      <c r="AH238" s="397"/>
      <c r="AI238" s="397"/>
    </row>
    <row r="239">
      <c r="A239" s="397"/>
      <c r="B239" s="397"/>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c r="AA239" s="397"/>
      <c r="AB239" s="397"/>
      <c r="AC239" s="397"/>
      <c r="AD239" s="397"/>
      <c r="AE239" s="397"/>
      <c r="AF239" s="397"/>
      <c r="AG239" s="397"/>
      <c r="AH239" s="397"/>
      <c r="AI239" s="397"/>
    </row>
    <row r="240">
      <c r="A240" s="397"/>
      <c r="B240" s="397"/>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c r="AA240" s="397"/>
      <c r="AB240" s="397"/>
      <c r="AC240" s="397"/>
      <c r="AD240" s="397"/>
      <c r="AE240" s="397"/>
      <c r="AF240" s="397"/>
      <c r="AG240" s="397"/>
      <c r="AH240" s="397"/>
      <c r="AI240" s="397"/>
    </row>
    <row r="241">
      <c r="A241" s="397"/>
      <c r="B241" s="397"/>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c r="AA241" s="397"/>
      <c r="AB241" s="397"/>
      <c r="AC241" s="397"/>
      <c r="AD241" s="397"/>
      <c r="AE241" s="397"/>
      <c r="AF241" s="397"/>
      <c r="AG241" s="397"/>
      <c r="AH241" s="397"/>
      <c r="AI241" s="397"/>
    </row>
    <row r="242">
      <c r="A242" s="397"/>
      <c r="B242" s="397"/>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c r="AA242" s="397"/>
      <c r="AB242" s="397"/>
      <c r="AC242" s="397"/>
      <c r="AD242" s="397"/>
      <c r="AE242" s="397"/>
      <c r="AF242" s="397"/>
      <c r="AG242" s="397"/>
      <c r="AH242" s="397"/>
      <c r="AI242" s="397"/>
    </row>
    <row r="243">
      <c r="A243" s="397"/>
      <c r="B243" s="397"/>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c r="AA243" s="397"/>
      <c r="AB243" s="397"/>
      <c r="AC243" s="397"/>
      <c r="AD243" s="397"/>
      <c r="AE243" s="397"/>
      <c r="AF243" s="397"/>
      <c r="AG243" s="397"/>
      <c r="AH243" s="397"/>
      <c r="AI243" s="397"/>
    </row>
    <row r="244">
      <c r="A244" s="397"/>
      <c r="B244" s="397"/>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c r="AA244" s="397"/>
      <c r="AB244" s="397"/>
      <c r="AC244" s="397"/>
      <c r="AD244" s="397"/>
      <c r="AE244" s="397"/>
      <c r="AF244" s="397"/>
      <c r="AG244" s="397"/>
      <c r="AH244" s="397"/>
      <c r="AI244" s="397"/>
    </row>
    <row r="245">
      <c r="A245" s="397"/>
      <c r="B245" s="397"/>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c r="AA245" s="397"/>
      <c r="AB245" s="397"/>
      <c r="AC245" s="397"/>
      <c r="AD245" s="397"/>
      <c r="AE245" s="397"/>
      <c r="AF245" s="397"/>
      <c r="AG245" s="397"/>
      <c r="AH245" s="397"/>
      <c r="AI245" s="397"/>
    </row>
    <row r="246">
      <c r="A246" s="397"/>
      <c r="B246" s="397"/>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c r="AA246" s="397"/>
      <c r="AB246" s="397"/>
      <c r="AC246" s="397"/>
      <c r="AD246" s="397"/>
      <c r="AE246" s="397"/>
      <c r="AF246" s="397"/>
      <c r="AG246" s="397"/>
      <c r="AH246" s="397"/>
      <c r="AI246" s="397"/>
    </row>
    <row r="247">
      <c r="A247" s="397"/>
      <c r="B247" s="397"/>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c r="AA247" s="397"/>
      <c r="AB247" s="397"/>
      <c r="AC247" s="397"/>
      <c r="AD247" s="397"/>
      <c r="AE247" s="397"/>
      <c r="AF247" s="397"/>
      <c r="AG247" s="397"/>
      <c r="AH247" s="397"/>
      <c r="AI247" s="397"/>
    </row>
    <row r="248">
      <c r="A248" s="397"/>
      <c r="B248" s="397"/>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c r="AA248" s="397"/>
      <c r="AB248" s="397"/>
      <c r="AC248" s="397"/>
      <c r="AD248" s="397"/>
      <c r="AE248" s="397"/>
      <c r="AF248" s="397"/>
      <c r="AG248" s="397"/>
      <c r="AH248" s="397"/>
      <c r="AI248" s="397"/>
    </row>
    <row r="249">
      <c r="A249" s="397"/>
      <c r="B249" s="397"/>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c r="AA249" s="397"/>
      <c r="AB249" s="397"/>
      <c r="AC249" s="397"/>
      <c r="AD249" s="397"/>
      <c r="AE249" s="397"/>
      <c r="AF249" s="397"/>
      <c r="AG249" s="397"/>
      <c r="AH249" s="397"/>
      <c r="AI249" s="397"/>
    </row>
    <row r="250">
      <c r="A250" s="397"/>
      <c r="B250" s="397"/>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c r="AA250" s="397"/>
      <c r="AB250" s="397"/>
      <c r="AC250" s="397"/>
      <c r="AD250" s="397"/>
      <c r="AE250" s="397"/>
      <c r="AF250" s="397"/>
      <c r="AG250" s="397"/>
      <c r="AH250" s="397"/>
      <c r="AI250" s="397"/>
    </row>
    <row r="251">
      <c r="A251" s="397"/>
      <c r="B251" s="397"/>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c r="AA251" s="397"/>
      <c r="AB251" s="397"/>
      <c r="AC251" s="397"/>
      <c r="AD251" s="397"/>
      <c r="AE251" s="397"/>
      <c r="AF251" s="397"/>
      <c r="AG251" s="397"/>
      <c r="AH251" s="397"/>
      <c r="AI251" s="397"/>
    </row>
    <row r="252">
      <c r="A252" s="397"/>
      <c r="B252" s="397"/>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c r="AA252" s="397"/>
      <c r="AB252" s="397"/>
      <c r="AC252" s="397"/>
      <c r="AD252" s="397"/>
      <c r="AE252" s="397"/>
      <c r="AF252" s="397"/>
      <c r="AG252" s="397"/>
      <c r="AH252" s="397"/>
      <c r="AI252" s="397"/>
    </row>
    <row r="253">
      <c r="A253" s="397"/>
      <c r="B253" s="397"/>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c r="AA253" s="397"/>
      <c r="AB253" s="397"/>
      <c r="AC253" s="397"/>
      <c r="AD253" s="397"/>
      <c r="AE253" s="397"/>
      <c r="AF253" s="397"/>
      <c r="AG253" s="397"/>
      <c r="AH253" s="397"/>
      <c r="AI253" s="397"/>
    </row>
    <row r="254">
      <c r="A254" s="397"/>
      <c r="B254" s="397"/>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c r="AA254" s="397"/>
      <c r="AB254" s="397"/>
      <c r="AC254" s="397"/>
      <c r="AD254" s="397"/>
      <c r="AE254" s="397"/>
      <c r="AF254" s="397"/>
      <c r="AG254" s="397"/>
      <c r="AH254" s="397"/>
      <c r="AI254" s="397"/>
    </row>
    <row r="255">
      <c r="A255" s="397"/>
      <c r="B255" s="397"/>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c r="AA255" s="397"/>
      <c r="AB255" s="397"/>
      <c r="AC255" s="397"/>
      <c r="AD255" s="397"/>
      <c r="AE255" s="397"/>
      <c r="AF255" s="397"/>
      <c r="AG255" s="397"/>
      <c r="AH255" s="397"/>
      <c r="AI255" s="397"/>
    </row>
    <row r="256">
      <c r="A256" s="397"/>
      <c r="B256" s="397"/>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c r="AA256" s="397"/>
      <c r="AB256" s="397"/>
      <c r="AC256" s="397"/>
      <c r="AD256" s="397"/>
      <c r="AE256" s="397"/>
      <c r="AF256" s="397"/>
      <c r="AG256" s="397"/>
      <c r="AH256" s="397"/>
      <c r="AI256" s="397"/>
    </row>
    <row r="257">
      <c r="A257" s="397"/>
      <c r="B257" s="397"/>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c r="AA257" s="397"/>
      <c r="AB257" s="397"/>
      <c r="AC257" s="397"/>
      <c r="AD257" s="397"/>
      <c r="AE257" s="397"/>
      <c r="AF257" s="397"/>
      <c r="AG257" s="397"/>
      <c r="AH257" s="397"/>
      <c r="AI257" s="397"/>
    </row>
    <row r="258">
      <c r="A258" s="397"/>
      <c r="B258" s="397"/>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c r="AA258" s="397"/>
      <c r="AB258" s="397"/>
      <c r="AC258" s="397"/>
      <c r="AD258" s="397"/>
      <c r="AE258" s="397"/>
      <c r="AF258" s="397"/>
      <c r="AG258" s="397"/>
      <c r="AH258" s="397"/>
      <c r="AI258" s="397"/>
    </row>
    <row r="259">
      <c r="A259" s="397"/>
      <c r="B259" s="397"/>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c r="AA259" s="397"/>
      <c r="AB259" s="397"/>
      <c r="AC259" s="397"/>
      <c r="AD259" s="397"/>
      <c r="AE259" s="397"/>
      <c r="AF259" s="397"/>
      <c r="AG259" s="397"/>
      <c r="AH259" s="397"/>
      <c r="AI259" s="397"/>
    </row>
    <row r="260">
      <c r="A260" s="397"/>
      <c r="B260" s="397"/>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c r="AA260" s="397"/>
      <c r="AB260" s="397"/>
      <c r="AC260" s="397"/>
      <c r="AD260" s="397"/>
      <c r="AE260" s="397"/>
      <c r="AF260" s="397"/>
      <c r="AG260" s="397"/>
      <c r="AH260" s="397"/>
      <c r="AI260" s="397"/>
    </row>
    <row r="261">
      <c r="A261" s="397"/>
      <c r="B261" s="397"/>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c r="AA261" s="397"/>
      <c r="AB261" s="397"/>
      <c r="AC261" s="397"/>
      <c r="AD261" s="397"/>
      <c r="AE261" s="397"/>
      <c r="AF261" s="397"/>
      <c r="AG261" s="397"/>
      <c r="AH261" s="397"/>
      <c r="AI261" s="397"/>
    </row>
    <row r="262">
      <c r="A262" s="397"/>
      <c r="B262" s="397"/>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c r="AA262" s="397"/>
      <c r="AB262" s="397"/>
      <c r="AC262" s="397"/>
      <c r="AD262" s="397"/>
      <c r="AE262" s="397"/>
      <c r="AF262" s="397"/>
      <c r="AG262" s="397"/>
      <c r="AH262" s="397"/>
      <c r="AI262" s="397"/>
    </row>
    <row r="263">
      <c r="A263" s="397"/>
      <c r="B263" s="397"/>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c r="AA263" s="397"/>
      <c r="AB263" s="397"/>
      <c r="AC263" s="397"/>
      <c r="AD263" s="397"/>
      <c r="AE263" s="397"/>
      <c r="AF263" s="397"/>
      <c r="AG263" s="397"/>
      <c r="AH263" s="397"/>
      <c r="AI263" s="397"/>
    </row>
    <row r="264">
      <c r="A264" s="397"/>
      <c r="B264" s="397"/>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c r="AA264" s="397"/>
      <c r="AB264" s="397"/>
      <c r="AC264" s="397"/>
      <c r="AD264" s="397"/>
      <c r="AE264" s="397"/>
      <c r="AF264" s="397"/>
      <c r="AG264" s="397"/>
      <c r="AH264" s="397"/>
      <c r="AI264" s="397"/>
    </row>
    <row r="265">
      <c r="A265" s="397"/>
      <c r="B265" s="397"/>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c r="AA265" s="397"/>
      <c r="AB265" s="397"/>
      <c r="AC265" s="397"/>
      <c r="AD265" s="397"/>
      <c r="AE265" s="397"/>
      <c r="AF265" s="397"/>
      <c r="AG265" s="397"/>
      <c r="AH265" s="397"/>
      <c r="AI265" s="397"/>
    </row>
    <row r="266">
      <c r="A266" s="397"/>
      <c r="B266" s="397"/>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c r="AA266" s="397"/>
      <c r="AB266" s="397"/>
      <c r="AC266" s="397"/>
      <c r="AD266" s="397"/>
      <c r="AE266" s="397"/>
      <c r="AF266" s="397"/>
      <c r="AG266" s="397"/>
      <c r="AH266" s="397"/>
      <c r="AI266" s="397"/>
    </row>
    <row r="267">
      <c r="A267" s="397"/>
      <c r="B267" s="397"/>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c r="AA267" s="397"/>
      <c r="AB267" s="397"/>
      <c r="AC267" s="397"/>
      <c r="AD267" s="397"/>
      <c r="AE267" s="397"/>
      <c r="AF267" s="397"/>
      <c r="AG267" s="397"/>
      <c r="AH267" s="397"/>
      <c r="AI267" s="397"/>
    </row>
    <row r="268">
      <c r="A268" s="397"/>
      <c r="B268" s="397"/>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c r="AA268" s="397"/>
      <c r="AB268" s="397"/>
      <c r="AC268" s="397"/>
      <c r="AD268" s="397"/>
      <c r="AE268" s="397"/>
      <c r="AF268" s="397"/>
      <c r="AG268" s="397"/>
      <c r="AH268" s="397"/>
      <c r="AI268" s="397"/>
    </row>
    <row r="269">
      <c r="A269" s="397"/>
      <c r="B269" s="397"/>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c r="AA269" s="397"/>
      <c r="AB269" s="397"/>
      <c r="AC269" s="397"/>
      <c r="AD269" s="397"/>
      <c r="AE269" s="397"/>
      <c r="AF269" s="397"/>
      <c r="AG269" s="397"/>
      <c r="AH269" s="397"/>
      <c r="AI269" s="397"/>
    </row>
    <row r="270">
      <c r="A270" s="397"/>
      <c r="B270" s="397"/>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c r="AA270" s="397"/>
      <c r="AB270" s="397"/>
      <c r="AC270" s="397"/>
      <c r="AD270" s="397"/>
      <c r="AE270" s="397"/>
      <c r="AF270" s="397"/>
      <c r="AG270" s="397"/>
      <c r="AH270" s="397"/>
      <c r="AI270" s="397"/>
    </row>
    <row r="271">
      <c r="A271" s="397"/>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c r="AA271" s="397"/>
      <c r="AB271" s="397"/>
      <c r="AC271" s="397"/>
      <c r="AD271" s="397"/>
      <c r="AE271" s="397"/>
      <c r="AF271" s="397"/>
      <c r="AG271" s="397"/>
      <c r="AH271" s="397"/>
      <c r="AI271" s="397"/>
    </row>
    <row r="272">
      <c r="A272" s="397"/>
      <c r="B272" s="397"/>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c r="AA272" s="397"/>
      <c r="AB272" s="397"/>
      <c r="AC272" s="397"/>
      <c r="AD272" s="397"/>
      <c r="AE272" s="397"/>
      <c r="AF272" s="397"/>
      <c r="AG272" s="397"/>
      <c r="AH272" s="397"/>
      <c r="AI272" s="397"/>
    </row>
    <row r="273">
      <c r="A273" s="397"/>
      <c r="B273" s="397"/>
      <c r="C273" s="397"/>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c r="AA273" s="397"/>
      <c r="AB273" s="397"/>
      <c r="AC273" s="397"/>
      <c r="AD273" s="397"/>
      <c r="AE273" s="397"/>
      <c r="AF273" s="397"/>
      <c r="AG273" s="397"/>
      <c r="AH273" s="397"/>
      <c r="AI273" s="397"/>
    </row>
    <row r="274">
      <c r="A274" s="397"/>
      <c r="B274" s="397"/>
      <c r="C274" s="397"/>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c r="AA274" s="397"/>
      <c r="AB274" s="397"/>
      <c r="AC274" s="397"/>
      <c r="AD274" s="397"/>
      <c r="AE274" s="397"/>
      <c r="AF274" s="397"/>
      <c r="AG274" s="397"/>
      <c r="AH274" s="397"/>
      <c r="AI274" s="397"/>
    </row>
    <row r="275">
      <c r="A275" s="397"/>
      <c r="B275" s="397"/>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c r="AA275" s="397"/>
      <c r="AB275" s="397"/>
      <c r="AC275" s="397"/>
      <c r="AD275" s="397"/>
      <c r="AE275" s="397"/>
      <c r="AF275" s="397"/>
      <c r="AG275" s="397"/>
      <c r="AH275" s="397"/>
      <c r="AI275" s="397"/>
    </row>
    <row r="276">
      <c r="A276" s="397"/>
      <c r="B276" s="397"/>
      <c r="C276" s="397"/>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c r="AA276" s="397"/>
      <c r="AB276" s="397"/>
      <c r="AC276" s="397"/>
      <c r="AD276" s="397"/>
      <c r="AE276" s="397"/>
      <c r="AF276" s="397"/>
      <c r="AG276" s="397"/>
      <c r="AH276" s="397"/>
      <c r="AI276" s="397"/>
    </row>
    <row r="277">
      <c r="A277" s="397"/>
      <c r="B277" s="397"/>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c r="AA277" s="397"/>
      <c r="AB277" s="397"/>
      <c r="AC277" s="397"/>
      <c r="AD277" s="397"/>
      <c r="AE277" s="397"/>
      <c r="AF277" s="397"/>
      <c r="AG277" s="397"/>
      <c r="AH277" s="397"/>
      <c r="AI277" s="397"/>
    </row>
    <row r="278">
      <c r="A278" s="397"/>
      <c r="B278" s="397"/>
      <c r="C278" s="397"/>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c r="AA278" s="397"/>
      <c r="AB278" s="397"/>
      <c r="AC278" s="397"/>
      <c r="AD278" s="397"/>
      <c r="AE278" s="397"/>
      <c r="AF278" s="397"/>
      <c r="AG278" s="397"/>
      <c r="AH278" s="397"/>
      <c r="AI278" s="397"/>
    </row>
    <row r="279">
      <c r="A279" s="397"/>
      <c r="B279" s="397"/>
      <c r="C279" s="397"/>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c r="AA279" s="397"/>
      <c r="AB279" s="397"/>
      <c r="AC279" s="397"/>
      <c r="AD279" s="397"/>
      <c r="AE279" s="397"/>
      <c r="AF279" s="397"/>
      <c r="AG279" s="397"/>
      <c r="AH279" s="397"/>
      <c r="AI279" s="397"/>
    </row>
    <row r="280">
      <c r="A280" s="397"/>
      <c r="B280" s="397"/>
      <c r="C280" s="397"/>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c r="AA280" s="397"/>
      <c r="AB280" s="397"/>
      <c r="AC280" s="397"/>
      <c r="AD280" s="397"/>
      <c r="AE280" s="397"/>
      <c r="AF280" s="397"/>
      <c r="AG280" s="397"/>
      <c r="AH280" s="397"/>
      <c r="AI280" s="397"/>
    </row>
    <row r="281">
      <c r="A281" s="397"/>
      <c r="B281" s="397"/>
      <c r="C281" s="397"/>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c r="AA281" s="397"/>
      <c r="AB281" s="397"/>
      <c r="AC281" s="397"/>
      <c r="AD281" s="397"/>
      <c r="AE281" s="397"/>
      <c r="AF281" s="397"/>
      <c r="AG281" s="397"/>
      <c r="AH281" s="397"/>
      <c r="AI281" s="397"/>
    </row>
    <row r="282">
      <c r="A282" s="397"/>
      <c r="B282" s="397"/>
      <c r="C282" s="397"/>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c r="AA282" s="397"/>
      <c r="AB282" s="397"/>
      <c r="AC282" s="397"/>
      <c r="AD282" s="397"/>
      <c r="AE282" s="397"/>
      <c r="AF282" s="397"/>
      <c r="AG282" s="397"/>
      <c r="AH282" s="397"/>
      <c r="AI282" s="397"/>
    </row>
    <row r="283">
      <c r="A283" s="397"/>
      <c r="B283" s="397"/>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c r="AA283" s="397"/>
      <c r="AB283" s="397"/>
      <c r="AC283" s="397"/>
      <c r="AD283" s="397"/>
      <c r="AE283" s="397"/>
      <c r="AF283" s="397"/>
      <c r="AG283" s="397"/>
      <c r="AH283" s="397"/>
      <c r="AI283" s="397"/>
    </row>
    <row r="284">
      <c r="A284" s="397"/>
      <c r="B284" s="397"/>
      <c r="C284" s="397"/>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c r="AA284" s="397"/>
      <c r="AB284" s="397"/>
      <c r="AC284" s="397"/>
      <c r="AD284" s="397"/>
      <c r="AE284" s="397"/>
      <c r="AF284" s="397"/>
      <c r="AG284" s="397"/>
      <c r="AH284" s="397"/>
      <c r="AI284" s="397"/>
    </row>
    <row r="285">
      <c r="A285" s="397"/>
      <c r="B285" s="397"/>
      <c r="C285" s="397"/>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c r="AA285" s="397"/>
      <c r="AB285" s="397"/>
      <c r="AC285" s="397"/>
      <c r="AD285" s="397"/>
      <c r="AE285" s="397"/>
      <c r="AF285" s="397"/>
      <c r="AG285" s="397"/>
      <c r="AH285" s="397"/>
      <c r="AI285" s="397"/>
    </row>
    <row r="286">
      <c r="A286" s="397"/>
      <c r="B286" s="397"/>
      <c r="C286" s="397"/>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c r="AA286" s="397"/>
      <c r="AB286" s="397"/>
      <c r="AC286" s="397"/>
      <c r="AD286" s="397"/>
      <c r="AE286" s="397"/>
      <c r="AF286" s="397"/>
      <c r="AG286" s="397"/>
      <c r="AH286" s="397"/>
      <c r="AI286" s="397"/>
    </row>
    <row r="287">
      <c r="A287" s="397"/>
      <c r="B287" s="397"/>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c r="AA287" s="397"/>
      <c r="AB287" s="397"/>
      <c r="AC287" s="397"/>
      <c r="AD287" s="397"/>
      <c r="AE287" s="397"/>
      <c r="AF287" s="397"/>
      <c r="AG287" s="397"/>
      <c r="AH287" s="397"/>
      <c r="AI287" s="397"/>
    </row>
    <row r="288">
      <c r="A288" s="397"/>
      <c r="B288" s="397"/>
      <c r="C288" s="397"/>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c r="AA288" s="397"/>
      <c r="AB288" s="397"/>
      <c r="AC288" s="397"/>
      <c r="AD288" s="397"/>
      <c r="AE288" s="397"/>
      <c r="AF288" s="397"/>
      <c r="AG288" s="397"/>
      <c r="AH288" s="397"/>
      <c r="AI288" s="397"/>
    </row>
    <row r="289">
      <c r="A289" s="397"/>
      <c r="B289" s="397"/>
      <c r="C289" s="397"/>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c r="AA289" s="397"/>
      <c r="AB289" s="397"/>
      <c r="AC289" s="397"/>
      <c r="AD289" s="397"/>
      <c r="AE289" s="397"/>
      <c r="AF289" s="397"/>
      <c r="AG289" s="397"/>
      <c r="AH289" s="397"/>
      <c r="AI289" s="397"/>
    </row>
    <row r="290">
      <c r="A290" s="397"/>
      <c r="B290" s="397"/>
      <c r="C290" s="397"/>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c r="AA290" s="397"/>
      <c r="AB290" s="397"/>
      <c r="AC290" s="397"/>
      <c r="AD290" s="397"/>
      <c r="AE290" s="397"/>
      <c r="AF290" s="397"/>
      <c r="AG290" s="397"/>
      <c r="AH290" s="397"/>
      <c r="AI290" s="397"/>
    </row>
    <row r="291">
      <c r="A291" s="397"/>
      <c r="B291" s="397"/>
      <c r="C291" s="397"/>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c r="AA291" s="397"/>
      <c r="AB291" s="397"/>
      <c r="AC291" s="397"/>
      <c r="AD291" s="397"/>
      <c r="AE291" s="397"/>
      <c r="AF291" s="397"/>
      <c r="AG291" s="397"/>
      <c r="AH291" s="397"/>
      <c r="AI291" s="397"/>
    </row>
    <row r="292">
      <c r="A292" s="397"/>
      <c r="B292" s="397"/>
      <c r="C292" s="397"/>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c r="AA292" s="397"/>
      <c r="AB292" s="397"/>
      <c r="AC292" s="397"/>
      <c r="AD292" s="397"/>
      <c r="AE292" s="397"/>
      <c r="AF292" s="397"/>
      <c r="AG292" s="397"/>
      <c r="AH292" s="397"/>
      <c r="AI292" s="397"/>
    </row>
    <row r="293">
      <c r="A293" s="397"/>
      <c r="B293" s="397"/>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c r="AA293" s="397"/>
      <c r="AB293" s="397"/>
      <c r="AC293" s="397"/>
      <c r="AD293" s="397"/>
      <c r="AE293" s="397"/>
      <c r="AF293" s="397"/>
      <c r="AG293" s="397"/>
      <c r="AH293" s="397"/>
      <c r="AI293" s="397"/>
    </row>
    <row r="294">
      <c r="A294" s="397"/>
      <c r="B294" s="397"/>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c r="AA294" s="397"/>
      <c r="AB294" s="397"/>
      <c r="AC294" s="397"/>
      <c r="AD294" s="397"/>
      <c r="AE294" s="397"/>
      <c r="AF294" s="397"/>
      <c r="AG294" s="397"/>
      <c r="AH294" s="397"/>
      <c r="AI294" s="397"/>
    </row>
    <row r="295">
      <c r="A295" s="397"/>
      <c r="B295" s="397"/>
      <c r="C295" s="397"/>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c r="AA295" s="397"/>
      <c r="AB295" s="397"/>
      <c r="AC295" s="397"/>
      <c r="AD295" s="397"/>
      <c r="AE295" s="397"/>
      <c r="AF295" s="397"/>
      <c r="AG295" s="397"/>
      <c r="AH295" s="397"/>
      <c r="AI295" s="397"/>
    </row>
    <row r="296">
      <c r="A296" s="397"/>
      <c r="B296" s="397"/>
      <c r="C296" s="397"/>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c r="AA296" s="397"/>
      <c r="AB296" s="397"/>
      <c r="AC296" s="397"/>
      <c r="AD296" s="397"/>
      <c r="AE296" s="397"/>
      <c r="AF296" s="397"/>
      <c r="AG296" s="397"/>
      <c r="AH296" s="397"/>
      <c r="AI296" s="397"/>
    </row>
    <row r="297">
      <c r="A297" s="397"/>
      <c r="B297" s="397"/>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c r="AA297" s="397"/>
      <c r="AB297" s="397"/>
      <c r="AC297" s="397"/>
      <c r="AD297" s="397"/>
      <c r="AE297" s="397"/>
      <c r="AF297" s="397"/>
      <c r="AG297" s="397"/>
      <c r="AH297" s="397"/>
      <c r="AI297" s="397"/>
    </row>
    <row r="298">
      <c r="A298" s="397"/>
      <c r="B298" s="397"/>
      <c r="C298" s="397"/>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c r="AA298" s="397"/>
      <c r="AB298" s="397"/>
      <c r="AC298" s="397"/>
      <c r="AD298" s="397"/>
      <c r="AE298" s="397"/>
      <c r="AF298" s="397"/>
      <c r="AG298" s="397"/>
      <c r="AH298" s="397"/>
      <c r="AI298" s="397"/>
    </row>
    <row r="299">
      <c r="A299" s="397"/>
      <c r="B299" s="397"/>
      <c r="C299" s="397"/>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c r="AA299" s="397"/>
      <c r="AB299" s="397"/>
      <c r="AC299" s="397"/>
      <c r="AD299" s="397"/>
      <c r="AE299" s="397"/>
      <c r="AF299" s="397"/>
      <c r="AG299" s="397"/>
      <c r="AH299" s="397"/>
      <c r="AI299" s="397"/>
    </row>
    <row r="300">
      <c r="A300" s="397"/>
      <c r="B300" s="397"/>
      <c r="C300" s="397"/>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c r="AA300" s="397"/>
      <c r="AB300" s="397"/>
      <c r="AC300" s="397"/>
      <c r="AD300" s="397"/>
      <c r="AE300" s="397"/>
      <c r="AF300" s="397"/>
      <c r="AG300" s="397"/>
      <c r="AH300" s="397"/>
      <c r="AI300" s="397"/>
    </row>
    <row r="301">
      <c r="A301" s="397"/>
      <c r="B301" s="397"/>
      <c r="C301" s="397"/>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c r="AA301" s="397"/>
      <c r="AB301" s="397"/>
      <c r="AC301" s="397"/>
      <c r="AD301" s="397"/>
      <c r="AE301" s="397"/>
      <c r="AF301" s="397"/>
      <c r="AG301" s="397"/>
      <c r="AH301" s="397"/>
      <c r="AI301" s="397"/>
    </row>
    <row r="302">
      <c r="A302" s="397"/>
      <c r="B302" s="397"/>
      <c r="C302" s="397"/>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c r="AA302" s="397"/>
      <c r="AB302" s="397"/>
      <c r="AC302" s="397"/>
      <c r="AD302" s="397"/>
      <c r="AE302" s="397"/>
      <c r="AF302" s="397"/>
      <c r="AG302" s="397"/>
      <c r="AH302" s="397"/>
      <c r="AI302" s="397"/>
    </row>
    <row r="303">
      <c r="A303" s="397"/>
      <c r="B303" s="397"/>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c r="AA303" s="397"/>
      <c r="AB303" s="397"/>
      <c r="AC303" s="397"/>
      <c r="AD303" s="397"/>
      <c r="AE303" s="397"/>
      <c r="AF303" s="397"/>
      <c r="AG303" s="397"/>
      <c r="AH303" s="397"/>
      <c r="AI303" s="397"/>
    </row>
    <row r="304">
      <c r="A304" s="397"/>
      <c r="B304" s="397"/>
      <c r="C304" s="397"/>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c r="AA304" s="397"/>
      <c r="AB304" s="397"/>
      <c r="AC304" s="397"/>
      <c r="AD304" s="397"/>
      <c r="AE304" s="397"/>
      <c r="AF304" s="397"/>
      <c r="AG304" s="397"/>
      <c r="AH304" s="397"/>
      <c r="AI304" s="397"/>
    </row>
    <row r="305">
      <c r="A305" s="397"/>
      <c r="B305" s="397"/>
      <c r="C305" s="397"/>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c r="AA305" s="397"/>
      <c r="AB305" s="397"/>
      <c r="AC305" s="397"/>
      <c r="AD305" s="397"/>
      <c r="AE305" s="397"/>
      <c r="AF305" s="397"/>
      <c r="AG305" s="397"/>
      <c r="AH305" s="397"/>
      <c r="AI305" s="397"/>
    </row>
    <row r="306">
      <c r="A306" s="397"/>
      <c r="B306" s="397"/>
      <c r="C306" s="397"/>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c r="AA306" s="397"/>
      <c r="AB306" s="397"/>
      <c r="AC306" s="397"/>
      <c r="AD306" s="397"/>
      <c r="AE306" s="397"/>
      <c r="AF306" s="397"/>
      <c r="AG306" s="397"/>
      <c r="AH306" s="397"/>
      <c r="AI306" s="397"/>
    </row>
    <row r="307">
      <c r="A307" s="397"/>
      <c r="B307" s="397"/>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c r="AA307" s="397"/>
      <c r="AB307" s="397"/>
      <c r="AC307" s="397"/>
      <c r="AD307" s="397"/>
      <c r="AE307" s="397"/>
      <c r="AF307" s="397"/>
      <c r="AG307" s="397"/>
      <c r="AH307" s="397"/>
      <c r="AI307" s="397"/>
    </row>
    <row r="308">
      <c r="A308" s="397"/>
      <c r="B308" s="397"/>
      <c r="C308" s="397"/>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c r="AA308" s="397"/>
      <c r="AB308" s="397"/>
      <c r="AC308" s="397"/>
      <c r="AD308" s="397"/>
      <c r="AE308" s="397"/>
      <c r="AF308" s="397"/>
      <c r="AG308" s="397"/>
      <c r="AH308" s="397"/>
      <c r="AI308" s="397"/>
    </row>
    <row r="309">
      <c r="A309" s="397"/>
      <c r="B309" s="397"/>
      <c r="C309" s="397"/>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c r="AA309" s="397"/>
      <c r="AB309" s="397"/>
      <c r="AC309" s="397"/>
      <c r="AD309" s="397"/>
      <c r="AE309" s="397"/>
      <c r="AF309" s="397"/>
      <c r="AG309" s="397"/>
      <c r="AH309" s="397"/>
      <c r="AI309" s="397"/>
    </row>
    <row r="310">
      <c r="A310" s="397"/>
      <c r="B310" s="397"/>
      <c r="C310" s="397"/>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c r="AA310" s="397"/>
      <c r="AB310" s="397"/>
      <c r="AC310" s="397"/>
      <c r="AD310" s="397"/>
      <c r="AE310" s="397"/>
      <c r="AF310" s="397"/>
      <c r="AG310" s="397"/>
      <c r="AH310" s="397"/>
      <c r="AI310" s="397"/>
    </row>
    <row r="311">
      <c r="A311" s="397"/>
      <c r="B311" s="397"/>
      <c r="C311" s="397"/>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c r="AA311" s="397"/>
      <c r="AB311" s="397"/>
      <c r="AC311" s="397"/>
      <c r="AD311" s="397"/>
      <c r="AE311" s="397"/>
      <c r="AF311" s="397"/>
      <c r="AG311" s="397"/>
      <c r="AH311" s="397"/>
      <c r="AI311" s="397"/>
    </row>
    <row r="312">
      <c r="A312" s="397"/>
      <c r="B312" s="397"/>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c r="AA312" s="397"/>
      <c r="AB312" s="397"/>
      <c r="AC312" s="397"/>
      <c r="AD312" s="397"/>
      <c r="AE312" s="397"/>
      <c r="AF312" s="397"/>
      <c r="AG312" s="397"/>
      <c r="AH312" s="397"/>
      <c r="AI312" s="397"/>
    </row>
    <row r="313">
      <c r="A313" s="397"/>
      <c r="B313" s="397"/>
      <c r="C313" s="397"/>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c r="AA313" s="397"/>
      <c r="AB313" s="397"/>
      <c r="AC313" s="397"/>
      <c r="AD313" s="397"/>
      <c r="AE313" s="397"/>
      <c r="AF313" s="397"/>
      <c r="AG313" s="397"/>
      <c r="AH313" s="397"/>
      <c r="AI313" s="397"/>
    </row>
    <row r="314">
      <c r="A314" s="397"/>
      <c r="B314" s="397"/>
      <c r="C314" s="397"/>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c r="AA314" s="397"/>
      <c r="AB314" s="397"/>
      <c r="AC314" s="397"/>
      <c r="AD314" s="397"/>
      <c r="AE314" s="397"/>
      <c r="AF314" s="397"/>
      <c r="AG314" s="397"/>
      <c r="AH314" s="397"/>
      <c r="AI314" s="397"/>
    </row>
    <row r="315">
      <c r="A315" s="397"/>
      <c r="B315" s="397"/>
      <c r="C315" s="397"/>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c r="AA315" s="397"/>
      <c r="AB315" s="397"/>
      <c r="AC315" s="397"/>
      <c r="AD315" s="397"/>
      <c r="AE315" s="397"/>
      <c r="AF315" s="397"/>
      <c r="AG315" s="397"/>
      <c r="AH315" s="397"/>
      <c r="AI315" s="397"/>
    </row>
    <row r="316">
      <c r="A316" s="397"/>
      <c r="B316" s="397"/>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c r="AA316" s="397"/>
      <c r="AB316" s="397"/>
      <c r="AC316" s="397"/>
      <c r="AD316" s="397"/>
      <c r="AE316" s="397"/>
      <c r="AF316" s="397"/>
      <c r="AG316" s="397"/>
      <c r="AH316" s="397"/>
      <c r="AI316" s="397"/>
    </row>
    <row r="317">
      <c r="A317" s="397"/>
      <c r="B317" s="397"/>
      <c r="C317" s="397"/>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c r="AA317" s="397"/>
      <c r="AB317" s="397"/>
      <c r="AC317" s="397"/>
      <c r="AD317" s="397"/>
      <c r="AE317" s="397"/>
      <c r="AF317" s="397"/>
      <c r="AG317" s="397"/>
      <c r="AH317" s="397"/>
      <c r="AI317" s="397"/>
    </row>
    <row r="318">
      <c r="A318" s="397"/>
      <c r="B318" s="397"/>
      <c r="C318" s="397"/>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c r="AA318" s="397"/>
      <c r="AB318" s="397"/>
      <c r="AC318" s="397"/>
      <c r="AD318" s="397"/>
      <c r="AE318" s="397"/>
      <c r="AF318" s="397"/>
      <c r="AG318" s="397"/>
      <c r="AH318" s="397"/>
      <c r="AI318" s="397"/>
    </row>
    <row r="319">
      <c r="A319" s="397"/>
      <c r="B319" s="397"/>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c r="AA319" s="397"/>
      <c r="AB319" s="397"/>
      <c r="AC319" s="397"/>
      <c r="AD319" s="397"/>
      <c r="AE319" s="397"/>
      <c r="AF319" s="397"/>
      <c r="AG319" s="397"/>
      <c r="AH319" s="397"/>
      <c r="AI319" s="397"/>
    </row>
    <row r="320">
      <c r="A320" s="397"/>
      <c r="B320" s="397"/>
      <c r="C320" s="397"/>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c r="AA320" s="397"/>
      <c r="AB320" s="397"/>
      <c r="AC320" s="397"/>
      <c r="AD320" s="397"/>
      <c r="AE320" s="397"/>
      <c r="AF320" s="397"/>
      <c r="AG320" s="397"/>
      <c r="AH320" s="397"/>
      <c r="AI320" s="397"/>
    </row>
    <row r="321">
      <c r="A321" s="397"/>
      <c r="B321" s="397"/>
      <c r="C321" s="397"/>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c r="AA321" s="397"/>
      <c r="AB321" s="397"/>
      <c r="AC321" s="397"/>
      <c r="AD321" s="397"/>
      <c r="AE321" s="397"/>
      <c r="AF321" s="397"/>
      <c r="AG321" s="397"/>
      <c r="AH321" s="397"/>
      <c r="AI321" s="397"/>
    </row>
    <row r="322">
      <c r="A322" s="397"/>
      <c r="B322" s="397"/>
      <c r="C322" s="397"/>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c r="AA322" s="397"/>
      <c r="AB322" s="397"/>
      <c r="AC322" s="397"/>
      <c r="AD322" s="397"/>
      <c r="AE322" s="397"/>
      <c r="AF322" s="397"/>
      <c r="AG322" s="397"/>
      <c r="AH322" s="397"/>
      <c r="AI322" s="397"/>
    </row>
    <row r="323">
      <c r="A323" s="397"/>
      <c r="B323" s="397"/>
      <c r="C323" s="397"/>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c r="AA323" s="397"/>
      <c r="AB323" s="397"/>
      <c r="AC323" s="397"/>
      <c r="AD323" s="397"/>
      <c r="AE323" s="397"/>
      <c r="AF323" s="397"/>
      <c r="AG323" s="397"/>
      <c r="AH323" s="397"/>
      <c r="AI323" s="397"/>
    </row>
    <row r="324">
      <c r="A324" s="397"/>
      <c r="B324" s="397"/>
      <c r="C324" s="397"/>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c r="AA324" s="397"/>
      <c r="AB324" s="397"/>
      <c r="AC324" s="397"/>
      <c r="AD324" s="397"/>
      <c r="AE324" s="397"/>
      <c r="AF324" s="397"/>
      <c r="AG324" s="397"/>
      <c r="AH324" s="397"/>
      <c r="AI324" s="397"/>
    </row>
    <row r="325">
      <c r="A325" s="397"/>
      <c r="B325" s="397"/>
      <c r="C325" s="397"/>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c r="AA325" s="397"/>
      <c r="AB325" s="397"/>
      <c r="AC325" s="397"/>
      <c r="AD325" s="397"/>
      <c r="AE325" s="397"/>
      <c r="AF325" s="397"/>
      <c r="AG325" s="397"/>
      <c r="AH325" s="397"/>
      <c r="AI325" s="397"/>
    </row>
    <row r="326">
      <c r="A326" s="397"/>
      <c r="B326" s="397"/>
      <c r="C326" s="397"/>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c r="AA326" s="397"/>
      <c r="AB326" s="397"/>
      <c r="AC326" s="397"/>
      <c r="AD326" s="397"/>
      <c r="AE326" s="397"/>
      <c r="AF326" s="397"/>
      <c r="AG326" s="397"/>
      <c r="AH326" s="397"/>
      <c r="AI326" s="397"/>
    </row>
    <row r="327">
      <c r="A327" s="397"/>
      <c r="B327" s="397"/>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c r="AA327" s="397"/>
      <c r="AB327" s="397"/>
      <c r="AC327" s="397"/>
      <c r="AD327" s="397"/>
      <c r="AE327" s="397"/>
      <c r="AF327" s="397"/>
      <c r="AG327" s="397"/>
      <c r="AH327" s="397"/>
      <c r="AI327" s="397"/>
    </row>
    <row r="328">
      <c r="A328" s="397"/>
      <c r="B328" s="397"/>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c r="AA328" s="397"/>
      <c r="AB328" s="397"/>
      <c r="AC328" s="397"/>
      <c r="AD328" s="397"/>
      <c r="AE328" s="397"/>
      <c r="AF328" s="397"/>
      <c r="AG328" s="397"/>
      <c r="AH328" s="397"/>
      <c r="AI328" s="397"/>
    </row>
    <row r="329">
      <c r="A329" s="397"/>
      <c r="B329" s="397"/>
      <c r="C329" s="397"/>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c r="AA329" s="397"/>
      <c r="AB329" s="397"/>
      <c r="AC329" s="397"/>
      <c r="AD329" s="397"/>
      <c r="AE329" s="397"/>
      <c r="AF329" s="397"/>
      <c r="AG329" s="397"/>
      <c r="AH329" s="397"/>
      <c r="AI329" s="397"/>
    </row>
    <row r="330">
      <c r="A330" s="397"/>
      <c r="B330" s="397"/>
      <c r="C330" s="397"/>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c r="AA330" s="397"/>
      <c r="AB330" s="397"/>
      <c r="AC330" s="397"/>
      <c r="AD330" s="397"/>
      <c r="AE330" s="397"/>
      <c r="AF330" s="397"/>
      <c r="AG330" s="397"/>
      <c r="AH330" s="397"/>
      <c r="AI330" s="397"/>
    </row>
    <row r="331">
      <c r="A331" s="397"/>
      <c r="B331" s="397"/>
      <c r="C331" s="397"/>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c r="AA331" s="397"/>
      <c r="AB331" s="397"/>
      <c r="AC331" s="397"/>
      <c r="AD331" s="397"/>
      <c r="AE331" s="397"/>
      <c r="AF331" s="397"/>
      <c r="AG331" s="397"/>
      <c r="AH331" s="397"/>
      <c r="AI331" s="397"/>
    </row>
    <row r="332">
      <c r="A332" s="397"/>
      <c r="B332" s="397"/>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c r="AA332" s="397"/>
      <c r="AB332" s="397"/>
      <c r="AC332" s="397"/>
      <c r="AD332" s="397"/>
      <c r="AE332" s="397"/>
      <c r="AF332" s="397"/>
      <c r="AG332" s="397"/>
      <c r="AH332" s="397"/>
      <c r="AI332" s="397"/>
    </row>
    <row r="333">
      <c r="A333" s="397"/>
      <c r="B333" s="397"/>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c r="AA333" s="397"/>
      <c r="AB333" s="397"/>
      <c r="AC333" s="397"/>
      <c r="AD333" s="397"/>
      <c r="AE333" s="397"/>
      <c r="AF333" s="397"/>
      <c r="AG333" s="397"/>
      <c r="AH333" s="397"/>
      <c r="AI333" s="397"/>
    </row>
    <row r="334">
      <c r="A334" s="397"/>
      <c r="B334" s="397"/>
      <c r="C334" s="397"/>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c r="AA334" s="397"/>
      <c r="AB334" s="397"/>
      <c r="AC334" s="397"/>
      <c r="AD334" s="397"/>
      <c r="AE334" s="397"/>
      <c r="AF334" s="397"/>
      <c r="AG334" s="397"/>
      <c r="AH334" s="397"/>
      <c r="AI334" s="397"/>
    </row>
    <row r="335">
      <c r="A335" s="397"/>
      <c r="B335" s="397"/>
      <c r="C335" s="397"/>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c r="AA335" s="397"/>
      <c r="AB335" s="397"/>
      <c r="AC335" s="397"/>
      <c r="AD335" s="397"/>
      <c r="AE335" s="397"/>
      <c r="AF335" s="397"/>
      <c r="AG335" s="397"/>
      <c r="AH335" s="397"/>
      <c r="AI335" s="397"/>
    </row>
    <row r="336">
      <c r="A336" s="397"/>
      <c r="B336" s="397"/>
      <c r="C336" s="397"/>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c r="AA336" s="397"/>
      <c r="AB336" s="397"/>
      <c r="AC336" s="397"/>
      <c r="AD336" s="397"/>
      <c r="AE336" s="397"/>
      <c r="AF336" s="397"/>
      <c r="AG336" s="397"/>
      <c r="AH336" s="397"/>
      <c r="AI336" s="397"/>
    </row>
    <row r="337">
      <c r="A337" s="397"/>
      <c r="B337" s="397"/>
      <c r="C337" s="397"/>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c r="AA337" s="397"/>
      <c r="AB337" s="397"/>
      <c r="AC337" s="397"/>
      <c r="AD337" s="397"/>
      <c r="AE337" s="397"/>
      <c r="AF337" s="397"/>
      <c r="AG337" s="397"/>
      <c r="AH337" s="397"/>
      <c r="AI337" s="397"/>
    </row>
    <row r="338">
      <c r="A338" s="397"/>
      <c r="B338" s="397"/>
      <c r="C338" s="397"/>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c r="AA338" s="397"/>
      <c r="AB338" s="397"/>
      <c r="AC338" s="397"/>
      <c r="AD338" s="397"/>
      <c r="AE338" s="397"/>
      <c r="AF338" s="397"/>
      <c r="AG338" s="397"/>
      <c r="AH338" s="397"/>
      <c r="AI338" s="397"/>
    </row>
    <row r="339">
      <c r="A339" s="397"/>
      <c r="B339" s="397"/>
      <c r="C339" s="397"/>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c r="AA339" s="397"/>
      <c r="AB339" s="397"/>
      <c r="AC339" s="397"/>
      <c r="AD339" s="397"/>
      <c r="AE339" s="397"/>
      <c r="AF339" s="397"/>
      <c r="AG339" s="397"/>
      <c r="AH339" s="397"/>
      <c r="AI339" s="397"/>
    </row>
    <row r="340">
      <c r="A340" s="397"/>
      <c r="B340" s="397"/>
      <c r="C340" s="397"/>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c r="AA340" s="397"/>
      <c r="AB340" s="397"/>
      <c r="AC340" s="397"/>
      <c r="AD340" s="397"/>
      <c r="AE340" s="397"/>
      <c r="AF340" s="397"/>
      <c r="AG340" s="397"/>
      <c r="AH340" s="397"/>
      <c r="AI340" s="397"/>
    </row>
    <row r="341">
      <c r="A341" s="397"/>
      <c r="B341" s="397"/>
      <c r="C341" s="397"/>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c r="AA341" s="397"/>
      <c r="AB341" s="397"/>
      <c r="AC341" s="397"/>
      <c r="AD341" s="397"/>
      <c r="AE341" s="397"/>
      <c r="AF341" s="397"/>
      <c r="AG341" s="397"/>
      <c r="AH341" s="397"/>
      <c r="AI341" s="397"/>
    </row>
    <row r="342">
      <c r="A342" s="397"/>
      <c r="B342" s="397"/>
      <c r="C342" s="397"/>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c r="AA342" s="397"/>
      <c r="AB342" s="397"/>
      <c r="AC342" s="397"/>
      <c r="AD342" s="397"/>
      <c r="AE342" s="397"/>
      <c r="AF342" s="397"/>
      <c r="AG342" s="397"/>
      <c r="AH342" s="397"/>
      <c r="AI342" s="397"/>
    </row>
    <row r="343">
      <c r="A343" s="397"/>
      <c r="B343" s="397"/>
      <c r="C343" s="397"/>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c r="AA343" s="397"/>
      <c r="AB343" s="397"/>
      <c r="AC343" s="397"/>
      <c r="AD343" s="397"/>
      <c r="AE343" s="397"/>
      <c r="AF343" s="397"/>
      <c r="AG343" s="397"/>
      <c r="AH343" s="397"/>
      <c r="AI343" s="397"/>
    </row>
    <row r="344">
      <c r="A344" s="397"/>
      <c r="B344" s="397"/>
      <c r="C344" s="397"/>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c r="AA344" s="397"/>
      <c r="AB344" s="397"/>
      <c r="AC344" s="397"/>
      <c r="AD344" s="397"/>
      <c r="AE344" s="397"/>
      <c r="AF344" s="397"/>
      <c r="AG344" s="397"/>
      <c r="AH344" s="397"/>
      <c r="AI344" s="397"/>
    </row>
    <row r="345">
      <c r="A345" s="397"/>
      <c r="B345" s="397"/>
      <c r="C345" s="397"/>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c r="AA345" s="397"/>
      <c r="AB345" s="397"/>
      <c r="AC345" s="397"/>
      <c r="AD345" s="397"/>
      <c r="AE345" s="397"/>
      <c r="AF345" s="397"/>
      <c r="AG345" s="397"/>
      <c r="AH345" s="397"/>
      <c r="AI345" s="397"/>
    </row>
    <row r="346">
      <c r="A346" s="397"/>
      <c r="B346" s="397"/>
      <c r="C346" s="397"/>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c r="AA346" s="397"/>
      <c r="AB346" s="397"/>
      <c r="AC346" s="397"/>
      <c r="AD346" s="397"/>
      <c r="AE346" s="397"/>
      <c r="AF346" s="397"/>
      <c r="AG346" s="397"/>
      <c r="AH346" s="397"/>
      <c r="AI346" s="397"/>
    </row>
    <row r="347">
      <c r="A347" s="397"/>
      <c r="B347" s="397"/>
      <c r="C347" s="397"/>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c r="AA347" s="397"/>
      <c r="AB347" s="397"/>
      <c r="AC347" s="397"/>
      <c r="AD347" s="397"/>
      <c r="AE347" s="397"/>
      <c r="AF347" s="397"/>
      <c r="AG347" s="397"/>
      <c r="AH347" s="397"/>
      <c r="AI347" s="397"/>
    </row>
    <row r="348">
      <c r="A348" s="397"/>
      <c r="B348" s="397"/>
      <c r="C348" s="397"/>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c r="AA348" s="397"/>
      <c r="AB348" s="397"/>
      <c r="AC348" s="397"/>
      <c r="AD348" s="397"/>
      <c r="AE348" s="397"/>
      <c r="AF348" s="397"/>
      <c r="AG348" s="397"/>
      <c r="AH348" s="397"/>
      <c r="AI348" s="397"/>
    </row>
    <row r="349">
      <c r="A349" s="397"/>
      <c r="B349" s="397"/>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c r="AA349" s="397"/>
      <c r="AB349" s="397"/>
      <c r="AC349" s="397"/>
      <c r="AD349" s="397"/>
      <c r="AE349" s="397"/>
      <c r="AF349" s="397"/>
      <c r="AG349" s="397"/>
      <c r="AH349" s="397"/>
      <c r="AI349" s="397"/>
    </row>
    <row r="350">
      <c r="A350" s="397"/>
      <c r="B350" s="397"/>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c r="AA350" s="397"/>
      <c r="AB350" s="397"/>
      <c r="AC350" s="397"/>
      <c r="AD350" s="397"/>
      <c r="AE350" s="397"/>
      <c r="AF350" s="397"/>
      <c r="AG350" s="397"/>
      <c r="AH350" s="397"/>
      <c r="AI350" s="397"/>
    </row>
    <row r="351">
      <c r="A351" s="397"/>
      <c r="B351" s="397"/>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c r="AA351" s="397"/>
      <c r="AB351" s="397"/>
      <c r="AC351" s="397"/>
      <c r="AD351" s="397"/>
      <c r="AE351" s="397"/>
      <c r="AF351" s="397"/>
      <c r="AG351" s="397"/>
      <c r="AH351" s="397"/>
      <c r="AI351" s="397"/>
    </row>
    <row r="352">
      <c r="A352" s="397"/>
      <c r="B352" s="397"/>
      <c r="C352" s="397"/>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c r="AA352" s="397"/>
      <c r="AB352" s="397"/>
      <c r="AC352" s="397"/>
      <c r="AD352" s="397"/>
      <c r="AE352" s="397"/>
      <c r="AF352" s="397"/>
      <c r="AG352" s="397"/>
      <c r="AH352" s="397"/>
      <c r="AI352" s="397"/>
    </row>
    <row r="353">
      <c r="A353" s="397"/>
      <c r="B353" s="397"/>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c r="AA353" s="397"/>
      <c r="AB353" s="397"/>
      <c r="AC353" s="397"/>
      <c r="AD353" s="397"/>
      <c r="AE353" s="397"/>
      <c r="AF353" s="397"/>
      <c r="AG353" s="397"/>
      <c r="AH353" s="397"/>
      <c r="AI353" s="397"/>
    </row>
    <row r="354">
      <c r="A354" s="397"/>
      <c r="B354" s="397"/>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c r="AA354" s="397"/>
      <c r="AB354" s="397"/>
      <c r="AC354" s="397"/>
      <c r="AD354" s="397"/>
      <c r="AE354" s="397"/>
      <c r="AF354" s="397"/>
      <c r="AG354" s="397"/>
      <c r="AH354" s="397"/>
      <c r="AI354" s="397"/>
    </row>
    <row r="355">
      <c r="A355" s="397"/>
      <c r="B355" s="397"/>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c r="AA355" s="397"/>
      <c r="AB355" s="397"/>
      <c r="AC355" s="397"/>
      <c r="AD355" s="397"/>
      <c r="AE355" s="397"/>
      <c r="AF355" s="397"/>
      <c r="AG355" s="397"/>
      <c r="AH355" s="397"/>
      <c r="AI355" s="397"/>
    </row>
    <row r="356">
      <c r="A356" s="397"/>
      <c r="B356" s="397"/>
      <c r="C356" s="397"/>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c r="AA356" s="397"/>
      <c r="AB356" s="397"/>
      <c r="AC356" s="397"/>
      <c r="AD356" s="397"/>
      <c r="AE356" s="397"/>
      <c r="AF356" s="397"/>
      <c r="AG356" s="397"/>
      <c r="AH356" s="397"/>
      <c r="AI356" s="397"/>
    </row>
    <row r="357">
      <c r="A357" s="397"/>
      <c r="B357" s="397"/>
      <c r="C357" s="397"/>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c r="AA357" s="397"/>
      <c r="AB357" s="397"/>
      <c r="AC357" s="397"/>
      <c r="AD357" s="397"/>
      <c r="AE357" s="397"/>
      <c r="AF357" s="397"/>
      <c r="AG357" s="397"/>
      <c r="AH357" s="397"/>
      <c r="AI357" s="397"/>
    </row>
    <row r="358">
      <c r="A358" s="397"/>
      <c r="B358" s="397"/>
      <c r="C358" s="397"/>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c r="AA358" s="397"/>
      <c r="AB358" s="397"/>
      <c r="AC358" s="397"/>
      <c r="AD358" s="397"/>
      <c r="AE358" s="397"/>
      <c r="AF358" s="397"/>
      <c r="AG358" s="397"/>
      <c r="AH358" s="397"/>
      <c r="AI358" s="397"/>
    </row>
    <row r="359">
      <c r="A359" s="397"/>
      <c r="B359" s="397"/>
      <c r="C359" s="397"/>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c r="AA359" s="397"/>
      <c r="AB359" s="397"/>
      <c r="AC359" s="397"/>
      <c r="AD359" s="397"/>
      <c r="AE359" s="397"/>
      <c r="AF359" s="397"/>
      <c r="AG359" s="397"/>
      <c r="AH359" s="397"/>
      <c r="AI359" s="397"/>
    </row>
    <row r="360">
      <c r="A360" s="397"/>
      <c r="B360" s="397"/>
      <c r="C360" s="397"/>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c r="AA360" s="397"/>
      <c r="AB360" s="397"/>
      <c r="AC360" s="397"/>
      <c r="AD360" s="397"/>
      <c r="AE360" s="397"/>
      <c r="AF360" s="397"/>
      <c r="AG360" s="397"/>
      <c r="AH360" s="397"/>
      <c r="AI360" s="397"/>
    </row>
    <row r="361">
      <c r="A361" s="397"/>
      <c r="B361" s="397"/>
      <c r="C361" s="397"/>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c r="AA361" s="397"/>
      <c r="AB361" s="397"/>
      <c r="AC361" s="397"/>
      <c r="AD361" s="397"/>
      <c r="AE361" s="397"/>
      <c r="AF361" s="397"/>
      <c r="AG361" s="397"/>
      <c r="AH361" s="397"/>
      <c r="AI361" s="397"/>
    </row>
    <row r="362">
      <c r="A362" s="397"/>
      <c r="B362" s="397"/>
      <c r="C362" s="397"/>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c r="AA362" s="397"/>
      <c r="AB362" s="397"/>
      <c r="AC362" s="397"/>
      <c r="AD362" s="397"/>
      <c r="AE362" s="397"/>
      <c r="AF362" s="397"/>
      <c r="AG362" s="397"/>
      <c r="AH362" s="397"/>
      <c r="AI362" s="397"/>
    </row>
    <row r="363">
      <c r="A363" s="397"/>
      <c r="B363" s="397"/>
      <c r="C363" s="397"/>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c r="AA363" s="397"/>
      <c r="AB363" s="397"/>
      <c r="AC363" s="397"/>
      <c r="AD363" s="397"/>
      <c r="AE363" s="397"/>
      <c r="AF363" s="397"/>
      <c r="AG363" s="397"/>
      <c r="AH363" s="397"/>
      <c r="AI363" s="397"/>
    </row>
    <row r="364">
      <c r="A364" s="397"/>
      <c r="B364" s="397"/>
      <c r="C364" s="397"/>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c r="AA364" s="397"/>
      <c r="AB364" s="397"/>
      <c r="AC364" s="397"/>
      <c r="AD364" s="397"/>
      <c r="AE364" s="397"/>
      <c r="AF364" s="397"/>
      <c r="AG364" s="397"/>
      <c r="AH364" s="397"/>
      <c r="AI364" s="397"/>
    </row>
    <row r="365">
      <c r="A365" s="397"/>
      <c r="B365" s="397"/>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c r="AA365" s="397"/>
      <c r="AB365" s="397"/>
      <c r="AC365" s="397"/>
      <c r="AD365" s="397"/>
      <c r="AE365" s="397"/>
      <c r="AF365" s="397"/>
      <c r="AG365" s="397"/>
      <c r="AH365" s="397"/>
      <c r="AI365" s="397"/>
    </row>
    <row r="366">
      <c r="A366" s="397"/>
      <c r="B366" s="397"/>
      <c r="C366" s="397"/>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c r="AA366" s="397"/>
      <c r="AB366" s="397"/>
      <c r="AC366" s="397"/>
      <c r="AD366" s="397"/>
      <c r="AE366" s="397"/>
      <c r="AF366" s="397"/>
      <c r="AG366" s="397"/>
      <c r="AH366" s="397"/>
      <c r="AI366" s="397"/>
    </row>
    <row r="367">
      <c r="A367" s="397"/>
      <c r="B367" s="397"/>
      <c r="C367" s="397"/>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c r="AA367" s="397"/>
      <c r="AB367" s="397"/>
      <c r="AC367" s="397"/>
      <c r="AD367" s="397"/>
      <c r="AE367" s="397"/>
      <c r="AF367" s="397"/>
      <c r="AG367" s="397"/>
      <c r="AH367" s="397"/>
      <c r="AI367" s="397"/>
    </row>
    <row r="368">
      <c r="A368" s="397"/>
      <c r="B368" s="397"/>
      <c r="C368" s="397"/>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c r="AA368" s="397"/>
      <c r="AB368" s="397"/>
      <c r="AC368" s="397"/>
      <c r="AD368" s="397"/>
      <c r="AE368" s="397"/>
      <c r="AF368" s="397"/>
      <c r="AG368" s="397"/>
      <c r="AH368" s="397"/>
      <c r="AI368" s="397"/>
    </row>
    <row r="369">
      <c r="A369" s="397"/>
      <c r="B369" s="397"/>
      <c r="C369" s="397"/>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c r="AA369" s="397"/>
      <c r="AB369" s="397"/>
      <c r="AC369" s="397"/>
      <c r="AD369" s="397"/>
      <c r="AE369" s="397"/>
      <c r="AF369" s="397"/>
      <c r="AG369" s="397"/>
      <c r="AH369" s="397"/>
      <c r="AI369" s="397"/>
    </row>
    <row r="370">
      <c r="A370" s="397"/>
      <c r="B370" s="397"/>
      <c r="C370" s="397"/>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c r="AA370" s="397"/>
      <c r="AB370" s="397"/>
      <c r="AC370" s="397"/>
      <c r="AD370" s="397"/>
      <c r="AE370" s="397"/>
      <c r="AF370" s="397"/>
      <c r="AG370" s="397"/>
      <c r="AH370" s="397"/>
      <c r="AI370" s="397"/>
    </row>
    <row r="371">
      <c r="A371" s="397"/>
      <c r="B371" s="397"/>
      <c r="C371" s="397"/>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c r="AA371" s="397"/>
      <c r="AB371" s="397"/>
      <c r="AC371" s="397"/>
      <c r="AD371" s="397"/>
      <c r="AE371" s="397"/>
      <c r="AF371" s="397"/>
      <c r="AG371" s="397"/>
      <c r="AH371" s="397"/>
      <c r="AI371" s="397"/>
    </row>
    <row r="372">
      <c r="A372" s="397"/>
      <c r="B372" s="397"/>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c r="AA372" s="397"/>
      <c r="AB372" s="397"/>
      <c r="AC372" s="397"/>
      <c r="AD372" s="397"/>
      <c r="AE372" s="397"/>
      <c r="AF372" s="397"/>
      <c r="AG372" s="397"/>
      <c r="AH372" s="397"/>
      <c r="AI372" s="397"/>
    </row>
    <row r="373">
      <c r="A373" s="397"/>
      <c r="B373" s="397"/>
      <c r="C373" s="397"/>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c r="AA373" s="397"/>
      <c r="AB373" s="397"/>
      <c r="AC373" s="397"/>
      <c r="AD373" s="397"/>
      <c r="AE373" s="397"/>
      <c r="AF373" s="397"/>
      <c r="AG373" s="397"/>
      <c r="AH373" s="397"/>
      <c r="AI373" s="397"/>
    </row>
    <row r="374">
      <c r="A374" s="397"/>
      <c r="B374" s="397"/>
      <c r="C374" s="397"/>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c r="AA374" s="397"/>
      <c r="AB374" s="397"/>
      <c r="AC374" s="397"/>
      <c r="AD374" s="397"/>
      <c r="AE374" s="397"/>
      <c r="AF374" s="397"/>
      <c r="AG374" s="397"/>
      <c r="AH374" s="397"/>
      <c r="AI374" s="397"/>
    </row>
    <row r="375">
      <c r="A375" s="397"/>
      <c r="B375" s="397"/>
      <c r="C375" s="397"/>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c r="AA375" s="397"/>
      <c r="AB375" s="397"/>
      <c r="AC375" s="397"/>
      <c r="AD375" s="397"/>
      <c r="AE375" s="397"/>
      <c r="AF375" s="397"/>
      <c r="AG375" s="397"/>
      <c r="AH375" s="397"/>
      <c r="AI375" s="397"/>
    </row>
    <row r="376">
      <c r="A376" s="397"/>
      <c r="B376" s="397"/>
      <c r="C376" s="397"/>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c r="AA376" s="397"/>
      <c r="AB376" s="397"/>
      <c r="AC376" s="397"/>
      <c r="AD376" s="397"/>
      <c r="AE376" s="397"/>
      <c r="AF376" s="397"/>
      <c r="AG376" s="397"/>
      <c r="AH376" s="397"/>
      <c r="AI376" s="397"/>
    </row>
    <row r="377">
      <c r="A377" s="397"/>
      <c r="B377" s="397"/>
      <c r="C377" s="397"/>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c r="AA377" s="397"/>
      <c r="AB377" s="397"/>
      <c r="AC377" s="397"/>
      <c r="AD377" s="397"/>
      <c r="AE377" s="397"/>
      <c r="AF377" s="397"/>
      <c r="AG377" s="397"/>
      <c r="AH377" s="397"/>
      <c r="AI377" s="397"/>
    </row>
    <row r="378">
      <c r="A378" s="397"/>
      <c r="B378" s="397"/>
      <c r="C378" s="397"/>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c r="AA378" s="397"/>
      <c r="AB378" s="397"/>
      <c r="AC378" s="397"/>
      <c r="AD378" s="397"/>
      <c r="AE378" s="397"/>
      <c r="AF378" s="397"/>
      <c r="AG378" s="397"/>
      <c r="AH378" s="397"/>
      <c r="AI378" s="397"/>
    </row>
    <row r="379">
      <c r="A379" s="397"/>
      <c r="B379" s="397"/>
      <c r="C379" s="397"/>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c r="AA379" s="397"/>
      <c r="AB379" s="397"/>
      <c r="AC379" s="397"/>
      <c r="AD379" s="397"/>
      <c r="AE379" s="397"/>
      <c r="AF379" s="397"/>
      <c r="AG379" s="397"/>
      <c r="AH379" s="397"/>
      <c r="AI379" s="397"/>
    </row>
    <row r="380">
      <c r="A380" s="397"/>
      <c r="B380" s="397"/>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c r="AA380" s="397"/>
      <c r="AB380" s="397"/>
      <c r="AC380" s="397"/>
      <c r="AD380" s="397"/>
      <c r="AE380" s="397"/>
      <c r="AF380" s="397"/>
      <c r="AG380" s="397"/>
      <c r="AH380" s="397"/>
      <c r="AI380" s="397"/>
    </row>
    <row r="381">
      <c r="A381" s="397"/>
      <c r="B381" s="397"/>
      <c r="C381" s="397"/>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c r="AA381" s="397"/>
      <c r="AB381" s="397"/>
      <c r="AC381" s="397"/>
      <c r="AD381" s="397"/>
      <c r="AE381" s="397"/>
      <c r="AF381" s="397"/>
      <c r="AG381" s="397"/>
      <c r="AH381" s="397"/>
      <c r="AI381" s="397"/>
    </row>
    <row r="382">
      <c r="A382" s="397"/>
      <c r="B382" s="397"/>
      <c r="C382" s="397"/>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c r="AA382" s="397"/>
      <c r="AB382" s="397"/>
      <c r="AC382" s="397"/>
      <c r="AD382" s="397"/>
      <c r="AE382" s="397"/>
      <c r="AF382" s="397"/>
      <c r="AG382" s="397"/>
      <c r="AH382" s="397"/>
      <c r="AI382" s="397"/>
    </row>
    <row r="383">
      <c r="A383" s="397"/>
      <c r="B383" s="397"/>
      <c r="C383" s="397"/>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c r="AA383" s="397"/>
      <c r="AB383" s="397"/>
      <c r="AC383" s="397"/>
      <c r="AD383" s="397"/>
      <c r="AE383" s="397"/>
      <c r="AF383" s="397"/>
      <c r="AG383" s="397"/>
      <c r="AH383" s="397"/>
      <c r="AI383" s="397"/>
    </row>
    <row r="384">
      <c r="A384" s="397"/>
      <c r="B384" s="397"/>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c r="AA384" s="397"/>
      <c r="AB384" s="397"/>
      <c r="AC384" s="397"/>
      <c r="AD384" s="397"/>
      <c r="AE384" s="397"/>
      <c r="AF384" s="397"/>
      <c r="AG384" s="397"/>
      <c r="AH384" s="397"/>
      <c r="AI384" s="397"/>
    </row>
    <row r="385">
      <c r="A385" s="397"/>
      <c r="B385" s="397"/>
      <c r="C385" s="397"/>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c r="AA385" s="397"/>
      <c r="AB385" s="397"/>
      <c r="AC385" s="397"/>
      <c r="AD385" s="397"/>
      <c r="AE385" s="397"/>
      <c r="AF385" s="397"/>
      <c r="AG385" s="397"/>
      <c r="AH385" s="397"/>
      <c r="AI385" s="397"/>
    </row>
    <row r="386">
      <c r="A386" s="397"/>
      <c r="B386" s="397"/>
      <c r="C386" s="397"/>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c r="AA386" s="397"/>
      <c r="AB386" s="397"/>
      <c r="AC386" s="397"/>
      <c r="AD386" s="397"/>
      <c r="AE386" s="397"/>
      <c r="AF386" s="397"/>
      <c r="AG386" s="397"/>
      <c r="AH386" s="397"/>
      <c r="AI386" s="397"/>
    </row>
    <row r="387">
      <c r="A387" s="397"/>
      <c r="B387" s="397"/>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c r="AA387" s="397"/>
      <c r="AB387" s="397"/>
      <c r="AC387" s="397"/>
      <c r="AD387" s="397"/>
      <c r="AE387" s="397"/>
      <c r="AF387" s="397"/>
      <c r="AG387" s="397"/>
      <c r="AH387" s="397"/>
      <c r="AI387" s="397"/>
    </row>
    <row r="388">
      <c r="A388" s="397"/>
      <c r="B388" s="397"/>
      <c r="C388" s="397"/>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c r="AA388" s="397"/>
      <c r="AB388" s="397"/>
      <c r="AC388" s="397"/>
      <c r="AD388" s="397"/>
      <c r="AE388" s="397"/>
      <c r="AF388" s="397"/>
      <c r="AG388" s="397"/>
      <c r="AH388" s="397"/>
      <c r="AI388" s="397"/>
    </row>
    <row r="389">
      <c r="A389" s="397"/>
      <c r="B389" s="397"/>
      <c r="C389" s="397"/>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c r="AA389" s="397"/>
      <c r="AB389" s="397"/>
      <c r="AC389" s="397"/>
      <c r="AD389" s="397"/>
      <c r="AE389" s="397"/>
      <c r="AF389" s="397"/>
      <c r="AG389" s="397"/>
      <c r="AH389" s="397"/>
      <c r="AI389" s="397"/>
    </row>
    <row r="390">
      <c r="A390" s="397"/>
      <c r="B390" s="397"/>
      <c r="C390" s="397"/>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c r="AA390" s="397"/>
      <c r="AB390" s="397"/>
      <c r="AC390" s="397"/>
      <c r="AD390" s="397"/>
      <c r="AE390" s="397"/>
      <c r="AF390" s="397"/>
      <c r="AG390" s="397"/>
      <c r="AH390" s="397"/>
      <c r="AI390" s="397"/>
    </row>
    <row r="391">
      <c r="A391" s="397"/>
      <c r="B391" s="397"/>
      <c r="C391" s="397"/>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c r="AA391" s="397"/>
      <c r="AB391" s="397"/>
      <c r="AC391" s="397"/>
      <c r="AD391" s="397"/>
      <c r="AE391" s="397"/>
      <c r="AF391" s="397"/>
      <c r="AG391" s="397"/>
      <c r="AH391" s="397"/>
      <c r="AI391" s="397"/>
    </row>
    <row r="392">
      <c r="A392" s="397"/>
      <c r="B392" s="397"/>
      <c r="C392" s="397"/>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c r="AA392" s="397"/>
      <c r="AB392" s="397"/>
      <c r="AC392" s="397"/>
      <c r="AD392" s="397"/>
      <c r="AE392" s="397"/>
      <c r="AF392" s="397"/>
      <c r="AG392" s="397"/>
      <c r="AH392" s="397"/>
      <c r="AI392" s="397"/>
    </row>
    <row r="393">
      <c r="A393" s="397"/>
      <c r="B393" s="397"/>
      <c r="C393" s="397"/>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c r="AA393" s="397"/>
      <c r="AB393" s="397"/>
      <c r="AC393" s="397"/>
      <c r="AD393" s="397"/>
      <c r="AE393" s="397"/>
      <c r="AF393" s="397"/>
      <c r="AG393" s="397"/>
      <c r="AH393" s="397"/>
      <c r="AI393" s="397"/>
    </row>
    <row r="394">
      <c r="A394" s="397"/>
      <c r="B394" s="397"/>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c r="AA394" s="397"/>
      <c r="AB394" s="397"/>
      <c r="AC394" s="397"/>
      <c r="AD394" s="397"/>
      <c r="AE394" s="397"/>
      <c r="AF394" s="397"/>
      <c r="AG394" s="397"/>
      <c r="AH394" s="397"/>
      <c r="AI394" s="397"/>
    </row>
    <row r="395">
      <c r="A395" s="397"/>
      <c r="B395" s="397"/>
      <c r="C395" s="397"/>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c r="AA395" s="397"/>
      <c r="AB395" s="397"/>
      <c r="AC395" s="397"/>
      <c r="AD395" s="397"/>
      <c r="AE395" s="397"/>
      <c r="AF395" s="397"/>
      <c r="AG395" s="397"/>
      <c r="AH395" s="397"/>
      <c r="AI395" s="397"/>
    </row>
    <row r="396">
      <c r="A396" s="397"/>
      <c r="B396" s="397"/>
      <c r="C396" s="397"/>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c r="AA396" s="397"/>
      <c r="AB396" s="397"/>
      <c r="AC396" s="397"/>
      <c r="AD396" s="397"/>
      <c r="AE396" s="397"/>
      <c r="AF396" s="397"/>
      <c r="AG396" s="397"/>
      <c r="AH396" s="397"/>
      <c r="AI396" s="397"/>
    </row>
    <row r="397">
      <c r="A397" s="397"/>
      <c r="B397" s="397"/>
      <c r="C397" s="397"/>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c r="AA397" s="397"/>
      <c r="AB397" s="397"/>
      <c r="AC397" s="397"/>
      <c r="AD397" s="397"/>
      <c r="AE397" s="397"/>
      <c r="AF397" s="397"/>
      <c r="AG397" s="397"/>
      <c r="AH397" s="397"/>
      <c r="AI397" s="397"/>
    </row>
    <row r="398">
      <c r="A398" s="397"/>
      <c r="B398" s="397"/>
      <c r="C398" s="397"/>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c r="AA398" s="397"/>
      <c r="AB398" s="397"/>
      <c r="AC398" s="397"/>
      <c r="AD398" s="397"/>
      <c r="AE398" s="397"/>
      <c r="AF398" s="397"/>
      <c r="AG398" s="397"/>
      <c r="AH398" s="397"/>
      <c r="AI398" s="397"/>
    </row>
    <row r="399">
      <c r="A399" s="397"/>
      <c r="B399" s="397"/>
      <c r="C399" s="397"/>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c r="AA399" s="397"/>
      <c r="AB399" s="397"/>
      <c r="AC399" s="397"/>
      <c r="AD399" s="397"/>
      <c r="AE399" s="397"/>
      <c r="AF399" s="397"/>
      <c r="AG399" s="397"/>
      <c r="AH399" s="397"/>
      <c r="AI399" s="397"/>
    </row>
    <row r="400">
      <c r="A400" s="397"/>
      <c r="B400" s="397"/>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c r="AA400" s="397"/>
      <c r="AB400" s="397"/>
      <c r="AC400" s="397"/>
      <c r="AD400" s="397"/>
      <c r="AE400" s="397"/>
      <c r="AF400" s="397"/>
      <c r="AG400" s="397"/>
      <c r="AH400" s="397"/>
      <c r="AI400" s="397"/>
    </row>
    <row r="401">
      <c r="A401" s="397"/>
      <c r="B401" s="397"/>
      <c r="C401" s="397"/>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c r="AA401" s="397"/>
      <c r="AB401" s="397"/>
      <c r="AC401" s="397"/>
      <c r="AD401" s="397"/>
      <c r="AE401" s="397"/>
      <c r="AF401" s="397"/>
      <c r="AG401" s="397"/>
      <c r="AH401" s="397"/>
      <c r="AI401" s="397"/>
    </row>
    <row r="402">
      <c r="A402" s="397"/>
      <c r="B402" s="397"/>
      <c r="C402" s="397"/>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c r="AA402" s="397"/>
      <c r="AB402" s="397"/>
      <c r="AC402" s="397"/>
      <c r="AD402" s="397"/>
      <c r="AE402" s="397"/>
      <c r="AF402" s="397"/>
      <c r="AG402" s="397"/>
      <c r="AH402" s="397"/>
      <c r="AI402" s="397"/>
    </row>
    <row r="403">
      <c r="A403" s="397"/>
      <c r="B403" s="397"/>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c r="AA403" s="397"/>
      <c r="AB403" s="397"/>
      <c r="AC403" s="397"/>
      <c r="AD403" s="397"/>
      <c r="AE403" s="397"/>
      <c r="AF403" s="397"/>
      <c r="AG403" s="397"/>
      <c r="AH403" s="397"/>
      <c r="AI403" s="397"/>
    </row>
    <row r="404">
      <c r="A404" s="397"/>
      <c r="B404" s="397"/>
      <c r="C404" s="397"/>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c r="AA404" s="397"/>
      <c r="AB404" s="397"/>
      <c r="AC404" s="397"/>
      <c r="AD404" s="397"/>
      <c r="AE404" s="397"/>
      <c r="AF404" s="397"/>
      <c r="AG404" s="397"/>
      <c r="AH404" s="397"/>
      <c r="AI404" s="397"/>
    </row>
    <row r="405">
      <c r="A405" s="397"/>
      <c r="B405" s="397"/>
      <c r="C405" s="397"/>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c r="AA405" s="397"/>
      <c r="AB405" s="397"/>
      <c r="AC405" s="397"/>
      <c r="AD405" s="397"/>
      <c r="AE405" s="397"/>
      <c r="AF405" s="397"/>
      <c r="AG405" s="397"/>
      <c r="AH405" s="397"/>
      <c r="AI405" s="397"/>
    </row>
    <row r="406">
      <c r="A406" s="397"/>
      <c r="B406" s="397"/>
      <c r="C406" s="397"/>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c r="AA406" s="397"/>
      <c r="AB406" s="397"/>
      <c r="AC406" s="397"/>
      <c r="AD406" s="397"/>
      <c r="AE406" s="397"/>
      <c r="AF406" s="397"/>
      <c r="AG406" s="397"/>
      <c r="AH406" s="397"/>
      <c r="AI406" s="397"/>
    </row>
    <row r="407">
      <c r="A407" s="397"/>
      <c r="B407" s="397"/>
      <c r="C407" s="397"/>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c r="AA407" s="397"/>
      <c r="AB407" s="397"/>
      <c r="AC407" s="397"/>
      <c r="AD407" s="397"/>
      <c r="AE407" s="397"/>
      <c r="AF407" s="397"/>
      <c r="AG407" s="397"/>
      <c r="AH407" s="397"/>
      <c r="AI407" s="397"/>
    </row>
    <row r="408">
      <c r="A408" s="397"/>
      <c r="B408" s="397"/>
      <c r="C408" s="397"/>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c r="AA408" s="397"/>
      <c r="AB408" s="397"/>
      <c r="AC408" s="397"/>
      <c r="AD408" s="397"/>
      <c r="AE408" s="397"/>
      <c r="AF408" s="397"/>
      <c r="AG408" s="397"/>
      <c r="AH408" s="397"/>
      <c r="AI408" s="397"/>
    </row>
    <row r="409">
      <c r="A409" s="397"/>
      <c r="B409" s="397"/>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c r="AA409" s="397"/>
      <c r="AB409" s="397"/>
      <c r="AC409" s="397"/>
      <c r="AD409" s="397"/>
      <c r="AE409" s="397"/>
      <c r="AF409" s="397"/>
      <c r="AG409" s="397"/>
      <c r="AH409" s="397"/>
      <c r="AI409" s="397"/>
    </row>
    <row r="410">
      <c r="A410" s="397"/>
      <c r="B410" s="397"/>
      <c r="C410" s="397"/>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c r="AA410" s="397"/>
      <c r="AB410" s="397"/>
      <c r="AC410" s="397"/>
      <c r="AD410" s="397"/>
      <c r="AE410" s="397"/>
      <c r="AF410" s="397"/>
      <c r="AG410" s="397"/>
      <c r="AH410" s="397"/>
      <c r="AI410" s="397"/>
    </row>
    <row r="411">
      <c r="A411" s="397"/>
      <c r="B411" s="397"/>
      <c r="C411" s="397"/>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c r="AA411" s="397"/>
      <c r="AB411" s="397"/>
      <c r="AC411" s="397"/>
      <c r="AD411" s="397"/>
      <c r="AE411" s="397"/>
      <c r="AF411" s="397"/>
      <c r="AG411" s="397"/>
      <c r="AH411" s="397"/>
      <c r="AI411" s="397"/>
    </row>
    <row r="412">
      <c r="A412" s="397"/>
      <c r="B412" s="397"/>
      <c r="C412" s="397"/>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c r="AA412" s="397"/>
      <c r="AB412" s="397"/>
      <c r="AC412" s="397"/>
      <c r="AD412" s="397"/>
      <c r="AE412" s="397"/>
      <c r="AF412" s="397"/>
      <c r="AG412" s="397"/>
      <c r="AH412" s="397"/>
      <c r="AI412" s="397"/>
    </row>
    <row r="413">
      <c r="A413" s="397"/>
      <c r="B413" s="397"/>
      <c r="C413" s="397"/>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c r="AA413" s="397"/>
      <c r="AB413" s="397"/>
      <c r="AC413" s="397"/>
      <c r="AD413" s="397"/>
      <c r="AE413" s="397"/>
      <c r="AF413" s="397"/>
      <c r="AG413" s="397"/>
      <c r="AH413" s="397"/>
      <c r="AI413" s="397"/>
    </row>
    <row r="414">
      <c r="A414" s="397"/>
      <c r="B414" s="397"/>
      <c r="C414" s="397"/>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c r="AA414" s="397"/>
      <c r="AB414" s="397"/>
      <c r="AC414" s="397"/>
      <c r="AD414" s="397"/>
      <c r="AE414" s="397"/>
      <c r="AF414" s="397"/>
      <c r="AG414" s="397"/>
      <c r="AH414" s="397"/>
      <c r="AI414" s="397"/>
    </row>
    <row r="415">
      <c r="A415" s="397"/>
      <c r="B415" s="397"/>
      <c r="C415" s="397"/>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c r="AA415" s="397"/>
      <c r="AB415" s="397"/>
      <c r="AC415" s="397"/>
      <c r="AD415" s="397"/>
      <c r="AE415" s="397"/>
      <c r="AF415" s="397"/>
      <c r="AG415" s="397"/>
      <c r="AH415" s="397"/>
      <c r="AI415" s="397"/>
    </row>
    <row r="416">
      <c r="A416" s="397"/>
      <c r="B416" s="397"/>
      <c r="C416" s="397"/>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c r="AA416" s="397"/>
      <c r="AB416" s="397"/>
      <c r="AC416" s="397"/>
      <c r="AD416" s="397"/>
      <c r="AE416" s="397"/>
      <c r="AF416" s="397"/>
      <c r="AG416" s="397"/>
      <c r="AH416" s="397"/>
      <c r="AI416" s="397"/>
    </row>
    <row r="417">
      <c r="A417" s="397"/>
      <c r="B417" s="397"/>
      <c r="C417" s="397"/>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c r="AA417" s="397"/>
      <c r="AB417" s="397"/>
      <c r="AC417" s="397"/>
      <c r="AD417" s="397"/>
      <c r="AE417" s="397"/>
      <c r="AF417" s="397"/>
      <c r="AG417" s="397"/>
      <c r="AH417" s="397"/>
      <c r="AI417" s="397"/>
    </row>
    <row r="418">
      <c r="A418" s="397"/>
      <c r="B418" s="397"/>
      <c r="C418" s="397"/>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c r="AA418" s="397"/>
      <c r="AB418" s="397"/>
      <c r="AC418" s="397"/>
      <c r="AD418" s="397"/>
      <c r="AE418" s="397"/>
      <c r="AF418" s="397"/>
      <c r="AG418" s="397"/>
      <c r="AH418" s="397"/>
      <c r="AI418" s="397"/>
    </row>
    <row r="419">
      <c r="A419" s="397"/>
      <c r="B419" s="397"/>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c r="AA419" s="397"/>
      <c r="AB419" s="397"/>
      <c r="AC419" s="397"/>
      <c r="AD419" s="397"/>
      <c r="AE419" s="397"/>
      <c r="AF419" s="397"/>
      <c r="AG419" s="397"/>
      <c r="AH419" s="397"/>
      <c r="AI419" s="397"/>
    </row>
    <row r="420">
      <c r="A420" s="397"/>
      <c r="B420" s="397"/>
      <c r="C420" s="397"/>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c r="AA420" s="397"/>
      <c r="AB420" s="397"/>
      <c r="AC420" s="397"/>
      <c r="AD420" s="397"/>
      <c r="AE420" s="397"/>
      <c r="AF420" s="397"/>
      <c r="AG420" s="397"/>
      <c r="AH420" s="397"/>
      <c r="AI420" s="397"/>
    </row>
    <row r="421">
      <c r="A421" s="397"/>
      <c r="B421" s="397"/>
      <c r="C421" s="397"/>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c r="AA421" s="397"/>
      <c r="AB421" s="397"/>
      <c r="AC421" s="397"/>
      <c r="AD421" s="397"/>
      <c r="AE421" s="397"/>
      <c r="AF421" s="397"/>
      <c r="AG421" s="397"/>
      <c r="AH421" s="397"/>
      <c r="AI421" s="397"/>
    </row>
    <row r="422">
      <c r="A422" s="397"/>
      <c r="B422" s="397"/>
      <c r="C422" s="397"/>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c r="AA422" s="397"/>
      <c r="AB422" s="397"/>
      <c r="AC422" s="397"/>
      <c r="AD422" s="397"/>
      <c r="AE422" s="397"/>
      <c r="AF422" s="397"/>
      <c r="AG422" s="397"/>
      <c r="AH422" s="397"/>
      <c r="AI422" s="397"/>
    </row>
    <row r="423">
      <c r="A423" s="397"/>
      <c r="B423" s="397"/>
      <c r="C423" s="397"/>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c r="AA423" s="397"/>
      <c r="AB423" s="397"/>
      <c r="AC423" s="397"/>
      <c r="AD423" s="397"/>
      <c r="AE423" s="397"/>
      <c r="AF423" s="397"/>
      <c r="AG423" s="397"/>
      <c r="AH423" s="397"/>
      <c r="AI423" s="397"/>
    </row>
    <row r="424">
      <c r="A424" s="397"/>
      <c r="B424" s="397"/>
      <c r="C424" s="397"/>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c r="AA424" s="397"/>
      <c r="AB424" s="397"/>
      <c r="AC424" s="397"/>
      <c r="AD424" s="397"/>
      <c r="AE424" s="397"/>
      <c r="AF424" s="397"/>
      <c r="AG424" s="397"/>
      <c r="AH424" s="397"/>
      <c r="AI424" s="397"/>
    </row>
    <row r="425">
      <c r="A425" s="397"/>
      <c r="B425" s="397"/>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c r="AA425" s="397"/>
      <c r="AB425" s="397"/>
      <c r="AC425" s="397"/>
      <c r="AD425" s="397"/>
      <c r="AE425" s="397"/>
      <c r="AF425" s="397"/>
      <c r="AG425" s="397"/>
      <c r="AH425" s="397"/>
      <c r="AI425" s="397"/>
    </row>
    <row r="426">
      <c r="A426" s="397"/>
      <c r="B426" s="397"/>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c r="AA426" s="397"/>
      <c r="AB426" s="397"/>
      <c r="AC426" s="397"/>
      <c r="AD426" s="397"/>
      <c r="AE426" s="397"/>
      <c r="AF426" s="397"/>
      <c r="AG426" s="397"/>
      <c r="AH426" s="397"/>
      <c r="AI426" s="397"/>
    </row>
    <row r="427">
      <c r="A427" s="397"/>
      <c r="B427" s="397"/>
      <c r="C427" s="397"/>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c r="AA427" s="397"/>
      <c r="AB427" s="397"/>
      <c r="AC427" s="397"/>
      <c r="AD427" s="397"/>
      <c r="AE427" s="397"/>
      <c r="AF427" s="397"/>
      <c r="AG427" s="397"/>
      <c r="AH427" s="397"/>
      <c r="AI427" s="397"/>
    </row>
    <row r="428">
      <c r="A428" s="397"/>
      <c r="B428" s="397"/>
      <c r="C428" s="397"/>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c r="AA428" s="397"/>
      <c r="AB428" s="397"/>
      <c r="AC428" s="397"/>
      <c r="AD428" s="397"/>
      <c r="AE428" s="397"/>
      <c r="AF428" s="397"/>
      <c r="AG428" s="397"/>
      <c r="AH428" s="397"/>
      <c r="AI428" s="397"/>
    </row>
    <row r="429">
      <c r="A429" s="397"/>
      <c r="B429" s="397"/>
      <c r="C429" s="397"/>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c r="AA429" s="397"/>
      <c r="AB429" s="397"/>
      <c r="AC429" s="397"/>
      <c r="AD429" s="397"/>
      <c r="AE429" s="397"/>
      <c r="AF429" s="397"/>
      <c r="AG429" s="397"/>
      <c r="AH429" s="397"/>
      <c r="AI429" s="397"/>
    </row>
    <row r="430">
      <c r="A430" s="397"/>
      <c r="B430" s="397"/>
      <c r="C430" s="397"/>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c r="AA430" s="397"/>
      <c r="AB430" s="397"/>
      <c r="AC430" s="397"/>
      <c r="AD430" s="397"/>
      <c r="AE430" s="397"/>
      <c r="AF430" s="397"/>
      <c r="AG430" s="397"/>
      <c r="AH430" s="397"/>
      <c r="AI430" s="397"/>
    </row>
    <row r="431">
      <c r="A431" s="397"/>
      <c r="B431" s="397"/>
      <c r="C431" s="397"/>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c r="AA431" s="397"/>
      <c r="AB431" s="397"/>
      <c r="AC431" s="397"/>
      <c r="AD431" s="397"/>
      <c r="AE431" s="397"/>
      <c r="AF431" s="397"/>
      <c r="AG431" s="397"/>
      <c r="AH431" s="397"/>
      <c r="AI431" s="397"/>
    </row>
    <row r="432">
      <c r="A432" s="397"/>
      <c r="B432" s="397"/>
      <c r="C432" s="397"/>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c r="AA432" s="397"/>
      <c r="AB432" s="397"/>
      <c r="AC432" s="397"/>
      <c r="AD432" s="397"/>
      <c r="AE432" s="397"/>
      <c r="AF432" s="397"/>
      <c r="AG432" s="397"/>
      <c r="AH432" s="397"/>
      <c r="AI432" s="397"/>
    </row>
    <row r="433">
      <c r="A433" s="397"/>
      <c r="B433" s="397"/>
      <c r="C433" s="397"/>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c r="AA433" s="397"/>
      <c r="AB433" s="397"/>
      <c r="AC433" s="397"/>
      <c r="AD433" s="397"/>
      <c r="AE433" s="397"/>
      <c r="AF433" s="397"/>
      <c r="AG433" s="397"/>
      <c r="AH433" s="397"/>
      <c r="AI433" s="397"/>
    </row>
    <row r="434">
      <c r="A434" s="397"/>
      <c r="B434" s="397"/>
      <c r="C434" s="397"/>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c r="AA434" s="397"/>
      <c r="AB434" s="397"/>
      <c r="AC434" s="397"/>
      <c r="AD434" s="397"/>
      <c r="AE434" s="397"/>
      <c r="AF434" s="397"/>
      <c r="AG434" s="397"/>
      <c r="AH434" s="397"/>
      <c r="AI434" s="397"/>
    </row>
    <row r="435">
      <c r="A435" s="397"/>
      <c r="B435" s="397"/>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c r="AA435" s="397"/>
      <c r="AB435" s="397"/>
      <c r="AC435" s="397"/>
      <c r="AD435" s="397"/>
      <c r="AE435" s="397"/>
      <c r="AF435" s="397"/>
      <c r="AG435" s="397"/>
      <c r="AH435" s="397"/>
      <c r="AI435" s="397"/>
    </row>
    <row r="436">
      <c r="A436" s="397"/>
      <c r="B436" s="397"/>
      <c r="C436" s="397"/>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c r="AA436" s="397"/>
      <c r="AB436" s="397"/>
      <c r="AC436" s="397"/>
      <c r="AD436" s="397"/>
      <c r="AE436" s="397"/>
      <c r="AF436" s="397"/>
      <c r="AG436" s="397"/>
      <c r="AH436" s="397"/>
      <c r="AI436" s="397"/>
    </row>
    <row r="437">
      <c r="A437" s="397"/>
      <c r="B437" s="397"/>
      <c r="C437" s="397"/>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c r="AA437" s="397"/>
      <c r="AB437" s="397"/>
      <c r="AC437" s="397"/>
      <c r="AD437" s="397"/>
      <c r="AE437" s="397"/>
      <c r="AF437" s="397"/>
      <c r="AG437" s="397"/>
      <c r="AH437" s="397"/>
      <c r="AI437" s="397"/>
    </row>
    <row r="438">
      <c r="A438" s="397"/>
      <c r="B438" s="397"/>
      <c r="C438" s="397"/>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c r="AA438" s="397"/>
      <c r="AB438" s="397"/>
      <c r="AC438" s="397"/>
      <c r="AD438" s="397"/>
      <c r="AE438" s="397"/>
      <c r="AF438" s="397"/>
      <c r="AG438" s="397"/>
      <c r="AH438" s="397"/>
      <c r="AI438" s="397"/>
    </row>
    <row r="439">
      <c r="A439" s="397"/>
      <c r="B439" s="397"/>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c r="AA439" s="397"/>
      <c r="AB439" s="397"/>
      <c r="AC439" s="397"/>
      <c r="AD439" s="397"/>
      <c r="AE439" s="397"/>
      <c r="AF439" s="397"/>
      <c r="AG439" s="397"/>
      <c r="AH439" s="397"/>
      <c r="AI439" s="397"/>
    </row>
    <row r="440">
      <c r="A440" s="397"/>
      <c r="B440" s="397"/>
      <c r="C440" s="397"/>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c r="AA440" s="397"/>
      <c r="AB440" s="397"/>
      <c r="AC440" s="397"/>
      <c r="AD440" s="397"/>
      <c r="AE440" s="397"/>
      <c r="AF440" s="397"/>
      <c r="AG440" s="397"/>
      <c r="AH440" s="397"/>
      <c r="AI440" s="397"/>
    </row>
    <row r="441">
      <c r="A441" s="397"/>
      <c r="B441" s="397"/>
      <c r="C441" s="397"/>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c r="AA441" s="397"/>
      <c r="AB441" s="397"/>
      <c r="AC441" s="397"/>
      <c r="AD441" s="397"/>
      <c r="AE441" s="397"/>
      <c r="AF441" s="397"/>
      <c r="AG441" s="397"/>
      <c r="AH441" s="397"/>
      <c r="AI441" s="397"/>
    </row>
    <row r="442">
      <c r="A442" s="397"/>
      <c r="B442" s="397"/>
      <c r="C442" s="397"/>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c r="AA442" s="397"/>
      <c r="AB442" s="397"/>
      <c r="AC442" s="397"/>
      <c r="AD442" s="397"/>
      <c r="AE442" s="397"/>
      <c r="AF442" s="397"/>
      <c r="AG442" s="397"/>
      <c r="AH442" s="397"/>
      <c r="AI442" s="397"/>
    </row>
    <row r="443">
      <c r="A443" s="397"/>
      <c r="B443" s="397"/>
      <c r="C443" s="397"/>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c r="AA443" s="397"/>
      <c r="AB443" s="397"/>
      <c r="AC443" s="397"/>
      <c r="AD443" s="397"/>
      <c r="AE443" s="397"/>
      <c r="AF443" s="397"/>
      <c r="AG443" s="397"/>
      <c r="AH443" s="397"/>
      <c r="AI443" s="397"/>
    </row>
    <row r="444">
      <c r="A444" s="397"/>
      <c r="B444" s="397"/>
      <c r="C444" s="397"/>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c r="AA444" s="397"/>
      <c r="AB444" s="397"/>
      <c r="AC444" s="397"/>
      <c r="AD444" s="397"/>
      <c r="AE444" s="397"/>
      <c r="AF444" s="397"/>
      <c r="AG444" s="397"/>
      <c r="AH444" s="397"/>
      <c r="AI444" s="397"/>
    </row>
    <row r="445">
      <c r="A445" s="397"/>
      <c r="B445" s="397"/>
      <c r="C445" s="397"/>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c r="AA445" s="397"/>
      <c r="AB445" s="397"/>
      <c r="AC445" s="397"/>
      <c r="AD445" s="397"/>
      <c r="AE445" s="397"/>
      <c r="AF445" s="397"/>
      <c r="AG445" s="397"/>
      <c r="AH445" s="397"/>
      <c r="AI445" s="397"/>
    </row>
    <row r="446">
      <c r="A446" s="397"/>
      <c r="B446" s="397"/>
      <c r="C446" s="397"/>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c r="AA446" s="397"/>
      <c r="AB446" s="397"/>
      <c r="AC446" s="397"/>
      <c r="AD446" s="397"/>
      <c r="AE446" s="397"/>
      <c r="AF446" s="397"/>
      <c r="AG446" s="397"/>
      <c r="AH446" s="397"/>
      <c r="AI446" s="397"/>
    </row>
    <row r="447">
      <c r="A447" s="397"/>
      <c r="B447" s="397"/>
      <c r="C447" s="397"/>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c r="AA447" s="397"/>
      <c r="AB447" s="397"/>
      <c r="AC447" s="397"/>
      <c r="AD447" s="397"/>
      <c r="AE447" s="397"/>
      <c r="AF447" s="397"/>
      <c r="AG447" s="397"/>
      <c r="AH447" s="397"/>
      <c r="AI447" s="397"/>
    </row>
    <row r="448">
      <c r="A448" s="397"/>
      <c r="B448" s="397"/>
      <c r="C448" s="397"/>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c r="AA448" s="397"/>
      <c r="AB448" s="397"/>
      <c r="AC448" s="397"/>
      <c r="AD448" s="397"/>
      <c r="AE448" s="397"/>
      <c r="AF448" s="397"/>
      <c r="AG448" s="397"/>
      <c r="AH448" s="397"/>
      <c r="AI448" s="397"/>
    </row>
    <row r="449">
      <c r="A449" s="397"/>
      <c r="B449" s="397"/>
      <c r="C449" s="397"/>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c r="AA449" s="397"/>
      <c r="AB449" s="397"/>
      <c r="AC449" s="397"/>
      <c r="AD449" s="397"/>
      <c r="AE449" s="397"/>
      <c r="AF449" s="397"/>
      <c r="AG449" s="397"/>
      <c r="AH449" s="397"/>
      <c r="AI449" s="397"/>
    </row>
    <row r="450">
      <c r="A450" s="397"/>
      <c r="B450" s="397"/>
      <c r="C450" s="397"/>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c r="AA450" s="397"/>
      <c r="AB450" s="397"/>
      <c r="AC450" s="397"/>
      <c r="AD450" s="397"/>
      <c r="AE450" s="397"/>
      <c r="AF450" s="397"/>
      <c r="AG450" s="397"/>
      <c r="AH450" s="397"/>
      <c r="AI450" s="397"/>
    </row>
    <row r="451">
      <c r="A451" s="397"/>
      <c r="B451" s="397"/>
      <c r="C451" s="397"/>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c r="AA451" s="397"/>
      <c r="AB451" s="397"/>
      <c r="AC451" s="397"/>
      <c r="AD451" s="397"/>
      <c r="AE451" s="397"/>
      <c r="AF451" s="397"/>
      <c r="AG451" s="397"/>
      <c r="AH451" s="397"/>
      <c r="AI451" s="397"/>
    </row>
    <row r="452">
      <c r="A452" s="397"/>
      <c r="B452" s="397"/>
      <c r="C452" s="397"/>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c r="AA452" s="397"/>
      <c r="AB452" s="397"/>
      <c r="AC452" s="397"/>
      <c r="AD452" s="397"/>
      <c r="AE452" s="397"/>
      <c r="AF452" s="397"/>
      <c r="AG452" s="397"/>
      <c r="AH452" s="397"/>
      <c r="AI452" s="397"/>
    </row>
    <row r="453">
      <c r="A453" s="397"/>
      <c r="B453" s="397"/>
      <c r="C453" s="397"/>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c r="AA453" s="397"/>
      <c r="AB453" s="397"/>
      <c r="AC453" s="397"/>
      <c r="AD453" s="397"/>
      <c r="AE453" s="397"/>
      <c r="AF453" s="397"/>
      <c r="AG453" s="397"/>
      <c r="AH453" s="397"/>
      <c r="AI453" s="397"/>
    </row>
    <row r="454">
      <c r="A454" s="397"/>
      <c r="B454" s="397"/>
      <c r="C454" s="397"/>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c r="AA454" s="397"/>
      <c r="AB454" s="397"/>
      <c r="AC454" s="397"/>
      <c r="AD454" s="397"/>
      <c r="AE454" s="397"/>
      <c r="AF454" s="397"/>
      <c r="AG454" s="397"/>
      <c r="AH454" s="397"/>
      <c r="AI454" s="397"/>
    </row>
    <row r="455">
      <c r="A455" s="397"/>
      <c r="B455" s="397"/>
      <c r="C455" s="397"/>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c r="AA455" s="397"/>
      <c r="AB455" s="397"/>
      <c r="AC455" s="397"/>
      <c r="AD455" s="397"/>
      <c r="AE455" s="397"/>
      <c r="AF455" s="397"/>
      <c r="AG455" s="397"/>
      <c r="AH455" s="397"/>
      <c r="AI455" s="397"/>
    </row>
    <row r="456">
      <c r="A456" s="397"/>
      <c r="B456" s="397"/>
      <c r="C456" s="397"/>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c r="AA456" s="397"/>
      <c r="AB456" s="397"/>
      <c r="AC456" s="397"/>
      <c r="AD456" s="397"/>
      <c r="AE456" s="397"/>
      <c r="AF456" s="397"/>
      <c r="AG456" s="397"/>
      <c r="AH456" s="397"/>
      <c r="AI456" s="397"/>
    </row>
    <row r="457">
      <c r="A457" s="397"/>
      <c r="B457" s="397"/>
      <c r="C457" s="397"/>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c r="AA457" s="397"/>
      <c r="AB457" s="397"/>
      <c r="AC457" s="397"/>
      <c r="AD457" s="397"/>
      <c r="AE457" s="397"/>
      <c r="AF457" s="397"/>
      <c r="AG457" s="397"/>
      <c r="AH457" s="397"/>
      <c r="AI457" s="397"/>
    </row>
    <row r="458">
      <c r="A458" s="397"/>
      <c r="B458" s="397"/>
      <c r="C458" s="397"/>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c r="AA458" s="397"/>
      <c r="AB458" s="397"/>
      <c r="AC458" s="397"/>
      <c r="AD458" s="397"/>
      <c r="AE458" s="397"/>
      <c r="AF458" s="397"/>
      <c r="AG458" s="397"/>
      <c r="AH458" s="397"/>
      <c r="AI458" s="397"/>
    </row>
    <row r="459">
      <c r="A459" s="397"/>
      <c r="B459" s="397"/>
      <c r="C459" s="397"/>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c r="AA459" s="397"/>
      <c r="AB459" s="397"/>
      <c r="AC459" s="397"/>
      <c r="AD459" s="397"/>
      <c r="AE459" s="397"/>
      <c r="AF459" s="397"/>
      <c r="AG459" s="397"/>
      <c r="AH459" s="397"/>
      <c r="AI459" s="397"/>
    </row>
    <row r="460">
      <c r="A460" s="397"/>
      <c r="B460" s="397"/>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c r="AA460" s="397"/>
      <c r="AB460" s="397"/>
      <c r="AC460" s="397"/>
      <c r="AD460" s="397"/>
      <c r="AE460" s="397"/>
      <c r="AF460" s="397"/>
      <c r="AG460" s="397"/>
      <c r="AH460" s="397"/>
      <c r="AI460" s="397"/>
    </row>
    <row r="461">
      <c r="A461" s="397"/>
      <c r="B461" s="397"/>
      <c r="C461" s="397"/>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c r="AA461" s="397"/>
      <c r="AB461" s="397"/>
      <c r="AC461" s="397"/>
      <c r="AD461" s="397"/>
      <c r="AE461" s="397"/>
      <c r="AF461" s="397"/>
      <c r="AG461" s="397"/>
      <c r="AH461" s="397"/>
      <c r="AI461" s="397"/>
    </row>
    <row r="462">
      <c r="A462" s="397"/>
      <c r="B462" s="397"/>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c r="AA462" s="397"/>
      <c r="AB462" s="397"/>
      <c r="AC462" s="397"/>
      <c r="AD462" s="397"/>
      <c r="AE462" s="397"/>
      <c r="AF462" s="397"/>
      <c r="AG462" s="397"/>
      <c r="AH462" s="397"/>
      <c r="AI462" s="397"/>
    </row>
    <row r="463">
      <c r="A463" s="397"/>
      <c r="B463" s="397"/>
      <c r="C463" s="397"/>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c r="AA463" s="397"/>
      <c r="AB463" s="397"/>
      <c r="AC463" s="397"/>
      <c r="AD463" s="397"/>
      <c r="AE463" s="397"/>
      <c r="AF463" s="397"/>
      <c r="AG463" s="397"/>
      <c r="AH463" s="397"/>
      <c r="AI463" s="397"/>
    </row>
    <row r="464">
      <c r="A464" s="397"/>
      <c r="B464" s="397"/>
      <c r="C464" s="397"/>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c r="AA464" s="397"/>
      <c r="AB464" s="397"/>
      <c r="AC464" s="397"/>
      <c r="AD464" s="397"/>
      <c r="AE464" s="397"/>
      <c r="AF464" s="397"/>
      <c r="AG464" s="397"/>
      <c r="AH464" s="397"/>
      <c r="AI464" s="397"/>
    </row>
    <row r="465">
      <c r="A465" s="397"/>
      <c r="B465" s="397"/>
      <c r="C465" s="397"/>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c r="AA465" s="397"/>
      <c r="AB465" s="397"/>
      <c r="AC465" s="397"/>
      <c r="AD465" s="397"/>
      <c r="AE465" s="397"/>
      <c r="AF465" s="397"/>
      <c r="AG465" s="397"/>
      <c r="AH465" s="397"/>
      <c r="AI465" s="397"/>
    </row>
    <row r="466">
      <c r="A466" s="397"/>
      <c r="B466" s="397"/>
      <c r="C466" s="397"/>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c r="AA466" s="397"/>
      <c r="AB466" s="397"/>
      <c r="AC466" s="397"/>
      <c r="AD466" s="397"/>
      <c r="AE466" s="397"/>
      <c r="AF466" s="397"/>
      <c r="AG466" s="397"/>
      <c r="AH466" s="397"/>
      <c r="AI466" s="397"/>
    </row>
    <row r="467">
      <c r="A467" s="397"/>
      <c r="B467" s="397"/>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c r="AA467" s="397"/>
      <c r="AB467" s="397"/>
      <c r="AC467" s="397"/>
      <c r="AD467" s="397"/>
      <c r="AE467" s="397"/>
      <c r="AF467" s="397"/>
      <c r="AG467" s="397"/>
      <c r="AH467" s="397"/>
      <c r="AI467" s="397"/>
    </row>
    <row r="468">
      <c r="A468" s="397"/>
      <c r="B468" s="397"/>
      <c r="C468" s="397"/>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c r="AA468" s="397"/>
      <c r="AB468" s="397"/>
      <c r="AC468" s="397"/>
      <c r="AD468" s="397"/>
      <c r="AE468" s="397"/>
      <c r="AF468" s="397"/>
      <c r="AG468" s="397"/>
      <c r="AH468" s="397"/>
      <c r="AI468" s="397"/>
    </row>
    <row r="469">
      <c r="A469" s="397"/>
      <c r="B469" s="397"/>
      <c r="C469" s="397"/>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c r="AA469" s="397"/>
      <c r="AB469" s="397"/>
      <c r="AC469" s="397"/>
      <c r="AD469" s="397"/>
      <c r="AE469" s="397"/>
      <c r="AF469" s="397"/>
      <c r="AG469" s="397"/>
      <c r="AH469" s="397"/>
      <c r="AI469" s="397"/>
    </row>
    <row r="470">
      <c r="A470" s="397"/>
      <c r="B470" s="397"/>
      <c r="C470" s="397"/>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c r="AA470" s="397"/>
      <c r="AB470" s="397"/>
      <c r="AC470" s="397"/>
      <c r="AD470" s="397"/>
      <c r="AE470" s="397"/>
      <c r="AF470" s="397"/>
      <c r="AG470" s="397"/>
      <c r="AH470" s="397"/>
      <c r="AI470" s="397"/>
    </row>
    <row r="471">
      <c r="A471" s="397"/>
      <c r="B471" s="397"/>
      <c r="C471" s="397"/>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c r="AA471" s="397"/>
      <c r="AB471" s="397"/>
      <c r="AC471" s="397"/>
      <c r="AD471" s="397"/>
      <c r="AE471" s="397"/>
      <c r="AF471" s="397"/>
      <c r="AG471" s="397"/>
      <c r="AH471" s="397"/>
      <c r="AI471" s="397"/>
    </row>
    <row r="472">
      <c r="A472" s="397"/>
      <c r="B472" s="397"/>
      <c r="C472" s="397"/>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c r="AA472" s="397"/>
      <c r="AB472" s="397"/>
      <c r="AC472" s="397"/>
      <c r="AD472" s="397"/>
      <c r="AE472" s="397"/>
      <c r="AF472" s="397"/>
      <c r="AG472" s="397"/>
      <c r="AH472" s="397"/>
      <c r="AI472" s="397"/>
    </row>
    <row r="473">
      <c r="A473" s="397"/>
      <c r="B473" s="397"/>
      <c r="C473" s="397"/>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c r="AA473" s="397"/>
      <c r="AB473" s="397"/>
      <c r="AC473" s="397"/>
      <c r="AD473" s="397"/>
      <c r="AE473" s="397"/>
      <c r="AF473" s="397"/>
      <c r="AG473" s="397"/>
      <c r="AH473" s="397"/>
      <c r="AI473" s="397"/>
    </row>
    <row r="474">
      <c r="A474" s="397"/>
      <c r="B474" s="397"/>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c r="AA474" s="397"/>
      <c r="AB474" s="397"/>
      <c r="AC474" s="397"/>
      <c r="AD474" s="397"/>
      <c r="AE474" s="397"/>
      <c r="AF474" s="397"/>
      <c r="AG474" s="397"/>
      <c r="AH474" s="397"/>
      <c r="AI474" s="397"/>
    </row>
    <row r="475">
      <c r="A475" s="397"/>
      <c r="B475" s="397"/>
      <c r="C475" s="397"/>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c r="AA475" s="397"/>
      <c r="AB475" s="397"/>
      <c r="AC475" s="397"/>
      <c r="AD475" s="397"/>
      <c r="AE475" s="397"/>
      <c r="AF475" s="397"/>
      <c r="AG475" s="397"/>
      <c r="AH475" s="397"/>
      <c r="AI475" s="397"/>
    </row>
    <row r="476">
      <c r="A476" s="397"/>
      <c r="B476" s="397"/>
      <c r="C476" s="397"/>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c r="AA476" s="397"/>
      <c r="AB476" s="397"/>
      <c r="AC476" s="397"/>
      <c r="AD476" s="397"/>
      <c r="AE476" s="397"/>
      <c r="AF476" s="397"/>
      <c r="AG476" s="397"/>
      <c r="AH476" s="397"/>
      <c r="AI476" s="397"/>
    </row>
    <row r="477">
      <c r="A477" s="397"/>
      <c r="B477" s="397"/>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c r="AA477" s="397"/>
      <c r="AB477" s="397"/>
      <c r="AC477" s="397"/>
      <c r="AD477" s="397"/>
      <c r="AE477" s="397"/>
      <c r="AF477" s="397"/>
      <c r="AG477" s="397"/>
      <c r="AH477" s="397"/>
      <c r="AI477" s="397"/>
    </row>
    <row r="478">
      <c r="A478" s="397"/>
      <c r="B478" s="397"/>
      <c r="C478" s="397"/>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c r="AA478" s="397"/>
      <c r="AB478" s="397"/>
      <c r="AC478" s="397"/>
      <c r="AD478" s="397"/>
      <c r="AE478" s="397"/>
      <c r="AF478" s="397"/>
      <c r="AG478" s="397"/>
      <c r="AH478" s="397"/>
      <c r="AI478" s="397"/>
    </row>
    <row r="479">
      <c r="A479" s="397"/>
      <c r="B479" s="397"/>
      <c r="C479" s="397"/>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c r="AA479" s="397"/>
      <c r="AB479" s="397"/>
      <c r="AC479" s="397"/>
      <c r="AD479" s="397"/>
      <c r="AE479" s="397"/>
      <c r="AF479" s="397"/>
      <c r="AG479" s="397"/>
      <c r="AH479" s="397"/>
      <c r="AI479" s="397"/>
    </row>
    <row r="480">
      <c r="A480" s="397"/>
      <c r="B480" s="397"/>
      <c r="C480" s="397"/>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c r="AA480" s="397"/>
      <c r="AB480" s="397"/>
      <c r="AC480" s="397"/>
      <c r="AD480" s="397"/>
      <c r="AE480" s="397"/>
      <c r="AF480" s="397"/>
      <c r="AG480" s="397"/>
      <c r="AH480" s="397"/>
      <c r="AI480" s="397"/>
    </row>
    <row r="481">
      <c r="A481" s="397"/>
      <c r="B481" s="397"/>
      <c r="C481" s="397"/>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c r="AA481" s="397"/>
      <c r="AB481" s="397"/>
      <c r="AC481" s="397"/>
      <c r="AD481" s="397"/>
      <c r="AE481" s="397"/>
      <c r="AF481" s="397"/>
      <c r="AG481" s="397"/>
      <c r="AH481" s="397"/>
      <c r="AI481" s="397"/>
    </row>
    <row r="482">
      <c r="A482" s="397"/>
      <c r="B482" s="397"/>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c r="AA482" s="397"/>
      <c r="AB482" s="397"/>
      <c r="AC482" s="397"/>
      <c r="AD482" s="397"/>
      <c r="AE482" s="397"/>
      <c r="AF482" s="397"/>
      <c r="AG482" s="397"/>
      <c r="AH482" s="397"/>
      <c r="AI482" s="397"/>
    </row>
    <row r="483">
      <c r="A483" s="397"/>
      <c r="B483" s="397"/>
      <c r="C483" s="397"/>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c r="AA483" s="397"/>
      <c r="AB483" s="397"/>
      <c r="AC483" s="397"/>
      <c r="AD483" s="397"/>
      <c r="AE483" s="397"/>
      <c r="AF483" s="397"/>
      <c r="AG483" s="397"/>
      <c r="AH483" s="397"/>
      <c r="AI483" s="397"/>
    </row>
    <row r="484">
      <c r="A484" s="397"/>
      <c r="B484" s="397"/>
      <c r="C484" s="397"/>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c r="AA484" s="397"/>
      <c r="AB484" s="397"/>
      <c r="AC484" s="397"/>
      <c r="AD484" s="397"/>
      <c r="AE484" s="397"/>
      <c r="AF484" s="397"/>
      <c r="AG484" s="397"/>
      <c r="AH484" s="397"/>
      <c r="AI484" s="397"/>
    </row>
    <row r="485">
      <c r="A485" s="397"/>
      <c r="B485" s="397"/>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c r="AA485" s="397"/>
      <c r="AB485" s="397"/>
      <c r="AC485" s="397"/>
      <c r="AD485" s="397"/>
      <c r="AE485" s="397"/>
      <c r="AF485" s="397"/>
      <c r="AG485" s="397"/>
      <c r="AH485" s="397"/>
      <c r="AI485" s="397"/>
    </row>
    <row r="486">
      <c r="A486" s="397"/>
      <c r="B486" s="397"/>
      <c r="C486" s="397"/>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c r="AA486" s="397"/>
      <c r="AB486" s="397"/>
      <c r="AC486" s="397"/>
      <c r="AD486" s="397"/>
      <c r="AE486" s="397"/>
      <c r="AF486" s="397"/>
      <c r="AG486" s="397"/>
      <c r="AH486" s="397"/>
      <c r="AI486" s="397"/>
    </row>
    <row r="487">
      <c r="A487" s="397"/>
      <c r="B487" s="397"/>
      <c r="C487" s="397"/>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c r="AA487" s="397"/>
      <c r="AB487" s="397"/>
      <c r="AC487" s="397"/>
      <c r="AD487" s="397"/>
      <c r="AE487" s="397"/>
      <c r="AF487" s="397"/>
      <c r="AG487" s="397"/>
      <c r="AH487" s="397"/>
      <c r="AI487" s="397"/>
    </row>
    <row r="488">
      <c r="A488" s="397"/>
      <c r="B488" s="397"/>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c r="AA488" s="397"/>
      <c r="AB488" s="397"/>
      <c r="AC488" s="397"/>
      <c r="AD488" s="397"/>
      <c r="AE488" s="397"/>
      <c r="AF488" s="397"/>
      <c r="AG488" s="397"/>
      <c r="AH488" s="397"/>
      <c r="AI488" s="397"/>
    </row>
    <row r="489">
      <c r="A489" s="397"/>
      <c r="B489" s="397"/>
      <c r="C489" s="397"/>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c r="AA489" s="397"/>
      <c r="AB489" s="397"/>
      <c r="AC489" s="397"/>
      <c r="AD489" s="397"/>
      <c r="AE489" s="397"/>
      <c r="AF489" s="397"/>
      <c r="AG489" s="397"/>
      <c r="AH489" s="397"/>
      <c r="AI489" s="397"/>
    </row>
    <row r="490">
      <c r="A490" s="397"/>
      <c r="B490" s="397"/>
      <c r="C490" s="397"/>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c r="AA490" s="397"/>
      <c r="AB490" s="397"/>
      <c r="AC490" s="397"/>
      <c r="AD490" s="397"/>
      <c r="AE490" s="397"/>
      <c r="AF490" s="397"/>
      <c r="AG490" s="397"/>
      <c r="AH490" s="397"/>
      <c r="AI490" s="397"/>
    </row>
    <row r="491">
      <c r="A491" s="397"/>
      <c r="B491" s="397"/>
      <c r="C491" s="397"/>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c r="AA491" s="397"/>
      <c r="AB491" s="397"/>
      <c r="AC491" s="397"/>
      <c r="AD491" s="397"/>
      <c r="AE491" s="397"/>
      <c r="AF491" s="397"/>
      <c r="AG491" s="397"/>
      <c r="AH491" s="397"/>
      <c r="AI491" s="397"/>
    </row>
    <row r="492">
      <c r="A492" s="397"/>
      <c r="B492" s="397"/>
      <c r="C492" s="397"/>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c r="AA492" s="397"/>
      <c r="AB492" s="397"/>
      <c r="AC492" s="397"/>
      <c r="AD492" s="397"/>
      <c r="AE492" s="397"/>
      <c r="AF492" s="397"/>
      <c r="AG492" s="397"/>
      <c r="AH492" s="397"/>
      <c r="AI492" s="397"/>
    </row>
    <row r="493">
      <c r="A493" s="397"/>
      <c r="B493" s="397"/>
      <c r="C493" s="397"/>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c r="AA493" s="397"/>
      <c r="AB493" s="397"/>
      <c r="AC493" s="397"/>
      <c r="AD493" s="397"/>
      <c r="AE493" s="397"/>
      <c r="AF493" s="397"/>
      <c r="AG493" s="397"/>
      <c r="AH493" s="397"/>
      <c r="AI493" s="397"/>
    </row>
    <row r="494">
      <c r="A494" s="397"/>
      <c r="B494" s="397"/>
      <c r="C494" s="397"/>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c r="AA494" s="397"/>
      <c r="AB494" s="397"/>
      <c r="AC494" s="397"/>
      <c r="AD494" s="397"/>
      <c r="AE494" s="397"/>
      <c r="AF494" s="397"/>
      <c r="AG494" s="397"/>
      <c r="AH494" s="397"/>
      <c r="AI494" s="397"/>
    </row>
    <row r="495">
      <c r="A495" s="397"/>
      <c r="B495" s="397"/>
      <c r="C495" s="397"/>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c r="AA495" s="397"/>
      <c r="AB495" s="397"/>
      <c r="AC495" s="397"/>
      <c r="AD495" s="397"/>
      <c r="AE495" s="397"/>
      <c r="AF495" s="397"/>
      <c r="AG495" s="397"/>
      <c r="AH495" s="397"/>
      <c r="AI495" s="397"/>
    </row>
    <row r="496">
      <c r="A496" s="397"/>
      <c r="B496" s="397"/>
      <c r="C496" s="397"/>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c r="AA496" s="397"/>
      <c r="AB496" s="397"/>
      <c r="AC496" s="397"/>
      <c r="AD496" s="397"/>
      <c r="AE496" s="397"/>
      <c r="AF496" s="397"/>
      <c r="AG496" s="397"/>
      <c r="AH496" s="397"/>
      <c r="AI496" s="397"/>
    </row>
    <row r="497">
      <c r="A497" s="397"/>
      <c r="B497" s="397"/>
      <c r="C497" s="397"/>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c r="AA497" s="397"/>
      <c r="AB497" s="397"/>
      <c r="AC497" s="397"/>
      <c r="AD497" s="397"/>
      <c r="AE497" s="397"/>
      <c r="AF497" s="397"/>
      <c r="AG497" s="397"/>
      <c r="AH497" s="397"/>
      <c r="AI497" s="397"/>
    </row>
    <row r="498">
      <c r="A498" s="397"/>
      <c r="B498" s="397"/>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c r="AA498" s="397"/>
      <c r="AB498" s="397"/>
      <c r="AC498" s="397"/>
      <c r="AD498" s="397"/>
      <c r="AE498" s="397"/>
      <c r="AF498" s="397"/>
      <c r="AG498" s="397"/>
      <c r="AH498" s="397"/>
      <c r="AI498" s="397"/>
    </row>
    <row r="499">
      <c r="A499" s="397"/>
      <c r="B499" s="397"/>
      <c r="C499" s="397"/>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c r="AA499" s="397"/>
      <c r="AB499" s="397"/>
      <c r="AC499" s="397"/>
      <c r="AD499" s="397"/>
      <c r="AE499" s="397"/>
      <c r="AF499" s="397"/>
      <c r="AG499" s="397"/>
      <c r="AH499" s="397"/>
      <c r="AI499" s="397"/>
    </row>
    <row r="500">
      <c r="A500" s="397"/>
      <c r="B500" s="397"/>
      <c r="C500" s="397"/>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c r="AA500" s="397"/>
      <c r="AB500" s="397"/>
      <c r="AC500" s="397"/>
      <c r="AD500" s="397"/>
      <c r="AE500" s="397"/>
      <c r="AF500" s="397"/>
      <c r="AG500" s="397"/>
      <c r="AH500" s="397"/>
      <c r="AI500" s="397"/>
    </row>
    <row r="501">
      <c r="A501" s="397"/>
      <c r="B501" s="397"/>
      <c r="C501" s="397"/>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c r="AA501" s="397"/>
      <c r="AB501" s="397"/>
      <c r="AC501" s="397"/>
      <c r="AD501" s="397"/>
      <c r="AE501" s="397"/>
      <c r="AF501" s="397"/>
      <c r="AG501" s="397"/>
      <c r="AH501" s="397"/>
      <c r="AI501" s="397"/>
    </row>
    <row r="502">
      <c r="A502" s="397"/>
      <c r="B502" s="397"/>
      <c r="C502" s="397"/>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c r="AA502" s="397"/>
      <c r="AB502" s="397"/>
      <c r="AC502" s="397"/>
      <c r="AD502" s="397"/>
      <c r="AE502" s="397"/>
      <c r="AF502" s="397"/>
      <c r="AG502" s="397"/>
      <c r="AH502" s="397"/>
      <c r="AI502" s="397"/>
    </row>
    <row r="503">
      <c r="A503" s="397"/>
      <c r="B503" s="397"/>
      <c r="C503" s="397"/>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c r="AA503" s="397"/>
      <c r="AB503" s="397"/>
      <c r="AC503" s="397"/>
      <c r="AD503" s="397"/>
      <c r="AE503" s="397"/>
      <c r="AF503" s="397"/>
      <c r="AG503" s="397"/>
      <c r="AH503" s="397"/>
      <c r="AI503" s="397"/>
    </row>
    <row r="504">
      <c r="A504" s="397"/>
      <c r="B504" s="397"/>
      <c r="C504" s="397"/>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c r="AA504" s="397"/>
      <c r="AB504" s="397"/>
      <c r="AC504" s="397"/>
      <c r="AD504" s="397"/>
      <c r="AE504" s="397"/>
      <c r="AF504" s="397"/>
      <c r="AG504" s="397"/>
      <c r="AH504" s="397"/>
      <c r="AI504" s="397"/>
    </row>
    <row r="505">
      <c r="A505" s="397"/>
      <c r="B505" s="397"/>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c r="AA505" s="397"/>
      <c r="AB505" s="397"/>
      <c r="AC505" s="397"/>
      <c r="AD505" s="397"/>
      <c r="AE505" s="397"/>
      <c r="AF505" s="397"/>
      <c r="AG505" s="397"/>
      <c r="AH505" s="397"/>
      <c r="AI505" s="397"/>
    </row>
    <row r="506">
      <c r="A506" s="397"/>
      <c r="B506" s="397"/>
      <c r="C506" s="397"/>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c r="AA506" s="397"/>
      <c r="AB506" s="397"/>
      <c r="AC506" s="397"/>
      <c r="AD506" s="397"/>
      <c r="AE506" s="397"/>
      <c r="AF506" s="397"/>
      <c r="AG506" s="397"/>
      <c r="AH506" s="397"/>
      <c r="AI506" s="397"/>
    </row>
    <row r="507">
      <c r="A507" s="397"/>
      <c r="B507" s="397"/>
      <c r="C507" s="397"/>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c r="AA507" s="397"/>
      <c r="AB507" s="397"/>
      <c r="AC507" s="397"/>
      <c r="AD507" s="397"/>
      <c r="AE507" s="397"/>
      <c r="AF507" s="397"/>
      <c r="AG507" s="397"/>
      <c r="AH507" s="397"/>
      <c r="AI507" s="397"/>
    </row>
    <row r="508">
      <c r="A508" s="397"/>
      <c r="B508" s="397"/>
      <c r="C508" s="397"/>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c r="AA508" s="397"/>
      <c r="AB508" s="397"/>
      <c r="AC508" s="397"/>
      <c r="AD508" s="397"/>
      <c r="AE508" s="397"/>
      <c r="AF508" s="397"/>
      <c r="AG508" s="397"/>
      <c r="AH508" s="397"/>
      <c r="AI508" s="397"/>
    </row>
    <row r="509">
      <c r="A509" s="397"/>
      <c r="B509" s="397"/>
      <c r="C509" s="397"/>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c r="AA509" s="397"/>
      <c r="AB509" s="397"/>
      <c r="AC509" s="397"/>
      <c r="AD509" s="397"/>
      <c r="AE509" s="397"/>
      <c r="AF509" s="397"/>
      <c r="AG509" s="397"/>
      <c r="AH509" s="397"/>
      <c r="AI509" s="397"/>
    </row>
    <row r="510">
      <c r="A510" s="397"/>
      <c r="B510" s="397"/>
      <c r="C510" s="397"/>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c r="AA510" s="397"/>
      <c r="AB510" s="397"/>
      <c r="AC510" s="397"/>
      <c r="AD510" s="397"/>
      <c r="AE510" s="397"/>
      <c r="AF510" s="397"/>
      <c r="AG510" s="397"/>
      <c r="AH510" s="397"/>
      <c r="AI510" s="397"/>
    </row>
    <row r="511">
      <c r="A511" s="397"/>
      <c r="B511" s="397"/>
      <c r="C511" s="397"/>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c r="AA511" s="397"/>
      <c r="AB511" s="397"/>
      <c r="AC511" s="397"/>
      <c r="AD511" s="397"/>
      <c r="AE511" s="397"/>
      <c r="AF511" s="397"/>
      <c r="AG511" s="397"/>
      <c r="AH511" s="397"/>
      <c r="AI511" s="397"/>
    </row>
    <row r="512">
      <c r="A512" s="397"/>
      <c r="B512" s="397"/>
      <c r="C512" s="397"/>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c r="AA512" s="397"/>
      <c r="AB512" s="397"/>
      <c r="AC512" s="397"/>
      <c r="AD512" s="397"/>
      <c r="AE512" s="397"/>
      <c r="AF512" s="397"/>
      <c r="AG512" s="397"/>
      <c r="AH512" s="397"/>
      <c r="AI512" s="397"/>
    </row>
    <row r="513">
      <c r="A513" s="397"/>
      <c r="B513" s="397"/>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c r="AA513" s="397"/>
      <c r="AB513" s="397"/>
      <c r="AC513" s="397"/>
      <c r="AD513" s="397"/>
      <c r="AE513" s="397"/>
      <c r="AF513" s="397"/>
      <c r="AG513" s="397"/>
      <c r="AH513" s="397"/>
      <c r="AI513" s="397"/>
    </row>
    <row r="514">
      <c r="A514" s="397"/>
      <c r="B514" s="397"/>
      <c r="C514" s="397"/>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c r="AA514" s="397"/>
      <c r="AB514" s="397"/>
      <c r="AC514" s="397"/>
      <c r="AD514" s="397"/>
      <c r="AE514" s="397"/>
      <c r="AF514" s="397"/>
      <c r="AG514" s="397"/>
      <c r="AH514" s="397"/>
      <c r="AI514" s="397"/>
    </row>
    <row r="515">
      <c r="A515" s="397"/>
      <c r="B515" s="397"/>
      <c r="C515" s="397"/>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c r="AA515" s="397"/>
      <c r="AB515" s="397"/>
      <c r="AC515" s="397"/>
      <c r="AD515" s="397"/>
      <c r="AE515" s="397"/>
      <c r="AF515" s="397"/>
      <c r="AG515" s="397"/>
      <c r="AH515" s="397"/>
      <c r="AI515" s="397"/>
    </row>
    <row r="516">
      <c r="A516" s="397"/>
      <c r="B516" s="397"/>
      <c r="C516" s="397"/>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c r="AA516" s="397"/>
      <c r="AB516" s="397"/>
      <c r="AC516" s="397"/>
      <c r="AD516" s="397"/>
      <c r="AE516" s="397"/>
      <c r="AF516" s="397"/>
      <c r="AG516" s="397"/>
      <c r="AH516" s="397"/>
      <c r="AI516" s="397"/>
    </row>
    <row r="517">
      <c r="A517" s="397"/>
      <c r="B517" s="397"/>
      <c r="C517" s="397"/>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c r="AA517" s="397"/>
      <c r="AB517" s="397"/>
      <c r="AC517" s="397"/>
      <c r="AD517" s="397"/>
      <c r="AE517" s="397"/>
      <c r="AF517" s="397"/>
      <c r="AG517" s="397"/>
      <c r="AH517" s="397"/>
      <c r="AI517" s="397"/>
    </row>
    <row r="518">
      <c r="A518" s="397"/>
      <c r="B518" s="397"/>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c r="AA518" s="397"/>
      <c r="AB518" s="397"/>
      <c r="AC518" s="397"/>
      <c r="AD518" s="397"/>
      <c r="AE518" s="397"/>
      <c r="AF518" s="397"/>
      <c r="AG518" s="397"/>
      <c r="AH518" s="397"/>
      <c r="AI518" s="397"/>
    </row>
    <row r="519">
      <c r="A519" s="397"/>
      <c r="B519" s="397"/>
      <c r="C519" s="397"/>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c r="AA519" s="397"/>
      <c r="AB519" s="397"/>
      <c r="AC519" s="397"/>
      <c r="AD519" s="397"/>
      <c r="AE519" s="397"/>
      <c r="AF519" s="397"/>
      <c r="AG519" s="397"/>
      <c r="AH519" s="397"/>
      <c r="AI519" s="397"/>
    </row>
    <row r="520">
      <c r="A520" s="397"/>
      <c r="B520" s="397"/>
      <c r="C520" s="397"/>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c r="AA520" s="397"/>
      <c r="AB520" s="397"/>
      <c r="AC520" s="397"/>
      <c r="AD520" s="397"/>
      <c r="AE520" s="397"/>
      <c r="AF520" s="397"/>
      <c r="AG520" s="397"/>
      <c r="AH520" s="397"/>
      <c r="AI520" s="397"/>
    </row>
    <row r="521">
      <c r="A521" s="397"/>
      <c r="B521" s="397"/>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c r="AA521" s="397"/>
      <c r="AB521" s="397"/>
      <c r="AC521" s="397"/>
      <c r="AD521" s="397"/>
      <c r="AE521" s="397"/>
      <c r="AF521" s="397"/>
      <c r="AG521" s="397"/>
      <c r="AH521" s="397"/>
      <c r="AI521" s="397"/>
    </row>
    <row r="522">
      <c r="A522" s="397"/>
      <c r="B522" s="397"/>
      <c r="C522" s="397"/>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c r="AA522" s="397"/>
      <c r="AB522" s="397"/>
      <c r="AC522" s="397"/>
      <c r="AD522" s="397"/>
      <c r="AE522" s="397"/>
      <c r="AF522" s="397"/>
      <c r="AG522" s="397"/>
      <c r="AH522" s="397"/>
      <c r="AI522" s="397"/>
    </row>
    <row r="523">
      <c r="A523" s="397"/>
      <c r="B523" s="397"/>
      <c r="C523" s="397"/>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c r="AA523" s="397"/>
      <c r="AB523" s="397"/>
      <c r="AC523" s="397"/>
      <c r="AD523" s="397"/>
      <c r="AE523" s="397"/>
      <c r="AF523" s="397"/>
      <c r="AG523" s="397"/>
      <c r="AH523" s="397"/>
      <c r="AI523" s="397"/>
    </row>
    <row r="524">
      <c r="A524" s="397"/>
      <c r="B524" s="397"/>
      <c r="C524" s="397"/>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c r="AA524" s="397"/>
      <c r="AB524" s="397"/>
      <c r="AC524" s="397"/>
      <c r="AD524" s="397"/>
      <c r="AE524" s="397"/>
      <c r="AF524" s="397"/>
      <c r="AG524" s="397"/>
      <c r="AH524" s="397"/>
      <c r="AI524" s="397"/>
    </row>
    <row r="525">
      <c r="A525" s="397"/>
      <c r="B525" s="397"/>
      <c r="C525" s="397"/>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c r="AA525" s="397"/>
      <c r="AB525" s="397"/>
      <c r="AC525" s="397"/>
      <c r="AD525" s="397"/>
      <c r="AE525" s="397"/>
      <c r="AF525" s="397"/>
      <c r="AG525" s="397"/>
      <c r="AH525" s="397"/>
      <c r="AI525" s="397"/>
    </row>
    <row r="526">
      <c r="A526" s="397"/>
      <c r="B526" s="397"/>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c r="AA526" s="397"/>
      <c r="AB526" s="397"/>
      <c r="AC526" s="397"/>
      <c r="AD526" s="397"/>
      <c r="AE526" s="397"/>
      <c r="AF526" s="397"/>
      <c r="AG526" s="397"/>
      <c r="AH526" s="397"/>
      <c r="AI526" s="397"/>
    </row>
    <row r="527">
      <c r="A527" s="397"/>
      <c r="B527" s="397"/>
      <c r="C527" s="397"/>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c r="AA527" s="397"/>
      <c r="AB527" s="397"/>
      <c r="AC527" s="397"/>
      <c r="AD527" s="397"/>
      <c r="AE527" s="397"/>
      <c r="AF527" s="397"/>
      <c r="AG527" s="397"/>
      <c r="AH527" s="397"/>
      <c r="AI527" s="397"/>
    </row>
    <row r="528">
      <c r="A528" s="397"/>
      <c r="B528" s="397"/>
      <c r="C528" s="397"/>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c r="AA528" s="397"/>
      <c r="AB528" s="397"/>
      <c r="AC528" s="397"/>
      <c r="AD528" s="397"/>
      <c r="AE528" s="397"/>
      <c r="AF528" s="397"/>
      <c r="AG528" s="397"/>
      <c r="AH528" s="397"/>
      <c r="AI528" s="397"/>
    </row>
    <row r="529">
      <c r="A529" s="397"/>
      <c r="B529" s="397"/>
      <c r="C529" s="397"/>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c r="AA529" s="397"/>
      <c r="AB529" s="397"/>
      <c r="AC529" s="397"/>
      <c r="AD529" s="397"/>
      <c r="AE529" s="397"/>
      <c r="AF529" s="397"/>
      <c r="AG529" s="397"/>
      <c r="AH529" s="397"/>
      <c r="AI529" s="397"/>
    </row>
    <row r="530">
      <c r="A530" s="397"/>
      <c r="B530" s="397"/>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c r="AA530" s="397"/>
      <c r="AB530" s="397"/>
      <c r="AC530" s="397"/>
      <c r="AD530" s="397"/>
      <c r="AE530" s="397"/>
      <c r="AF530" s="397"/>
      <c r="AG530" s="397"/>
      <c r="AH530" s="397"/>
      <c r="AI530" s="397"/>
    </row>
    <row r="531">
      <c r="A531" s="397"/>
      <c r="B531" s="397"/>
      <c r="C531" s="397"/>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c r="AA531" s="397"/>
      <c r="AB531" s="397"/>
      <c r="AC531" s="397"/>
      <c r="AD531" s="397"/>
      <c r="AE531" s="397"/>
      <c r="AF531" s="397"/>
      <c r="AG531" s="397"/>
      <c r="AH531" s="397"/>
      <c r="AI531" s="397"/>
    </row>
    <row r="532">
      <c r="A532" s="397"/>
      <c r="B532" s="397"/>
      <c r="C532" s="397"/>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c r="AA532" s="397"/>
      <c r="AB532" s="397"/>
      <c r="AC532" s="397"/>
      <c r="AD532" s="397"/>
      <c r="AE532" s="397"/>
      <c r="AF532" s="397"/>
      <c r="AG532" s="397"/>
      <c r="AH532" s="397"/>
      <c r="AI532" s="397"/>
    </row>
    <row r="533">
      <c r="A533" s="397"/>
      <c r="B533" s="397"/>
      <c r="C533" s="397"/>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c r="AA533" s="397"/>
      <c r="AB533" s="397"/>
      <c r="AC533" s="397"/>
      <c r="AD533" s="397"/>
      <c r="AE533" s="397"/>
      <c r="AF533" s="397"/>
      <c r="AG533" s="397"/>
      <c r="AH533" s="397"/>
      <c r="AI533" s="397"/>
    </row>
    <row r="534">
      <c r="A534" s="397"/>
      <c r="B534" s="397"/>
      <c r="C534" s="397"/>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c r="AA534" s="397"/>
      <c r="AB534" s="397"/>
      <c r="AC534" s="397"/>
      <c r="AD534" s="397"/>
      <c r="AE534" s="397"/>
      <c r="AF534" s="397"/>
      <c r="AG534" s="397"/>
      <c r="AH534" s="397"/>
      <c r="AI534" s="397"/>
    </row>
    <row r="535">
      <c r="A535" s="397"/>
      <c r="B535" s="397"/>
      <c r="C535" s="397"/>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c r="AA535" s="397"/>
      <c r="AB535" s="397"/>
      <c r="AC535" s="397"/>
      <c r="AD535" s="397"/>
      <c r="AE535" s="397"/>
      <c r="AF535" s="397"/>
      <c r="AG535" s="397"/>
      <c r="AH535" s="397"/>
      <c r="AI535" s="397"/>
    </row>
    <row r="536">
      <c r="A536" s="397"/>
      <c r="B536" s="397"/>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c r="AA536" s="397"/>
      <c r="AB536" s="397"/>
      <c r="AC536" s="397"/>
      <c r="AD536" s="397"/>
      <c r="AE536" s="397"/>
      <c r="AF536" s="397"/>
      <c r="AG536" s="397"/>
      <c r="AH536" s="397"/>
      <c r="AI536" s="397"/>
    </row>
    <row r="537">
      <c r="A537" s="397"/>
      <c r="B537" s="397"/>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c r="AA537" s="397"/>
      <c r="AB537" s="397"/>
      <c r="AC537" s="397"/>
      <c r="AD537" s="397"/>
      <c r="AE537" s="397"/>
      <c r="AF537" s="397"/>
      <c r="AG537" s="397"/>
      <c r="AH537" s="397"/>
      <c r="AI537" s="397"/>
    </row>
    <row r="538">
      <c r="A538" s="397"/>
      <c r="B538" s="397"/>
      <c r="C538" s="397"/>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c r="AA538" s="397"/>
      <c r="AB538" s="397"/>
      <c r="AC538" s="397"/>
      <c r="AD538" s="397"/>
      <c r="AE538" s="397"/>
      <c r="AF538" s="397"/>
      <c r="AG538" s="397"/>
      <c r="AH538" s="397"/>
      <c r="AI538" s="397"/>
    </row>
    <row r="539">
      <c r="A539" s="397"/>
      <c r="B539" s="397"/>
      <c r="C539" s="397"/>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c r="AA539" s="397"/>
      <c r="AB539" s="397"/>
      <c r="AC539" s="397"/>
      <c r="AD539" s="397"/>
      <c r="AE539" s="397"/>
      <c r="AF539" s="397"/>
      <c r="AG539" s="397"/>
      <c r="AH539" s="397"/>
      <c r="AI539" s="397"/>
    </row>
    <row r="540">
      <c r="A540" s="397"/>
      <c r="B540" s="397"/>
      <c r="C540" s="397"/>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c r="AA540" s="397"/>
      <c r="AB540" s="397"/>
      <c r="AC540" s="397"/>
      <c r="AD540" s="397"/>
      <c r="AE540" s="397"/>
      <c r="AF540" s="397"/>
      <c r="AG540" s="397"/>
      <c r="AH540" s="397"/>
      <c r="AI540" s="397"/>
    </row>
    <row r="541">
      <c r="A541" s="397"/>
      <c r="B541" s="397"/>
      <c r="C541" s="397"/>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c r="AA541" s="397"/>
      <c r="AB541" s="397"/>
      <c r="AC541" s="397"/>
      <c r="AD541" s="397"/>
      <c r="AE541" s="397"/>
      <c r="AF541" s="397"/>
      <c r="AG541" s="397"/>
      <c r="AH541" s="397"/>
      <c r="AI541" s="397"/>
    </row>
    <row r="542">
      <c r="A542" s="397"/>
      <c r="B542" s="397"/>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c r="AA542" s="397"/>
      <c r="AB542" s="397"/>
      <c r="AC542" s="397"/>
      <c r="AD542" s="397"/>
      <c r="AE542" s="397"/>
      <c r="AF542" s="397"/>
      <c r="AG542" s="397"/>
      <c r="AH542" s="397"/>
      <c r="AI542" s="397"/>
    </row>
    <row r="543">
      <c r="A543" s="397"/>
      <c r="B543" s="397"/>
      <c r="C543" s="397"/>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c r="AA543" s="397"/>
      <c r="AB543" s="397"/>
      <c r="AC543" s="397"/>
      <c r="AD543" s="397"/>
      <c r="AE543" s="397"/>
      <c r="AF543" s="397"/>
      <c r="AG543" s="397"/>
      <c r="AH543" s="397"/>
      <c r="AI543" s="397"/>
    </row>
    <row r="544">
      <c r="A544" s="397"/>
      <c r="B544" s="397"/>
      <c r="C544" s="397"/>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c r="AA544" s="397"/>
      <c r="AB544" s="397"/>
      <c r="AC544" s="397"/>
      <c r="AD544" s="397"/>
      <c r="AE544" s="397"/>
      <c r="AF544" s="397"/>
      <c r="AG544" s="397"/>
      <c r="AH544" s="397"/>
      <c r="AI544" s="397"/>
    </row>
    <row r="545">
      <c r="A545" s="397"/>
      <c r="B545" s="397"/>
      <c r="C545" s="397"/>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c r="AA545" s="397"/>
      <c r="AB545" s="397"/>
      <c r="AC545" s="397"/>
      <c r="AD545" s="397"/>
      <c r="AE545" s="397"/>
      <c r="AF545" s="397"/>
      <c r="AG545" s="397"/>
      <c r="AH545" s="397"/>
      <c r="AI545" s="397"/>
    </row>
    <row r="546">
      <c r="A546" s="397"/>
      <c r="B546" s="397"/>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c r="AA546" s="397"/>
      <c r="AB546" s="397"/>
      <c r="AC546" s="397"/>
      <c r="AD546" s="397"/>
      <c r="AE546" s="397"/>
      <c r="AF546" s="397"/>
      <c r="AG546" s="397"/>
      <c r="AH546" s="397"/>
      <c r="AI546" s="397"/>
    </row>
    <row r="547">
      <c r="A547" s="397"/>
      <c r="B547" s="397"/>
      <c r="C547" s="397"/>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c r="AA547" s="397"/>
      <c r="AB547" s="397"/>
      <c r="AC547" s="397"/>
      <c r="AD547" s="397"/>
      <c r="AE547" s="397"/>
      <c r="AF547" s="397"/>
      <c r="AG547" s="397"/>
      <c r="AH547" s="397"/>
      <c r="AI547" s="397"/>
    </row>
    <row r="548">
      <c r="A548" s="397"/>
      <c r="B548" s="397"/>
      <c r="C548" s="397"/>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c r="AA548" s="397"/>
      <c r="AB548" s="397"/>
      <c r="AC548" s="397"/>
      <c r="AD548" s="397"/>
      <c r="AE548" s="397"/>
      <c r="AF548" s="397"/>
      <c r="AG548" s="397"/>
      <c r="AH548" s="397"/>
      <c r="AI548" s="397"/>
    </row>
    <row r="549">
      <c r="A549" s="397"/>
      <c r="B549" s="397"/>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c r="AA549" s="397"/>
      <c r="AB549" s="397"/>
      <c r="AC549" s="397"/>
      <c r="AD549" s="397"/>
      <c r="AE549" s="397"/>
      <c r="AF549" s="397"/>
      <c r="AG549" s="397"/>
      <c r="AH549" s="397"/>
      <c r="AI549" s="397"/>
    </row>
    <row r="550">
      <c r="A550" s="397"/>
      <c r="B550" s="397"/>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c r="AA550" s="397"/>
      <c r="AB550" s="397"/>
      <c r="AC550" s="397"/>
      <c r="AD550" s="397"/>
      <c r="AE550" s="397"/>
      <c r="AF550" s="397"/>
      <c r="AG550" s="397"/>
      <c r="AH550" s="397"/>
      <c r="AI550" s="397"/>
    </row>
    <row r="551">
      <c r="A551" s="397"/>
      <c r="B551" s="397"/>
      <c r="C551" s="397"/>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c r="AA551" s="397"/>
      <c r="AB551" s="397"/>
      <c r="AC551" s="397"/>
      <c r="AD551" s="397"/>
      <c r="AE551" s="397"/>
      <c r="AF551" s="397"/>
      <c r="AG551" s="397"/>
      <c r="AH551" s="397"/>
      <c r="AI551" s="397"/>
    </row>
    <row r="552">
      <c r="A552" s="397"/>
      <c r="B552" s="397"/>
      <c r="C552" s="397"/>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c r="AA552" s="397"/>
      <c r="AB552" s="397"/>
      <c r="AC552" s="397"/>
      <c r="AD552" s="397"/>
      <c r="AE552" s="397"/>
      <c r="AF552" s="397"/>
      <c r="AG552" s="397"/>
      <c r="AH552" s="397"/>
      <c r="AI552" s="397"/>
    </row>
    <row r="553">
      <c r="A553" s="397"/>
      <c r="B553" s="397"/>
      <c r="C553" s="397"/>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c r="AA553" s="397"/>
      <c r="AB553" s="397"/>
      <c r="AC553" s="397"/>
      <c r="AD553" s="397"/>
      <c r="AE553" s="397"/>
      <c r="AF553" s="397"/>
      <c r="AG553" s="397"/>
      <c r="AH553" s="397"/>
      <c r="AI553" s="397"/>
    </row>
    <row r="554">
      <c r="A554" s="397"/>
      <c r="B554" s="397"/>
      <c r="C554" s="397"/>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c r="AA554" s="397"/>
      <c r="AB554" s="397"/>
      <c r="AC554" s="397"/>
      <c r="AD554" s="397"/>
      <c r="AE554" s="397"/>
      <c r="AF554" s="397"/>
      <c r="AG554" s="397"/>
      <c r="AH554" s="397"/>
      <c r="AI554" s="397"/>
    </row>
    <row r="555">
      <c r="A555" s="397"/>
      <c r="B555" s="397"/>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c r="AA555" s="397"/>
      <c r="AB555" s="397"/>
      <c r="AC555" s="397"/>
      <c r="AD555" s="397"/>
      <c r="AE555" s="397"/>
      <c r="AF555" s="397"/>
      <c r="AG555" s="397"/>
      <c r="AH555" s="397"/>
      <c r="AI555" s="397"/>
    </row>
    <row r="556">
      <c r="A556" s="397"/>
      <c r="B556" s="397"/>
      <c r="C556" s="397"/>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c r="AA556" s="397"/>
      <c r="AB556" s="397"/>
      <c r="AC556" s="397"/>
      <c r="AD556" s="397"/>
      <c r="AE556" s="397"/>
      <c r="AF556" s="397"/>
      <c r="AG556" s="397"/>
      <c r="AH556" s="397"/>
      <c r="AI556" s="397"/>
    </row>
    <row r="557">
      <c r="A557" s="397"/>
      <c r="B557" s="397"/>
      <c r="C557" s="397"/>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c r="AA557" s="397"/>
      <c r="AB557" s="397"/>
      <c r="AC557" s="397"/>
      <c r="AD557" s="397"/>
      <c r="AE557" s="397"/>
      <c r="AF557" s="397"/>
      <c r="AG557" s="397"/>
      <c r="AH557" s="397"/>
      <c r="AI557" s="397"/>
    </row>
    <row r="558">
      <c r="A558" s="397"/>
      <c r="B558" s="397"/>
      <c r="C558" s="397"/>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c r="AA558" s="397"/>
      <c r="AB558" s="397"/>
      <c r="AC558" s="397"/>
      <c r="AD558" s="397"/>
      <c r="AE558" s="397"/>
      <c r="AF558" s="397"/>
      <c r="AG558" s="397"/>
      <c r="AH558" s="397"/>
      <c r="AI558" s="397"/>
    </row>
    <row r="559">
      <c r="A559" s="397"/>
      <c r="B559" s="397"/>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c r="AA559" s="397"/>
      <c r="AB559" s="397"/>
      <c r="AC559" s="397"/>
      <c r="AD559" s="397"/>
      <c r="AE559" s="397"/>
      <c r="AF559" s="397"/>
      <c r="AG559" s="397"/>
      <c r="AH559" s="397"/>
      <c r="AI559" s="397"/>
    </row>
    <row r="560">
      <c r="A560" s="397"/>
      <c r="B560" s="397"/>
      <c r="C560" s="397"/>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c r="AA560" s="397"/>
      <c r="AB560" s="397"/>
      <c r="AC560" s="397"/>
      <c r="AD560" s="397"/>
      <c r="AE560" s="397"/>
      <c r="AF560" s="397"/>
      <c r="AG560" s="397"/>
      <c r="AH560" s="397"/>
      <c r="AI560" s="397"/>
    </row>
    <row r="561">
      <c r="A561" s="397"/>
      <c r="B561" s="397"/>
      <c r="C561" s="397"/>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c r="AA561" s="397"/>
      <c r="AB561" s="397"/>
      <c r="AC561" s="397"/>
      <c r="AD561" s="397"/>
      <c r="AE561" s="397"/>
      <c r="AF561" s="397"/>
      <c r="AG561" s="397"/>
      <c r="AH561" s="397"/>
      <c r="AI561" s="397"/>
    </row>
    <row r="562">
      <c r="A562" s="397"/>
      <c r="B562" s="397"/>
      <c r="C562" s="397"/>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c r="AA562" s="397"/>
      <c r="AB562" s="397"/>
      <c r="AC562" s="397"/>
      <c r="AD562" s="397"/>
      <c r="AE562" s="397"/>
      <c r="AF562" s="397"/>
      <c r="AG562" s="397"/>
      <c r="AH562" s="397"/>
      <c r="AI562" s="397"/>
    </row>
    <row r="563">
      <c r="A563" s="397"/>
      <c r="B563" s="397"/>
      <c r="C563" s="397"/>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c r="AA563" s="397"/>
      <c r="AB563" s="397"/>
      <c r="AC563" s="397"/>
      <c r="AD563" s="397"/>
      <c r="AE563" s="397"/>
      <c r="AF563" s="397"/>
      <c r="AG563" s="397"/>
      <c r="AH563" s="397"/>
      <c r="AI563" s="397"/>
    </row>
    <row r="564">
      <c r="A564" s="397"/>
      <c r="B564" s="397"/>
      <c r="C564" s="397"/>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c r="AA564" s="397"/>
      <c r="AB564" s="397"/>
      <c r="AC564" s="397"/>
      <c r="AD564" s="397"/>
      <c r="AE564" s="397"/>
      <c r="AF564" s="397"/>
      <c r="AG564" s="397"/>
      <c r="AH564" s="397"/>
      <c r="AI564" s="397"/>
    </row>
    <row r="565">
      <c r="A565" s="397"/>
      <c r="B565" s="397"/>
      <c r="C565" s="397"/>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c r="AA565" s="397"/>
      <c r="AB565" s="397"/>
      <c r="AC565" s="397"/>
      <c r="AD565" s="397"/>
      <c r="AE565" s="397"/>
      <c r="AF565" s="397"/>
      <c r="AG565" s="397"/>
      <c r="AH565" s="397"/>
      <c r="AI565" s="397"/>
    </row>
    <row r="566">
      <c r="A566" s="397"/>
      <c r="B566" s="397"/>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c r="AA566" s="397"/>
      <c r="AB566" s="397"/>
      <c r="AC566" s="397"/>
      <c r="AD566" s="397"/>
      <c r="AE566" s="397"/>
      <c r="AF566" s="397"/>
      <c r="AG566" s="397"/>
      <c r="AH566" s="397"/>
      <c r="AI566" s="397"/>
    </row>
    <row r="567">
      <c r="A567" s="397"/>
      <c r="B567" s="397"/>
      <c r="C567" s="397"/>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c r="AA567" s="397"/>
      <c r="AB567" s="397"/>
      <c r="AC567" s="397"/>
      <c r="AD567" s="397"/>
      <c r="AE567" s="397"/>
      <c r="AF567" s="397"/>
      <c r="AG567" s="397"/>
      <c r="AH567" s="397"/>
      <c r="AI567" s="397"/>
    </row>
    <row r="568">
      <c r="A568" s="397"/>
      <c r="B568" s="397"/>
      <c r="C568" s="397"/>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c r="AA568" s="397"/>
      <c r="AB568" s="397"/>
      <c r="AC568" s="397"/>
      <c r="AD568" s="397"/>
      <c r="AE568" s="397"/>
      <c r="AF568" s="397"/>
      <c r="AG568" s="397"/>
      <c r="AH568" s="397"/>
      <c r="AI568" s="397"/>
    </row>
    <row r="569">
      <c r="A569" s="397"/>
      <c r="B569" s="397"/>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c r="AA569" s="397"/>
      <c r="AB569" s="397"/>
      <c r="AC569" s="397"/>
      <c r="AD569" s="397"/>
      <c r="AE569" s="397"/>
      <c r="AF569" s="397"/>
      <c r="AG569" s="397"/>
      <c r="AH569" s="397"/>
      <c r="AI569" s="397"/>
    </row>
    <row r="570">
      <c r="A570" s="397"/>
      <c r="B570" s="397"/>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c r="AA570" s="397"/>
      <c r="AB570" s="397"/>
      <c r="AC570" s="397"/>
      <c r="AD570" s="397"/>
      <c r="AE570" s="397"/>
      <c r="AF570" s="397"/>
      <c r="AG570" s="397"/>
      <c r="AH570" s="397"/>
      <c r="AI570" s="397"/>
    </row>
    <row r="571">
      <c r="A571" s="397"/>
      <c r="B571" s="397"/>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c r="AA571" s="397"/>
      <c r="AB571" s="397"/>
      <c r="AC571" s="397"/>
      <c r="AD571" s="397"/>
      <c r="AE571" s="397"/>
      <c r="AF571" s="397"/>
      <c r="AG571" s="397"/>
      <c r="AH571" s="397"/>
      <c r="AI571" s="397"/>
    </row>
    <row r="572">
      <c r="A572" s="397"/>
      <c r="B572" s="397"/>
      <c r="C572" s="397"/>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c r="AA572" s="397"/>
      <c r="AB572" s="397"/>
      <c r="AC572" s="397"/>
      <c r="AD572" s="397"/>
      <c r="AE572" s="397"/>
      <c r="AF572" s="397"/>
      <c r="AG572" s="397"/>
      <c r="AH572" s="397"/>
      <c r="AI572" s="397"/>
    </row>
    <row r="573">
      <c r="A573" s="397"/>
      <c r="B573" s="397"/>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c r="AA573" s="397"/>
      <c r="AB573" s="397"/>
      <c r="AC573" s="397"/>
      <c r="AD573" s="397"/>
      <c r="AE573" s="397"/>
      <c r="AF573" s="397"/>
      <c r="AG573" s="397"/>
      <c r="AH573" s="397"/>
      <c r="AI573" s="397"/>
    </row>
    <row r="574">
      <c r="A574" s="397"/>
      <c r="B574" s="397"/>
      <c r="C574" s="397"/>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c r="AA574" s="397"/>
      <c r="AB574" s="397"/>
      <c r="AC574" s="397"/>
      <c r="AD574" s="397"/>
      <c r="AE574" s="397"/>
      <c r="AF574" s="397"/>
      <c r="AG574" s="397"/>
      <c r="AH574" s="397"/>
      <c r="AI574" s="397"/>
    </row>
    <row r="575">
      <c r="A575" s="397"/>
      <c r="B575" s="397"/>
      <c r="C575" s="397"/>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c r="AA575" s="397"/>
      <c r="AB575" s="397"/>
      <c r="AC575" s="397"/>
      <c r="AD575" s="397"/>
      <c r="AE575" s="397"/>
      <c r="AF575" s="397"/>
      <c r="AG575" s="397"/>
      <c r="AH575" s="397"/>
      <c r="AI575" s="397"/>
    </row>
    <row r="576">
      <c r="A576" s="397"/>
      <c r="B576" s="397"/>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c r="AA576" s="397"/>
      <c r="AB576" s="397"/>
      <c r="AC576" s="397"/>
      <c r="AD576" s="397"/>
      <c r="AE576" s="397"/>
      <c r="AF576" s="397"/>
      <c r="AG576" s="397"/>
      <c r="AH576" s="397"/>
      <c r="AI576" s="397"/>
    </row>
    <row r="577">
      <c r="A577" s="397"/>
      <c r="B577" s="397"/>
      <c r="C577" s="397"/>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c r="AA577" s="397"/>
      <c r="AB577" s="397"/>
      <c r="AC577" s="397"/>
      <c r="AD577" s="397"/>
      <c r="AE577" s="397"/>
      <c r="AF577" s="397"/>
      <c r="AG577" s="397"/>
      <c r="AH577" s="397"/>
      <c r="AI577" s="397"/>
    </row>
    <row r="578">
      <c r="A578" s="397"/>
      <c r="B578" s="397"/>
      <c r="C578" s="397"/>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c r="AA578" s="397"/>
      <c r="AB578" s="397"/>
      <c r="AC578" s="397"/>
      <c r="AD578" s="397"/>
      <c r="AE578" s="397"/>
      <c r="AF578" s="397"/>
      <c r="AG578" s="397"/>
      <c r="AH578" s="397"/>
      <c r="AI578" s="397"/>
    </row>
    <row r="579">
      <c r="A579" s="397"/>
      <c r="B579" s="397"/>
      <c r="C579" s="397"/>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c r="AA579" s="397"/>
      <c r="AB579" s="397"/>
      <c r="AC579" s="397"/>
      <c r="AD579" s="397"/>
      <c r="AE579" s="397"/>
      <c r="AF579" s="397"/>
      <c r="AG579" s="397"/>
      <c r="AH579" s="397"/>
      <c r="AI579" s="397"/>
    </row>
    <row r="580">
      <c r="A580" s="397"/>
      <c r="B580" s="397"/>
      <c r="C580" s="397"/>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c r="AA580" s="397"/>
      <c r="AB580" s="397"/>
      <c r="AC580" s="397"/>
      <c r="AD580" s="397"/>
      <c r="AE580" s="397"/>
      <c r="AF580" s="397"/>
      <c r="AG580" s="397"/>
      <c r="AH580" s="397"/>
      <c r="AI580" s="397"/>
    </row>
    <row r="581">
      <c r="A581" s="397"/>
      <c r="B581" s="397"/>
      <c r="C581" s="397"/>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c r="AA581" s="397"/>
      <c r="AB581" s="397"/>
      <c r="AC581" s="397"/>
      <c r="AD581" s="397"/>
      <c r="AE581" s="397"/>
      <c r="AF581" s="397"/>
      <c r="AG581" s="397"/>
      <c r="AH581" s="397"/>
      <c r="AI581" s="397"/>
    </row>
    <row r="582">
      <c r="A582" s="397"/>
      <c r="B582" s="397"/>
      <c r="C582" s="397"/>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c r="AA582" s="397"/>
      <c r="AB582" s="397"/>
      <c r="AC582" s="397"/>
      <c r="AD582" s="397"/>
      <c r="AE582" s="397"/>
      <c r="AF582" s="397"/>
      <c r="AG582" s="397"/>
      <c r="AH582" s="397"/>
      <c r="AI582" s="397"/>
    </row>
    <row r="583">
      <c r="A583" s="397"/>
      <c r="B583" s="397"/>
      <c r="C583" s="397"/>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c r="AA583" s="397"/>
      <c r="AB583" s="397"/>
      <c r="AC583" s="397"/>
      <c r="AD583" s="397"/>
      <c r="AE583" s="397"/>
      <c r="AF583" s="397"/>
      <c r="AG583" s="397"/>
      <c r="AH583" s="397"/>
      <c r="AI583" s="397"/>
    </row>
    <row r="584">
      <c r="A584" s="397"/>
      <c r="B584" s="397"/>
      <c r="C584" s="397"/>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c r="AA584" s="397"/>
      <c r="AB584" s="397"/>
      <c r="AC584" s="397"/>
      <c r="AD584" s="397"/>
      <c r="AE584" s="397"/>
      <c r="AF584" s="397"/>
      <c r="AG584" s="397"/>
      <c r="AH584" s="397"/>
      <c r="AI584" s="397"/>
    </row>
    <row r="585">
      <c r="A585" s="397"/>
      <c r="B585" s="397"/>
      <c r="C585" s="397"/>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c r="AA585" s="397"/>
      <c r="AB585" s="397"/>
      <c r="AC585" s="397"/>
      <c r="AD585" s="397"/>
      <c r="AE585" s="397"/>
      <c r="AF585" s="397"/>
      <c r="AG585" s="397"/>
      <c r="AH585" s="397"/>
      <c r="AI585" s="397"/>
    </row>
    <row r="586">
      <c r="A586" s="397"/>
      <c r="B586" s="397"/>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c r="AA586" s="397"/>
      <c r="AB586" s="397"/>
      <c r="AC586" s="397"/>
      <c r="AD586" s="397"/>
      <c r="AE586" s="397"/>
      <c r="AF586" s="397"/>
      <c r="AG586" s="397"/>
      <c r="AH586" s="397"/>
      <c r="AI586" s="397"/>
    </row>
    <row r="587">
      <c r="A587" s="397"/>
      <c r="B587" s="397"/>
      <c r="C587" s="397"/>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c r="AA587" s="397"/>
      <c r="AB587" s="397"/>
      <c r="AC587" s="397"/>
      <c r="AD587" s="397"/>
      <c r="AE587" s="397"/>
      <c r="AF587" s="397"/>
      <c r="AG587" s="397"/>
      <c r="AH587" s="397"/>
      <c r="AI587" s="397"/>
    </row>
    <row r="588">
      <c r="A588" s="397"/>
      <c r="B588" s="397"/>
      <c r="C588" s="397"/>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c r="AA588" s="397"/>
      <c r="AB588" s="397"/>
      <c r="AC588" s="397"/>
      <c r="AD588" s="397"/>
      <c r="AE588" s="397"/>
      <c r="AF588" s="397"/>
      <c r="AG588" s="397"/>
      <c r="AH588" s="397"/>
      <c r="AI588" s="397"/>
    </row>
    <row r="589">
      <c r="A589" s="397"/>
      <c r="B589" s="397"/>
      <c r="C589" s="397"/>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c r="AA589" s="397"/>
      <c r="AB589" s="397"/>
      <c r="AC589" s="397"/>
      <c r="AD589" s="397"/>
      <c r="AE589" s="397"/>
      <c r="AF589" s="397"/>
      <c r="AG589" s="397"/>
      <c r="AH589" s="397"/>
      <c r="AI589" s="397"/>
    </row>
    <row r="590">
      <c r="A590" s="397"/>
      <c r="B590" s="397"/>
      <c r="C590" s="397"/>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c r="AA590" s="397"/>
      <c r="AB590" s="397"/>
      <c r="AC590" s="397"/>
      <c r="AD590" s="397"/>
      <c r="AE590" s="397"/>
      <c r="AF590" s="397"/>
      <c r="AG590" s="397"/>
      <c r="AH590" s="397"/>
      <c r="AI590" s="397"/>
    </row>
    <row r="591">
      <c r="A591" s="397"/>
      <c r="B591" s="397"/>
      <c r="C591" s="397"/>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c r="AA591" s="397"/>
      <c r="AB591" s="397"/>
      <c r="AC591" s="397"/>
      <c r="AD591" s="397"/>
      <c r="AE591" s="397"/>
      <c r="AF591" s="397"/>
      <c r="AG591" s="397"/>
      <c r="AH591" s="397"/>
      <c r="AI591" s="397"/>
    </row>
    <row r="592">
      <c r="A592" s="397"/>
      <c r="B592" s="397"/>
      <c r="C592" s="397"/>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c r="AA592" s="397"/>
      <c r="AB592" s="397"/>
      <c r="AC592" s="397"/>
      <c r="AD592" s="397"/>
      <c r="AE592" s="397"/>
      <c r="AF592" s="397"/>
      <c r="AG592" s="397"/>
      <c r="AH592" s="397"/>
      <c r="AI592" s="397"/>
    </row>
    <row r="593">
      <c r="A593" s="397"/>
      <c r="B593" s="397"/>
      <c r="C593" s="397"/>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c r="AA593" s="397"/>
      <c r="AB593" s="397"/>
      <c r="AC593" s="397"/>
      <c r="AD593" s="397"/>
      <c r="AE593" s="397"/>
      <c r="AF593" s="397"/>
      <c r="AG593" s="397"/>
      <c r="AH593" s="397"/>
      <c r="AI593" s="397"/>
    </row>
    <row r="594">
      <c r="A594" s="397"/>
      <c r="B594" s="397"/>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c r="AA594" s="397"/>
      <c r="AB594" s="397"/>
      <c r="AC594" s="397"/>
      <c r="AD594" s="397"/>
      <c r="AE594" s="397"/>
      <c r="AF594" s="397"/>
      <c r="AG594" s="397"/>
      <c r="AH594" s="397"/>
      <c r="AI594" s="397"/>
    </row>
    <row r="595">
      <c r="A595" s="397"/>
      <c r="B595" s="397"/>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c r="AA595" s="397"/>
      <c r="AB595" s="397"/>
      <c r="AC595" s="397"/>
      <c r="AD595" s="397"/>
      <c r="AE595" s="397"/>
      <c r="AF595" s="397"/>
      <c r="AG595" s="397"/>
      <c r="AH595" s="397"/>
      <c r="AI595" s="397"/>
    </row>
    <row r="596">
      <c r="A596" s="397"/>
      <c r="B596" s="397"/>
      <c r="C596" s="397"/>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c r="AA596" s="397"/>
      <c r="AB596" s="397"/>
      <c r="AC596" s="397"/>
      <c r="AD596" s="397"/>
      <c r="AE596" s="397"/>
      <c r="AF596" s="397"/>
      <c r="AG596" s="397"/>
      <c r="AH596" s="397"/>
      <c r="AI596" s="397"/>
    </row>
    <row r="597">
      <c r="A597" s="397"/>
      <c r="B597" s="397"/>
      <c r="C597" s="397"/>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c r="AA597" s="397"/>
      <c r="AB597" s="397"/>
      <c r="AC597" s="397"/>
      <c r="AD597" s="397"/>
      <c r="AE597" s="397"/>
      <c r="AF597" s="397"/>
      <c r="AG597" s="397"/>
      <c r="AH597" s="397"/>
      <c r="AI597" s="397"/>
    </row>
    <row r="598">
      <c r="A598" s="397"/>
      <c r="B598" s="397"/>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c r="AA598" s="397"/>
      <c r="AB598" s="397"/>
      <c r="AC598" s="397"/>
      <c r="AD598" s="397"/>
      <c r="AE598" s="397"/>
      <c r="AF598" s="397"/>
      <c r="AG598" s="397"/>
      <c r="AH598" s="397"/>
      <c r="AI598" s="397"/>
    </row>
    <row r="599">
      <c r="A599" s="397"/>
      <c r="B599" s="397"/>
      <c r="C599" s="397"/>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c r="AA599" s="397"/>
      <c r="AB599" s="397"/>
      <c r="AC599" s="397"/>
      <c r="AD599" s="397"/>
      <c r="AE599" s="397"/>
      <c r="AF599" s="397"/>
      <c r="AG599" s="397"/>
      <c r="AH599" s="397"/>
      <c r="AI599" s="397"/>
    </row>
    <row r="600">
      <c r="A600" s="397"/>
      <c r="B600" s="397"/>
      <c r="C600" s="397"/>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c r="AA600" s="397"/>
      <c r="AB600" s="397"/>
      <c r="AC600" s="397"/>
      <c r="AD600" s="397"/>
      <c r="AE600" s="397"/>
      <c r="AF600" s="397"/>
      <c r="AG600" s="397"/>
      <c r="AH600" s="397"/>
      <c r="AI600" s="397"/>
    </row>
    <row r="601">
      <c r="A601" s="397"/>
      <c r="B601" s="397"/>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c r="AA601" s="397"/>
      <c r="AB601" s="397"/>
      <c r="AC601" s="397"/>
      <c r="AD601" s="397"/>
      <c r="AE601" s="397"/>
      <c r="AF601" s="397"/>
      <c r="AG601" s="397"/>
      <c r="AH601" s="397"/>
      <c r="AI601" s="397"/>
    </row>
    <row r="602">
      <c r="A602" s="397"/>
      <c r="B602" s="397"/>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c r="AA602" s="397"/>
      <c r="AB602" s="397"/>
      <c r="AC602" s="397"/>
      <c r="AD602" s="397"/>
      <c r="AE602" s="397"/>
      <c r="AF602" s="397"/>
      <c r="AG602" s="397"/>
      <c r="AH602" s="397"/>
      <c r="AI602" s="397"/>
    </row>
    <row r="603">
      <c r="A603" s="397"/>
      <c r="B603" s="397"/>
      <c r="C603" s="397"/>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c r="AA603" s="397"/>
      <c r="AB603" s="397"/>
      <c r="AC603" s="397"/>
      <c r="AD603" s="397"/>
      <c r="AE603" s="397"/>
      <c r="AF603" s="397"/>
      <c r="AG603" s="397"/>
      <c r="AH603" s="397"/>
      <c r="AI603" s="397"/>
    </row>
    <row r="604">
      <c r="A604" s="397"/>
      <c r="B604" s="397"/>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c r="AA604" s="397"/>
      <c r="AB604" s="397"/>
      <c r="AC604" s="397"/>
      <c r="AD604" s="397"/>
      <c r="AE604" s="397"/>
      <c r="AF604" s="397"/>
      <c r="AG604" s="397"/>
      <c r="AH604" s="397"/>
      <c r="AI604" s="397"/>
    </row>
    <row r="605">
      <c r="A605" s="397"/>
      <c r="B605" s="397"/>
      <c r="C605" s="397"/>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c r="AA605" s="397"/>
      <c r="AB605" s="397"/>
      <c r="AC605" s="397"/>
      <c r="AD605" s="397"/>
      <c r="AE605" s="397"/>
      <c r="AF605" s="397"/>
      <c r="AG605" s="397"/>
      <c r="AH605" s="397"/>
      <c r="AI605" s="397"/>
    </row>
    <row r="606">
      <c r="A606" s="397"/>
      <c r="B606" s="397"/>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c r="AA606" s="397"/>
      <c r="AB606" s="397"/>
      <c r="AC606" s="397"/>
      <c r="AD606" s="397"/>
      <c r="AE606" s="397"/>
      <c r="AF606" s="397"/>
      <c r="AG606" s="397"/>
      <c r="AH606" s="397"/>
      <c r="AI606" s="397"/>
    </row>
    <row r="607">
      <c r="A607" s="397"/>
      <c r="B607" s="397"/>
      <c r="C607" s="397"/>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c r="AA607" s="397"/>
      <c r="AB607" s="397"/>
      <c r="AC607" s="397"/>
      <c r="AD607" s="397"/>
      <c r="AE607" s="397"/>
      <c r="AF607" s="397"/>
      <c r="AG607" s="397"/>
      <c r="AH607" s="397"/>
      <c r="AI607" s="397"/>
    </row>
    <row r="608">
      <c r="A608" s="397"/>
      <c r="B608" s="397"/>
      <c r="C608" s="397"/>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c r="AA608" s="397"/>
      <c r="AB608" s="397"/>
      <c r="AC608" s="397"/>
      <c r="AD608" s="397"/>
      <c r="AE608" s="397"/>
      <c r="AF608" s="397"/>
      <c r="AG608" s="397"/>
      <c r="AH608" s="397"/>
      <c r="AI608" s="397"/>
    </row>
    <row r="609">
      <c r="A609" s="397"/>
      <c r="B609" s="397"/>
      <c r="C609" s="397"/>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c r="AA609" s="397"/>
      <c r="AB609" s="397"/>
      <c r="AC609" s="397"/>
      <c r="AD609" s="397"/>
      <c r="AE609" s="397"/>
      <c r="AF609" s="397"/>
      <c r="AG609" s="397"/>
      <c r="AH609" s="397"/>
      <c r="AI609" s="397"/>
    </row>
    <row r="610">
      <c r="A610" s="397"/>
      <c r="B610" s="397"/>
      <c r="C610" s="397"/>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c r="AA610" s="397"/>
      <c r="AB610" s="397"/>
      <c r="AC610" s="397"/>
      <c r="AD610" s="397"/>
      <c r="AE610" s="397"/>
      <c r="AF610" s="397"/>
      <c r="AG610" s="397"/>
      <c r="AH610" s="397"/>
      <c r="AI610" s="397"/>
    </row>
    <row r="611">
      <c r="A611" s="397"/>
      <c r="B611" s="397"/>
      <c r="C611" s="397"/>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c r="AA611" s="397"/>
      <c r="AB611" s="397"/>
      <c r="AC611" s="397"/>
      <c r="AD611" s="397"/>
      <c r="AE611" s="397"/>
      <c r="AF611" s="397"/>
      <c r="AG611" s="397"/>
      <c r="AH611" s="397"/>
      <c r="AI611" s="397"/>
    </row>
    <row r="612">
      <c r="A612" s="397"/>
      <c r="B612" s="397"/>
      <c r="C612" s="397"/>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c r="AA612" s="397"/>
      <c r="AB612" s="397"/>
      <c r="AC612" s="397"/>
      <c r="AD612" s="397"/>
      <c r="AE612" s="397"/>
      <c r="AF612" s="397"/>
      <c r="AG612" s="397"/>
      <c r="AH612" s="397"/>
      <c r="AI612" s="397"/>
    </row>
    <row r="613">
      <c r="A613" s="397"/>
      <c r="B613" s="397"/>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c r="AA613" s="397"/>
      <c r="AB613" s="397"/>
      <c r="AC613" s="397"/>
      <c r="AD613" s="397"/>
      <c r="AE613" s="397"/>
      <c r="AF613" s="397"/>
      <c r="AG613" s="397"/>
      <c r="AH613" s="397"/>
      <c r="AI613" s="397"/>
    </row>
    <row r="614">
      <c r="A614" s="397"/>
      <c r="B614" s="397"/>
      <c r="C614" s="397"/>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c r="AA614" s="397"/>
      <c r="AB614" s="397"/>
      <c r="AC614" s="397"/>
      <c r="AD614" s="397"/>
      <c r="AE614" s="397"/>
      <c r="AF614" s="397"/>
      <c r="AG614" s="397"/>
      <c r="AH614" s="397"/>
      <c r="AI614" s="397"/>
    </row>
    <row r="615">
      <c r="A615" s="397"/>
      <c r="B615" s="397"/>
      <c r="C615" s="397"/>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c r="AA615" s="397"/>
      <c r="AB615" s="397"/>
      <c r="AC615" s="397"/>
      <c r="AD615" s="397"/>
      <c r="AE615" s="397"/>
      <c r="AF615" s="397"/>
      <c r="AG615" s="397"/>
      <c r="AH615" s="397"/>
      <c r="AI615" s="397"/>
    </row>
    <row r="616">
      <c r="A616" s="397"/>
      <c r="B616" s="397"/>
      <c r="C616" s="397"/>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c r="AA616" s="397"/>
      <c r="AB616" s="397"/>
      <c r="AC616" s="397"/>
      <c r="AD616" s="397"/>
      <c r="AE616" s="397"/>
      <c r="AF616" s="397"/>
      <c r="AG616" s="397"/>
      <c r="AH616" s="397"/>
      <c r="AI616" s="397"/>
    </row>
    <row r="617">
      <c r="A617" s="397"/>
      <c r="B617" s="397"/>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c r="AA617" s="397"/>
      <c r="AB617" s="397"/>
      <c r="AC617" s="397"/>
      <c r="AD617" s="397"/>
      <c r="AE617" s="397"/>
      <c r="AF617" s="397"/>
      <c r="AG617" s="397"/>
      <c r="AH617" s="397"/>
      <c r="AI617" s="397"/>
    </row>
    <row r="618">
      <c r="A618" s="397"/>
      <c r="B618" s="397"/>
      <c r="C618" s="397"/>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c r="AA618" s="397"/>
      <c r="AB618" s="397"/>
      <c r="AC618" s="397"/>
      <c r="AD618" s="397"/>
      <c r="AE618" s="397"/>
      <c r="AF618" s="397"/>
      <c r="AG618" s="397"/>
      <c r="AH618" s="397"/>
      <c r="AI618" s="397"/>
    </row>
    <row r="619">
      <c r="A619" s="397"/>
      <c r="B619" s="397"/>
      <c r="C619" s="397"/>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c r="AA619" s="397"/>
      <c r="AB619" s="397"/>
      <c r="AC619" s="397"/>
      <c r="AD619" s="397"/>
      <c r="AE619" s="397"/>
      <c r="AF619" s="397"/>
      <c r="AG619" s="397"/>
      <c r="AH619" s="397"/>
      <c r="AI619" s="397"/>
    </row>
    <row r="620">
      <c r="A620" s="397"/>
      <c r="B620" s="397"/>
      <c r="C620" s="397"/>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c r="AA620" s="397"/>
      <c r="AB620" s="397"/>
      <c r="AC620" s="397"/>
      <c r="AD620" s="397"/>
      <c r="AE620" s="397"/>
      <c r="AF620" s="397"/>
      <c r="AG620" s="397"/>
      <c r="AH620" s="397"/>
      <c r="AI620" s="397"/>
    </row>
    <row r="621">
      <c r="A621" s="397"/>
      <c r="B621" s="397"/>
      <c r="C621" s="397"/>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c r="AA621" s="397"/>
      <c r="AB621" s="397"/>
      <c r="AC621" s="397"/>
      <c r="AD621" s="397"/>
      <c r="AE621" s="397"/>
      <c r="AF621" s="397"/>
      <c r="AG621" s="397"/>
      <c r="AH621" s="397"/>
      <c r="AI621" s="397"/>
    </row>
    <row r="622">
      <c r="A622" s="397"/>
      <c r="B622" s="397"/>
      <c r="C622" s="397"/>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c r="AA622" s="397"/>
      <c r="AB622" s="397"/>
      <c r="AC622" s="397"/>
      <c r="AD622" s="397"/>
      <c r="AE622" s="397"/>
      <c r="AF622" s="397"/>
      <c r="AG622" s="397"/>
      <c r="AH622" s="397"/>
      <c r="AI622" s="397"/>
    </row>
    <row r="623">
      <c r="A623" s="397"/>
      <c r="B623" s="397"/>
      <c r="C623" s="397"/>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c r="AA623" s="397"/>
      <c r="AB623" s="397"/>
      <c r="AC623" s="397"/>
      <c r="AD623" s="397"/>
      <c r="AE623" s="397"/>
      <c r="AF623" s="397"/>
      <c r="AG623" s="397"/>
      <c r="AH623" s="397"/>
      <c r="AI623" s="397"/>
    </row>
    <row r="624">
      <c r="A624" s="397"/>
      <c r="B624" s="397"/>
      <c r="C624" s="397"/>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c r="AA624" s="397"/>
      <c r="AB624" s="397"/>
      <c r="AC624" s="397"/>
      <c r="AD624" s="397"/>
      <c r="AE624" s="397"/>
      <c r="AF624" s="397"/>
      <c r="AG624" s="397"/>
      <c r="AH624" s="397"/>
      <c r="AI624" s="397"/>
    </row>
    <row r="625">
      <c r="A625" s="397"/>
      <c r="B625" s="397"/>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c r="AA625" s="397"/>
      <c r="AB625" s="397"/>
      <c r="AC625" s="397"/>
      <c r="AD625" s="397"/>
      <c r="AE625" s="397"/>
      <c r="AF625" s="397"/>
      <c r="AG625" s="397"/>
      <c r="AH625" s="397"/>
      <c r="AI625" s="397"/>
    </row>
    <row r="626">
      <c r="A626" s="397"/>
      <c r="B626" s="397"/>
      <c r="C626" s="397"/>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c r="AA626" s="397"/>
      <c r="AB626" s="397"/>
      <c r="AC626" s="397"/>
      <c r="AD626" s="397"/>
      <c r="AE626" s="397"/>
      <c r="AF626" s="397"/>
      <c r="AG626" s="397"/>
      <c r="AH626" s="397"/>
      <c r="AI626" s="397"/>
    </row>
    <row r="627">
      <c r="A627" s="397"/>
      <c r="B627" s="397"/>
      <c r="C627" s="397"/>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c r="AA627" s="397"/>
      <c r="AB627" s="397"/>
      <c r="AC627" s="397"/>
      <c r="AD627" s="397"/>
      <c r="AE627" s="397"/>
      <c r="AF627" s="397"/>
      <c r="AG627" s="397"/>
      <c r="AH627" s="397"/>
      <c r="AI627" s="397"/>
    </row>
    <row r="628">
      <c r="A628" s="397"/>
      <c r="B628" s="397"/>
      <c r="C628" s="397"/>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c r="AA628" s="397"/>
      <c r="AB628" s="397"/>
      <c r="AC628" s="397"/>
      <c r="AD628" s="397"/>
      <c r="AE628" s="397"/>
      <c r="AF628" s="397"/>
      <c r="AG628" s="397"/>
      <c r="AH628" s="397"/>
      <c r="AI628" s="397"/>
    </row>
    <row r="629">
      <c r="A629" s="397"/>
      <c r="B629" s="397"/>
      <c r="C629" s="397"/>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c r="AA629" s="397"/>
      <c r="AB629" s="397"/>
      <c r="AC629" s="397"/>
      <c r="AD629" s="397"/>
      <c r="AE629" s="397"/>
      <c r="AF629" s="397"/>
      <c r="AG629" s="397"/>
      <c r="AH629" s="397"/>
      <c r="AI629" s="397"/>
    </row>
    <row r="630">
      <c r="A630" s="397"/>
      <c r="B630" s="397"/>
      <c r="C630" s="397"/>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c r="AA630" s="397"/>
      <c r="AB630" s="397"/>
      <c r="AC630" s="397"/>
      <c r="AD630" s="397"/>
      <c r="AE630" s="397"/>
      <c r="AF630" s="397"/>
      <c r="AG630" s="397"/>
      <c r="AH630" s="397"/>
      <c r="AI630" s="397"/>
    </row>
    <row r="631">
      <c r="A631" s="397"/>
      <c r="B631" s="397"/>
      <c r="C631" s="397"/>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c r="AA631" s="397"/>
      <c r="AB631" s="397"/>
      <c r="AC631" s="397"/>
      <c r="AD631" s="397"/>
      <c r="AE631" s="397"/>
      <c r="AF631" s="397"/>
      <c r="AG631" s="397"/>
      <c r="AH631" s="397"/>
      <c r="AI631" s="397"/>
    </row>
    <row r="632">
      <c r="A632" s="397"/>
      <c r="B632" s="397"/>
      <c r="C632" s="397"/>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c r="AA632" s="397"/>
      <c r="AB632" s="397"/>
      <c r="AC632" s="397"/>
      <c r="AD632" s="397"/>
      <c r="AE632" s="397"/>
      <c r="AF632" s="397"/>
      <c r="AG632" s="397"/>
      <c r="AH632" s="397"/>
      <c r="AI632" s="397"/>
    </row>
    <row r="633">
      <c r="A633" s="397"/>
      <c r="B633" s="397"/>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c r="AA633" s="397"/>
      <c r="AB633" s="397"/>
      <c r="AC633" s="397"/>
      <c r="AD633" s="397"/>
      <c r="AE633" s="397"/>
      <c r="AF633" s="397"/>
      <c r="AG633" s="397"/>
      <c r="AH633" s="397"/>
      <c r="AI633" s="397"/>
    </row>
    <row r="634">
      <c r="A634" s="397"/>
      <c r="B634" s="397"/>
      <c r="C634" s="397"/>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c r="AA634" s="397"/>
      <c r="AB634" s="397"/>
      <c r="AC634" s="397"/>
      <c r="AD634" s="397"/>
      <c r="AE634" s="397"/>
      <c r="AF634" s="397"/>
      <c r="AG634" s="397"/>
      <c r="AH634" s="397"/>
      <c r="AI634" s="397"/>
    </row>
    <row r="635">
      <c r="A635" s="397"/>
      <c r="B635" s="397"/>
      <c r="C635" s="397"/>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c r="AA635" s="397"/>
      <c r="AB635" s="397"/>
      <c r="AC635" s="397"/>
      <c r="AD635" s="397"/>
      <c r="AE635" s="397"/>
      <c r="AF635" s="397"/>
      <c r="AG635" s="397"/>
      <c r="AH635" s="397"/>
      <c r="AI635" s="397"/>
    </row>
    <row r="636">
      <c r="A636" s="397"/>
      <c r="B636" s="397"/>
      <c r="C636" s="397"/>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c r="AA636" s="397"/>
      <c r="AB636" s="397"/>
      <c r="AC636" s="397"/>
      <c r="AD636" s="397"/>
      <c r="AE636" s="397"/>
      <c r="AF636" s="397"/>
      <c r="AG636" s="397"/>
      <c r="AH636" s="397"/>
      <c r="AI636" s="397"/>
    </row>
    <row r="637">
      <c r="A637" s="397"/>
      <c r="B637" s="397"/>
      <c r="C637" s="397"/>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c r="AA637" s="397"/>
      <c r="AB637" s="397"/>
      <c r="AC637" s="397"/>
      <c r="AD637" s="397"/>
      <c r="AE637" s="397"/>
      <c r="AF637" s="397"/>
      <c r="AG637" s="397"/>
      <c r="AH637" s="397"/>
      <c r="AI637" s="397"/>
    </row>
    <row r="638">
      <c r="A638" s="397"/>
      <c r="B638" s="397"/>
      <c r="C638" s="397"/>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c r="AA638" s="397"/>
      <c r="AB638" s="397"/>
      <c r="AC638" s="397"/>
      <c r="AD638" s="397"/>
      <c r="AE638" s="397"/>
      <c r="AF638" s="397"/>
      <c r="AG638" s="397"/>
      <c r="AH638" s="397"/>
      <c r="AI638" s="397"/>
    </row>
    <row r="639">
      <c r="A639" s="397"/>
      <c r="B639" s="397"/>
      <c r="C639" s="397"/>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c r="AA639" s="397"/>
      <c r="AB639" s="397"/>
      <c r="AC639" s="397"/>
      <c r="AD639" s="397"/>
      <c r="AE639" s="397"/>
      <c r="AF639" s="397"/>
      <c r="AG639" s="397"/>
      <c r="AH639" s="397"/>
      <c r="AI639" s="397"/>
    </row>
    <row r="640">
      <c r="A640" s="397"/>
      <c r="B640" s="397"/>
      <c r="C640" s="397"/>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c r="AA640" s="397"/>
      <c r="AB640" s="397"/>
      <c r="AC640" s="397"/>
      <c r="AD640" s="397"/>
      <c r="AE640" s="397"/>
      <c r="AF640" s="397"/>
      <c r="AG640" s="397"/>
      <c r="AH640" s="397"/>
      <c r="AI640" s="397"/>
    </row>
    <row r="641">
      <c r="A641" s="397"/>
      <c r="B641" s="397"/>
      <c r="C641" s="397"/>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c r="AA641" s="397"/>
      <c r="AB641" s="397"/>
      <c r="AC641" s="397"/>
      <c r="AD641" s="397"/>
      <c r="AE641" s="397"/>
      <c r="AF641" s="397"/>
      <c r="AG641" s="397"/>
      <c r="AH641" s="397"/>
      <c r="AI641" s="397"/>
    </row>
    <row r="642">
      <c r="A642" s="397"/>
      <c r="B642" s="397"/>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c r="AA642" s="397"/>
      <c r="AB642" s="397"/>
      <c r="AC642" s="397"/>
      <c r="AD642" s="397"/>
      <c r="AE642" s="397"/>
      <c r="AF642" s="397"/>
      <c r="AG642" s="397"/>
      <c r="AH642" s="397"/>
      <c r="AI642" s="397"/>
    </row>
    <row r="643">
      <c r="A643" s="397"/>
      <c r="B643" s="397"/>
      <c r="C643" s="397"/>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c r="AA643" s="397"/>
      <c r="AB643" s="397"/>
      <c r="AC643" s="397"/>
      <c r="AD643" s="397"/>
      <c r="AE643" s="397"/>
      <c r="AF643" s="397"/>
      <c r="AG643" s="397"/>
      <c r="AH643" s="397"/>
      <c r="AI643" s="397"/>
    </row>
    <row r="644">
      <c r="A644" s="397"/>
      <c r="B644" s="397"/>
      <c r="C644" s="397"/>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c r="AA644" s="397"/>
      <c r="AB644" s="397"/>
      <c r="AC644" s="397"/>
      <c r="AD644" s="397"/>
      <c r="AE644" s="397"/>
      <c r="AF644" s="397"/>
      <c r="AG644" s="397"/>
      <c r="AH644" s="397"/>
      <c r="AI644" s="397"/>
    </row>
    <row r="645">
      <c r="A645" s="397"/>
      <c r="B645" s="397"/>
      <c r="C645" s="397"/>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c r="AA645" s="397"/>
      <c r="AB645" s="397"/>
      <c r="AC645" s="397"/>
      <c r="AD645" s="397"/>
      <c r="AE645" s="397"/>
      <c r="AF645" s="397"/>
      <c r="AG645" s="397"/>
      <c r="AH645" s="397"/>
      <c r="AI645" s="397"/>
    </row>
    <row r="646">
      <c r="A646" s="397"/>
      <c r="B646" s="397"/>
      <c r="C646" s="397"/>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c r="AA646" s="397"/>
      <c r="AB646" s="397"/>
      <c r="AC646" s="397"/>
      <c r="AD646" s="397"/>
      <c r="AE646" s="397"/>
      <c r="AF646" s="397"/>
      <c r="AG646" s="397"/>
      <c r="AH646" s="397"/>
      <c r="AI646" s="397"/>
    </row>
    <row r="647">
      <c r="A647" s="397"/>
      <c r="B647" s="397"/>
      <c r="C647" s="397"/>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c r="AA647" s="397"/>
      <c r="AB647" s="397"/>
      <c r="AC647" s="397"/>
      <c r="AD647" s="397"/>
      <c r="AE647" s="397"/>
      <c r="AF647" s="397"/>
      <c r="AG647" s="397"/>
      <c r="AH647" s="397"/>
      <c r="AI647" s="397"/>
    </row>
    <row r="648">
      <c r="A648" s="397"/>
      <c r="B648" s="397"/>
      <c r="C648" s="397"/>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c r="AA648" s="397"/>
      <c r="AB648" s="397"/>
      <c r="AC648" s="397"/>
      <c r="AD648" s="397"/>
      <c r="AE648" s="397"/>
      <c r="AF648" s="397"/>
      <c r="AG648" s="397"/>
      <c r="AH648" s="397"/>
      <c r="AI648" s="397"/>
    </row>
    <row r="649">
      <c r="A649" s="397"/>
      <c r="B649" s="397"/>
      <c r="C649" s="397"/>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c r="AA649" s="397"/>
      <c r="AB649" s="397"/>
      <c r="AC649" s="397"/>
      <c r="AD649" s="397"/>
      <c r="AE649" s="397"/>
      <c r="AF649" s="397"/>
      <c r="AG649" s="397"/>
      <c r="AH649" s="397"/>
      <c r="AI649" s="397"/>
    </row>
    <row r="650">
      <c r="A650" s="397"/>
      <c r="B650" s="397"/>
      <c r="C650" s="397"/>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c r="AA650" s="397"/>
      <c r="AB650" s="397"/>
      <c r="AC650" s="397"/>
      <c r="AD650" s="397"/>
      <c r="AE650" s="397"/>
      <c r="AF650" s="397"/>
      <c r="AG650" s="397"/>
      <c r="AH650" s="397"/>
      <c r="AI650" s="397"/>
    </row>
    <row r="651">
      <c r="A651" s="397"/>
      <c r="B651" s="397"/>
      <c r="C651" s="397"/>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c r="AA651" s="397"/>
      <c r="AB651" s="397"/>
      <c r="AC651" s="397"/>
      <c r="AD651" s="397"/>
      <c r="AE651" s="397"/>
      <c r="AF651" s="397"/>
      <c r="AG651" s="397"/>
      <c r="AH651" s="397"/>
      <c r="AI651" s="397"/>
    </row>
    <row r="652">
      <c r="A652" s="397"/>
      <c r="B652" s="397"/>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c r="AA652" s="397"/>
      <c r="AB652" s="397"/>
      <c r="AC652" s="397"/>
      <c r="AD652" s="397"/>
      <c r="AE652" s="397"/>
      <c r="AF652" s="397"/>
      <c r="AG652" s="397"/>
      <c r="AH652" s="397"/>
      <c r="AI652" s="397"/>
    </row>
    <row r="653">
      <c r="A653" s="397"/>
      <c r="B653" s="397"/>
      <c r="C653" s="397"/>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c r="AA653" s="397"/>
      <c r="AB653" s="397"/>
      <c r="AC653" s="397"/>
      <c r="AD653" s="397"/>
      <c r="AE653" s="397"/>
      <c r="AF653" s="397"/>
      <c r="AG653" s="397"/>
      <c r="AH653" s="397"/>
      <c r="AI653" s="397"/>
    </row>
    <row r="654">
      <c r="A654" s="397"/>
      <c r="B654" s="397"/>
      <c r="C654" s="397"/>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c r="AA654" s="397"/>
      <c r="AB654" s="397"/>
      <c r="AC654" s="397"/>
      <c r="AD654" s="397"/>
      <c r="AE654" s="397"/>
      <c r="AF654" s="397"/>
      <c r="AG654" s="397"/>
      <c r="AH654" s="397"/>
      <c r="AI654" s="397"/>
    </row>
    <row r="655">
      <c r="A655" s="397"/>
      <c r="B655" s="397"/>
      <c r="C655" s="397"/>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c r="AA655" s="397"/>
      <c r="AB655" s="397"/>
      <c r="AC655" s="397"/>
      <c r="AD655" s="397"/>
      <c r="AE655" s="397"/>
      <c r="AF655" s="397"/>
      <c r="AG655" s="397"/>
      <c r="AH655" s="397"/>
      <c r="AI655" s="397"/>
    </row>
    <row r="656">
      <c r="A656" s="397"/>
      <c r="B656" s="397"/>
      <c r="C656" s="397"/>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c r="AA656" s="397"/>
      <c r="AB656" s="397"/>
      <c r="AC656" s="397"/>
      <c r="AD656" s="397"/>
      <c r="AE656" s="397"/>
      <c r="AF656" s="397"/>
      <c r="AG656" s="397"/>
      <c r="AH656" s="397"/>
      <c r="AI656" s="397"/>
    </row>
    <row r="657">
      <c r="A657" s="397"/>
      <c r="B657" s="397"/>
      <c r="C657" s="397"/>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c r="AA657" s="397"/>
      <c r="AB657" s="397"/>
      <c r="AC657" s="397"/>
      <c r="AD657" s="397"/>
      <c r="AE657" s="397"/>
      <c r="AF657" s="397"/>
      <c r="AG657" s="397"/>
      <c r="AH657" s="397"/>
      <c r="AI657" s="397"/>
    </row>
    <row r="658">
      <c r="A658" s="397"/>
      <c r="B658" s="397"/>
      <c r="C658" s="397"/>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c r="AA658" s="397"/>
      <c r="AB658" s="397"/>
      <c r="AC658" s="397"/>
      <c r="AD658" s="397"/>
      <c r="AE658" s="397"/>
      <c r="AF658" s="397"/>
      <c r="AG658" s="397"/>
      <c r="AH658" s="397"/>
      <c r="AI658" s="397"/>
    </row>
    <row r="659">
      <c r="A659" s="397"/>
      <c r="B659" s="397"/>
      <c r="C659" s="397"/>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c r="AA659" s="397"/>
      <c r="AB659" s="397"/>
      <c r="AC659" s="397"/>
      <c r="AD659" s="397"/>
      <c r="AE659" s="397"/>
      <c r="AF659" s="397"/>
      <c r="AG659" s="397"/>
      <c r="AH659" s="397"/>
      <c r="AI659" s="397"/>
    </row>
    <row r="660">
      <c r="A660" s="397"/>
      <c r="B660" s="397"/>
      <c r="C660" s="397"/>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c r="AA660" s="397"/>
      <c r="AB660" s="397"/>
      <c r="AC660" s="397"/>
      <c r="AD660" s="397"/>
      <c r="AE660" s="397"/>
      <c r="AF660" s="397"/>
      <c r="AG660" s="397"/>
      <c r="AH660" s="397"/>
      <c r="AI660" s="397"/>
    </row>
    <row r="661">
      <c r="A661" s="397"/>
      <c r="B661" s="397"/>
      <c r="C661" s="397"/>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c r="AA661" s="397"/>
      <c r="AB661" s="397"/>
      <c r="AC661" s="397"/>
      <c r="AD661" s="397"/>
      <c r="AE661" s="397"/>
      <c r="AF661" s="397"/>
      <c r="AG661" s="397"/>
      <c r="AH661" s="397"/>
      <c r="AI661" s="397"/>
    </row>
    <row r="662">
      <c r="A662" s="397"/>
      <c r="B662" s="397"/>
      <c r="C662" s="397"/>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c r="AA662" s="397"/>
      <c r="AB662" s="397"/>
      <c r="AC662" s="397"/>
      <c r="AD662" s="397"/>
      <c r="AE662" s="397"/>
      <c r="AF662" s="397"/>
      <c r="AG662" s="397"/>
      <c r="AH662" s="397"/>
      <c r="AI662" s="397"/>
    </row>
    <row r="663">
      <c r="A663" s="397"/>
      <c r="B663" s="397"/>
      <c r="C663" s="397"/>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c r="AA663" s="397"/>
      <c r="AB663" s="397"/>
      <c r="AC663" s="397"/>
      <c r="AD663" s="397"/>
      <c r="AE663" s="397"/>
      <c r="AF663" s="397"/>
      <c r="AG663" s="397"/>
      <c r="AH663" s="397"/>
      <c r="AI663" s="397"/>
    </row>
    <row r="664">
      <c r="A664" s="397"/>
      <c r="B664" s="397"/>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c r="AA664" s="397"/>
      <c r="AB664" s="397"/>
      <c r="AC664" s="397"/>
      <c r="AD664" s="397"/>
      <c r="AE664" s="397"/>
      <c r="AF664" s="397"/>
      <c r="AG664" s="397"/>
      <c r="AH664" s="397"/>
      <c r="AI664" s="397"/>
    </row>
    <row r="665">
      <c r="A665" s="397"/>
      <c r="B665" s="397"/>
      <c r="C665" s="397"/>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c r="AA665" s="397"/>
      <c r="AB665" s="397"/>
      <c r="AC665" s="397"/>
      <c r="AD665" s="397"/>
      <c r="AE665" s="397"/>
      <c r="AF665" s="397"/>
      <c r="AG665" s="397"/>
      <c r="AH665" s="397"/>
      <c r="AI665" s="397"/>
    </row>
    <row r="666">
      <c r="A666" s="397"/>
      <c r="B666" s="397"/>
      <c r="C666" s="397"/>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c r="AA666" s="397"/>
      <c r="AB666" s="397"/>
      <c r="AC666" s="397"/>
      <c r="AD666" s="397"/>
      <c r="AE666" s="397"/>
      <c r="AF666" s="397"/>
      <c r="AG666" s="397"/>
      <c r="AH666" s="397"/>
      <c r="AI666" s="397"/>
    </row>
    <row r="667">
      <c r="A667" s="397"/>
      <c r="B667" s="397"/>
      <c r="C667" s="397"/>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c r="AA667" s="397"/>
      <c r="AB667" s="397"/>
      <c r="AC667" s="397"/>
      <c r="AD667" s="397"/>
      <c r="AE667" s="397"/>
      <c r="AF667" s="397"/>
      <c r="AG667" s="397"/>
      <c r="AH667" s="397"/>
      <c r="AI667" s="397"/>
    </row>
    <row r="668">
      <c r="A668" s="397"/>
      <c r="B668" s="397"/>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c r="AA668" s="397"/>
      <c r="AB668" s="397"/>
      <c r="AC668" s="397"/>
      <c r="AD668" s="397"/>
      <c r="AE668" s="397"/>
      <c r="AF668" s="397"/>
      <c r="AG668" s="397"/>
      <c r="AH668" s="397"/>
      <c r="AI668" s="397"/>
    </row>
    <row r="669">
      <c r="A669" s="397"/>
      <c r="B669" s="397"/>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c r="AA669" s="397"/>
      <c r="AB669" s="397"/>
      <c r="AC669" s="397"/>
      <c r="AD669" s="397"/>
      <c r="AE669" s="397"/>
      <c r="AF669" s="397"/>
      <c r="AG669" s="397"/>
      <c r="AH669" s="397"/>
      <c r="AI669" s="397"/>
    </row>
    <row r="670">
      <c r="A670" s="397"/>
      <c r="B670" s="397"/>
      <c r="C670" s="397"/>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c r="AA670" s="397"/>
      <c r="AB670" s="397"/>
      <c r="AC670" s="397"/>
      <c r="AD670" s="397"/>
      <c r="AE670" s="397"/>
      <c r="AF670" s="397"/>
      <c r="AG670" s="397"/>
      <c r="AH670" s="397"/>
      <c r="AI670" s="397"/>
    </row>
    <row r="671">
      <c r="A671" s="397"/>
      <c r="B671" s="397"/>
      <c r="C671" s="397"/>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c r="AA671" s="397"/>
      <c r="AB671" s="397"/>
      <c r="AC671" s="397"/>
      <c r="AD671" s="397"/>
      <c r="AE671" s="397"/>
      <c r="AF671" s="397"/>
      <c r="AG671" s="397"/>
      <c r="AH671" s="397"/>
      <c r="AI671" s="397"/>
    </row>
    <row r="672">
      <c r="A672" s="397"/>
      <c r="B672" s="397"/>
      <c r="C672" s="397"/>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c r="AA672" s="397"/>
      <c r="AB672" s="397"/>
      <c r="AC672" s="397"/>
      <c r="AD672" s="397"/>
      <c r="AE672" s="397"/>
      <c r="AF672" s="397"/>
      <c r="AG672" s="397"/>
      <c r="AH672" s="397"/>
      <c r="AI672" s="397"/>
    </row>
    <row r="673">
      <c r="A673" s="397"/>
      <c r="B673" s="397"/>
      <c r="C673" s="397"/>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c r="AA673" s="397"/>
      <c r="AB673" s="397"/>
      <c r="AC673" s="397"/>
      <c r="AD673" s="397"/>
      <c r="AE673" s="397"/>
      <c r="AF673" s="397"/>
      <c r="AG673" s="397"/>
      <c r="AH673" s="397"/>
      <c r="AI673" s="397"/>
    </row>
    <row r="674">
      <c r="A674" s="397"/>
      <c r="B674" s="397"/>
      <c r="C674" s="397"/>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c r="AA674" s="397"/>
      <c r="AB674" s="397"/>
      <c r="AC674" s="397"/>
      <c r="AD674" s="397"/>
      <c r="AE674" s="397"/>
      <c r="AF674" s="397"/>
      <c r="AG674" s="397"/>
      <c r="AH674" s="397"/>
      <c r="AI674" s="397"/>
    </row>
    <row r="675">
      <c r="A675" s="397"/>
      <c r="B675" s="397"/>
      <c r="C675" s="397"/>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c r="AA675" s="397"/>
      <c r="AB675" s="397"/>
      <c r="AC675" s="397"/>
      <c r="AD675" s="397"/>
      <c r="AE675" s="397"/>
      <c r="AF675" s="397"/>
      <c r="AG675" s="397"/>
      <c r="AH675" s="397"/>
      <c r="AI675" s="397"/>
    </row>
    <row r="676">
      <c r="A676" s="397"/>
      <c r="B676" s="397"/>
      <c r="C676" s="397"/>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c r="AA676" s="397"/>
      <c r="AB676" s="397"/>
      <c r="AC676" s="397"/>
      <c r="AD676" s="397"/>
      <c r="AE676" s="397"/>
      <c r="AF676" s="397"/>
      <c r="AG676" s="397"/>
      <c r="AH676" s="397"/>
      <c r="AI676" s="397"/>
    </row>
    <row r="677">
      <c r="A677" s="397"/>
      <c r="B677" s="397"/>
      <c r="C677" s="397"/>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c r="AA677" s="397"/>
      <c r="AB677" s="397"/>
      <c r="AC677" s="397"/>
      <c r="AD677" s="397"/>
      <c r="AE677" s="397"/>
      <c r="AF677" s="397"/>
      <c r="AG677" s="397"/>
      <c r="AH677" s="397"/>
      <c r="AI677" s="397"/>
    </row>
    <row r="678">
      <c r="A678" s="397"/>
      <c r="B678" s="397"/>
      <c r="C678" s="397"/>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c r="AA678" s="397"/>
      <c r="AB678" s="397"/>
      <c r="AC678" s="397"/>
      <c r="AD678" s="397"/>
      <c r="AE678" s="397"/>
      <c r="AF678" s="397"/>
      <c r="AG678" s="397"/>
      <c r="AH678" s="397"/>
      <c r="AI678" s="397"/>
    </row>
    <row r="679">
      <c r="A679" s="397"/>
      <c r="B679" s="397"/>
      <c r="C679" s="397"/>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c r="AA679" s="397"/>
      <c r="AB679" s="397"/>
      <c r="AC679" s="397"/>
      <c r="AD679" s="397"/>
      <c r="AE679" s="397"/>
      <c r="AF679" s="397"/>
      <c r="AG679" s="397"/>
      <c r="AH679" s="397"/>
      <c r="AI679" s="397"/>
    </row>
    <row r="680">
      <c r="A680" s="397"/>
      <c r="B680" s="397"/>
      <c r="C680" s="397"/>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c r="AA680" s="397"/>
      <c r="AB680" s="397"/>
      <c r="AC680" s="397"/>
      <c r="AD680" s="397"/>
      <c r="AE680" s="397"/>
      <c r="AF680" s="397"/>
      <c r="AG680" s="397"/>
      <c r="AH680" s="397"/>
      <c r="AI680" s="397"/>
    </row>
    <row r="681">
      <c r="A681" s="397"/>
      <c r="B681" s="397"/>
      <c r="C681" s="397"/>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c r="AA681" s="397"/>
      <c r="AB681" s="397"/>
      <c r="AC681" s="397"/>
      <c r="AD681" s="397"/>
      <c r="AE681" s="397"/>
      <c r="AF681" s="397"/>
      <c r="AG681" s="397"/>
      <c r="AH681" s="397"/>
      <c r="AI681" s="397"/>
    </row>
    <row r="682">
      <c r="A682" s="397"/>
      <c r="B682" s="397"/>
      <c r="C682" s="397"/>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c r="AA682" s="397"/>
      <c r="AB682" s="397"/>
      <c r="AC682" s="397"/>
      <c r="AD682" s="397"/>
      <c r="AE682" s="397"/>
      <c r="AF682" s="397"/>
      <c r="AG682" s="397"/>
      <c r="AH682" s="397"/>
      <c r="AI682" s="397"/>
    </row>
    <row r="683">
      <c r="A683" s="397"/>
      <c r="B683" s="397"/>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c r="AA683" s="397"/>
      <c r="AB683" s="397"/>
      <c r="AC683" s="397"/>
      <c r="AD683" s="397"/>
      <c r="AE683" s="397"/>
      <c r="AF683" s="397"/>
      <c r="AG683" s="397"/>
      <c r="AH683" s="397"/>
      <c r="AI683" s="397"/>
    </row>
    <row r="684">
      <c r="A684" s="397"/>
      <c r="B684" s="397"/>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c r="AA684" s="397"/>
      <c r="AB684" s="397"/>
      <c r="AC684" s="397"/>
      <c r="AD684" s="397"/>
      <c r="AE684" s="397"/>
      <c r="AF684" s="397"/>
      <c r="AG684" s="397"/>
      <c r="AH684" s="397"/>
      <c r="AI684" s="397"/>
    </row>
    <row r="685">
      <c r="A685" s="397"/>
      <c r="B685" s="397"/>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c r="AA685" s="397"/>
      <c r="AB685" s="397"/>
      <c r="AC685" s="397"/>
      <c r="AD685" s="397"/>
      <c r="AE685" s="397"/>
      <c r="AF685" s="397"/>
      <c r="AG685" s="397"/>
      <c r="AH685" s="397"/>
      <c r="AI685" s="397"/>
    </row>
    <row r="686">
      <c r="A686" s="397"/>
      <c r="B686" s="397"/>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c r="AA686" s="397"/>
      <c r="AB686" s="397"/>
      <c r="AC686" s="397"/>
      <c r="AD686" s="397"/>
      <c r="AE686" s="397"/>
      <c r="AF686" s="397"/>
      <c r="AG686" s="397"/>
      <c r="AH686" s="397"/>
      <c r="AI686" s="397"/>
    </row>
    <row r="687">
      <c r="A687" s="397"/>
      <c r="B687" s="397"/>
      <c r="C687" s="397"/>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c r="AA687" s="397"/>
      <c r="AB687" s="397"/>
      <c r="AC687" s="397"/>
      <c r="AD687" s="397"/>
      <c r="AE687" s="397"/>
      <c r="AF687" s="397"/>
      <c r="AG687" s="397"/>
      <c r="AH687" s="397"/>
      <c r="AI687" s="397"/>
    </row>
    <row r="688">
      <c r="A688" s="397"/>
      <c r="B688" s="397"/>
      <c r="C688" s="397"/>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c r="AA688" s="397"/>
      <c r="AB688" s="397"/>
      <c r="AC688" s="397"/>
      <c r="AD688" s="397"/>
      <c r="AE688" s="397"/>
      <c r="AF688" s="397"/>
      <c r="AG688" s="397"/>
      <c r="AH688" s="397"/>
      <c r="AI688" s="397"/>
    </row>
    <row r="689">
      <c r="A689" s="397"/>
      <c r="B689" s="397"/>
      <c r="C689" s="397"/>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c r="AA689" s="397"/>
      <c r="AB689" s="397"/>
      <c r="AC689" s="397"/>
      <c r="AD689" s="397"/>
      <c r="AE689" s="397"/>
      <c r="AF689" s="397"/>
      <c r="AG689" s="397"/>
      <c r="AH689" s="397"/>
      <c r="AI689" s="397"/>
    </row>
    <row r="690">
      <c r="A690" s="397"/>
      <c r="B690" s="397"/>
      <c r="C690" s="397"/>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c r="AA690" s="397"/>
      <c r="AB690" s="397"/>
      <c r="AC690" s="397"/>
      <c r="AD690" s="397"/>
      <c r="AE690" s="397"/>
      <c r="AF690" s="397"/>
      <c r="AG690" s="397"/>
      <c r="AH690" s="397"/>
      <c r="AI690" s="397"/>
    </row>
    <row r="691">
      <c r="A691" s="397"/>
      <c r="B691" s="397"/>
      <c r="C691" s="397"/>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c r="AA691" s="397"/>
      <c r="AB691" s="397"/>
      <c r="AC691" s="397"/>
      <c r="AD691" s="397"/>
      <c r="AE691" s="397"/>
      <c r="AF691" s="397"/>
      <c r="AG691" s="397"/>
      <c r="AH691" s="397"/>
      <c r="AI691" s="397"/>
    </row>
    <row r="692">
      <c r="A692" s="397"/>
      <c r="B692" s="397"/>
      <c r="C692" s="397"/>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c r="AA692" s="397"/>
      <c r="AB692" s="397"/>
      <c r="AC692" s="397"/>
      <c r="AD692" s="397"/>
      <c r="AE692" s="397"/>
      <c r="AF692" s="397"/>
      <c r="AG692" s="397"/>
      <c r="AH692" s="397"/>
      <c r="AI692" s="397"/>
    </row>
    <row r="693">
      <c r="A693" s="397"/>
      <c r="B693" s="397"/>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c r="AA693" s="397"/>
      <c r="AB693" s="397"/>
      <c r="AC693" s="397"/>
      <c r="AD693" s="397"/>
      <c r="AE693" s="397"/>
      <c r="AF693" s="397"/>
      <c r="AG693" s="397"/>
      <c r="AH693" s="397"/>
      <c r="AI693" s="397"/>
    </row>
    <row r="694">
      <c r="A694" s="397"/>
      <c r="B694" s="397"/>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c r="AA694" s="397"/>
      <c r="AB694" s="397"/>
      <c r="AC694" s="397"/>
      <c r="AD694" s="397"/>
      <c r="AE694" s="397"/>
      <c r="AF694" s="397"/>
      <c r="AG694" s="397"/>
      <c r="AH694" s="397"/>
      <c r="AI694" s="397"/>
    </row>
    <row r="695">
      <c r="A695" s="397"/>
      <c r="B695" s="397"/>
      <c r="C695" s="397"/>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c r="AA695" s="397"/>
      <c r="AB695" s="397"/>
      <c r="AC695" s="397"/>
      <c r="AD695" s="397"/>
      <c r="AE695" s="397"/>
      <c r="AF695" s="397"/>
      <c r="AG695" s="397"/>
      <c r="AH695" s="397"/>
      <c r="AI695" s="397"/>
    </row>
    <row r="696">
      <c r="A696" s="397"/>
      <c r="B696" s="397"/>
      <c r="C696" s="397"/>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c r="AA696" s="397"/>
      <c r="AB696" s="397"/>
      <c r="AC696" s="397"/>
      <c r="AD696" s="397"/>
      <c r="AE696" s="397"/>
      <c r="AF696" s="397"/>
      <c r="AG696" s="397"/>
      <c r="AH696" s="397"/>
      <c r="AI696" s="397"/>
    </row>
    <row r="697">
      <c r="A697" s="397"/>
      <c r="B697" s="397"/>
      <c r="C697" s="397"/>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c r="AA697" s="397"/>
      <c r="AB697" s="397"/>
      <c r="AC697" s="397"/>
      <c r="AD697" s="397"/>
      <c r="AE697" s="397"/>
      <c r="AF697" s="397"/>
      <c r="AG697" s="397"/>
      <c r="AH697" s="397"/>
      <c r="AI697" s="397"/>
    </row>
    <row r="698">
      <c r="A698" s="397"/>
      <c r="B698" s="397"/>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c r="AA698" s="397"/>
      <c r="AB698" s="397"/>
      <c r="AC698" s="397"/>
      <c r="AD698" s="397"/>
      <c r="AE698" s="397"/>
      <c r="AF698" s="397"/>
      <c r="AG698" s="397"/>
      <c r="AH698" s="397"/>
      <c r="AI698" s="397"/>
    </row>
    <row r="699">
      <c r="A699" s="397"/>
      <c r="B699" s="397"/>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c r="AA699" s="397"/>
      <c r="AB699" s="397"/>
      <c r="AC699" s="397"/>
      <c r="AD699" s="397"/>
      <c r="AE699" s="397"/>
      <c r="AF699" s="397"/>
      <c r="AG699" s="397"/>
      <c r="AH699" s="397"/>
      <c r="AI699" s="397"/>
    </row>
    <row r="700">
      <c r="A700" s="397"/>
      <c r="B700" s="397"/>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c r="AA700" s="397"/>
      <c r="AB700" s="397"/>
      <c r="AC700" s="397"/>
      <c r="AD700" s="397"/>
      <c r="AE700" s="397"/>
      <c r="AF700" s="397"/>
      <c r="AG700" s="397"/>
      <c r="AH700" s="397"/>
      <c r="AI700" s="397"/>
    </row>
    <row r="701">
      <c r="A701" s="397"/>
      <c r="B701" s="397"/>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c r="AA701" s="397"/>
      <c r="AB701" s="397"/>
      <c r="AC701" s="397"/>
      <c r="AD701" s="397"/>
      <c r="AE701" s="397"/>
      <c r="AF701" s="397"/>
      <c r="AG701" s="397"/>
      <c r="AH701" s="397"/>
      <c r="AI701" s="397"/>
    </row>
    <row r="702">
      <c r="A702" s="397"/>
      <c r="B702" s="397"/>
      <c r="C702" s="397"/>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c r="AA702" s="397"/>
      <c r="AB702" s="397"/>
      <c r="AC702" s="397"/>
      <c r="AD702" s="397"/>
      <c r="AE702" s="397"/>
      <c r="AF702" s="397"/>
      <c r="AG702" s="397"/>
      <c r="AH702" s="397"/>
      <c r="AI702" s="397"/>
    </row>
    <row r="703">
      <c r="A703" s="397"/>
      <c r="B703" s="397"/>
      <c r="C703" s="397"/>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c r="AA703" s="397"/>
      <c r="AB703" s="397"/>
      <c r="AC703" s="397"/>
      <c r="AD703" s="397"/>
      <c r="AE703" s="397"/>
      <c r="AF703" s="397"/>
      <c r="AG703" s="397"/>
      <c r="AH703" s="397"/>
      <c r="AI703" s="397"/>
    </row>
    <row r="704">
      <c r="A704" s="397"/>
      <c r="B704" s="397"/>
      <c r="C704" s="397"/>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c r="AA704" s="397"/>
      <c r="AB704" s="397"/>
      <c r="AC704" s="397"/>
      <c r="AD704" s="397"/>
      <c r="AE704" s="397"/>
      <c r="AF704" s="397"/>
      <c r="AG704" s="397"/>
      <c r="AH704" s="397"/>
      <c r="AI704" s="397"/>
    </row>
    <row r="705">
      <c r="A705" s="397"/>
      <c r="B705" s="397"/>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c r="AA705" s="397"/>
      <c r="AB705" s="397"/>
      <c r="AC705" s="397"/>
      <c r="AD705" s="397"/>
      <c r="AE705" s="397"/>
      <c r="AF705" s="397"/>
      <c r="AG705" s="397"/>
      <c r="AH705" s="397"/>
      <c r="AI705" s="397"/>
    </row>
    <row r="706">
      <c r="A706" s="397"/>
      <c r="B706" s="397"/>
      <c r="C706" s="397"/>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c r="AA706" s="397"/>
      <c r="AB706" s="397"/>
      <c r="AC706" s="397"/>
      <c r="AD706" s="397"/>
      <c r="AE706" s="397"/>
      <c r="AF706" s="397"/>
      <c r="AG706" s="397"/>
      <c r="AH706" s="397"/>
      <c r="AI706" s="397"/>
    </row>
    <row r="707">
      <c r="A707" s="397"/>
      <c r="B707" s="397"/>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c r="AA707" s="397"/>
      <c r="AB707" s="397"/>
      <c r="AC707" s="397"/>
      <c r="AD707" s="397"/>
      <c r="AE707" s="397"/>
      <c r="AF707" s="397"/>
      <c r="AG707" s="397"/>
      <c r="AH707" s="397"/>
      <c r="AI707" s="397"/>
    </row>
    <row r="708">
      <c r="A708" s="397"/>
      <c r="B708" s="397"/>
      <c r="C708" s="397"/>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c r="AA708" s="397"/>
      <c r="AB708" s="397"/>
      <c r="AC708" s="397"/>
      <c r="AD708" s="397"/>
      <c r="AE708" s="397"/>
      <c r="AF708" s="397"/>
      <c r="AG708" s="397"/>
      <c r="AH708" s="397"/>
      <c r="AI708" s="397"/>
    </row>
    <row r="709">
      <c r="A709" s="397"/>
      <c r="B709" s="397"/>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c r="AA709" s="397"/>
      <c r="AB709" s="397"/>
      <c r="AC709" s="397"/>
      <c r="AD709" s="397"/>
      <c r="AE709" s="397"/>
      <c r="AF709" s="397"/>
      <c r="AG709" s="397"/>
      <c r="AH709" s="397"/>
      <c r="AI709" s="397"/>
    </row>
    <row r="710">
      <c r="A710" s="397"/>
      <c r="B710" s="397"/>
      <c r="C710" s="397"/>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c r="AA710" s="397"/>
      <c r="AB710" s="397"/>
      <c r="AC710" s="397"/>
      <c r="AD710" s="397"/>
      <c r="AE710" s="397"/>
      <c r="AF710" s="397"/>
      <c r="AG710" s="397"/>
      <c r="AH710" s="397"/>
      <c r="AI710" s="397"/>
    </row>
    <row r="711">
      <c r="A711" s="397"/>
      <c r="B711" s="397"/>
      <c r="C711" s="397"/>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c r="AA711" s="397"/>
      <c r="AB711" s="397"/>
      <c r="AC711" s="397"/>
      <c r="AD711" s="397"/>
      <c r="AE711" s="397"/>
      <c r="AF711" s="397"/>
      <c r="AG711" s="397"/>
      <c r="AH711" s="397"/>
      <c r="AI711" s="397"/>
    </row>
    <row r="712">
      <c r="A712" s="397"/>
      <c r="B712" s="397"/>
      <c r="C712" s="397"/>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c r="AA712" s="397"/>
      <c r="AB712" s="397"/>
      <c r="AC712" s="397"/>
      <c r="AD712" s="397"/>
      <c r="AE712" s="397"/>
      <c r="AF712" s="397"/>
      <c r="AG712" s="397"/>
      <c r="AH712" s="397"/>
      <c r="AI712" s="397"/>
    </row>
    <row r="713">
      <c r="A713" s="397"/>
      <c r="B713" s="397"/>
      <c r="C713" s="397"/>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c r="AA713" s="397"/>
      <c r="AB713" s="397"/>
      <c r="AC713" s="397"/>
      <c r="AD713" s="397"/>
      <c r="AE713" s="397"/>
      <c r="AF713" s="397"/>
      <c r="AG713" s="397"/>
      <c r="AH713" s="397"/>
      <c r="AI713" s="397"/>
    </row>
    <row r="714">
      <c r="A714" s="397"/>
      <c r="B714" s="397"/>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c r="AA714" s="397"/>
      <c r="AB714" s="397"/>
      <c r="AC714" s="397"/>
      <c r="AD714" s="397"/>
      <c r="AE714" s="397"/>
      <c r="AF714" s="397"/>
      <c r="AG714" s="397"/>
      <c r="AH714" s="397"/>
      <c r="AI714" s="397"/>
    </row>
    <row r="715">
      <c r="A715" s="397"/>
      <c r="B715" s="397"/>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c r="AA715" s="397"/>
      <c r="AB715" s="397"/>
      <c r="AC715" s="397"/>
      <c r="AD715" s="397"/>
      <c r="AE715" s="397"/>
      <c r="AF715" s="397"/>
      <c r="AG715" s="397"/>
      <c r="AH715" s="397"/>
      <c r="AI715" s="397"/>
    </row>
    <row r="716">
      <c r="A716" s="397"/>
      <c r="B716" s="397"/>
      <c r="C716" s="397"/>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c r="AA716" s="397"/>
      <c r="AB716" s="397"/>
      <c r="AC716" s="397"/>
      <c r="AD716" s="397"/>
      <c r="AE716" s="397"/>
      <c r="AF716" s="397"/>
      <c r="AG716" s="397"/>
      <c r="AH716" s="397"/>
      <c r="AI716" s="397"/>
    </row>
    <row r="717">
      <c r="A717" s="397"/>
      <c r="B717" s="397"/>
      <c r="C717" s="397"/>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c r="AA717" s="397"/>
      <c r="AB717" s="397"/>
      <c r="AC717" s="397"/>
      <c r="AD717" s="397"/>
      <c r="AE717" s="397"/>
      <c r="AF717" s="397"/>
      <c r="AG717" s="397"/>
      <c r="AH717" s="397"/>
      <c r="AI717" s="397"/>
    </row>
    <row r="718">
      <c r="A718" s="397"/>
      <c r="B718" s="397"/>
      <c r="C718" s="397"/>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c r="AA718" s="397"/>
      <c r="AB718" s="397"/>
      <c r="AC718" s="397"/>
      <c r="AD718" s="397"/>
      <c r="AE718" s="397"/>
      <c r="AF718" s="397"/>
      <c r="AG718" s="397"/>
      <c r="AH718" s="397"/>
      <c r="AI718" s="397"/>
    </row>
    <row r="719">
      <c r="A719" s="397"/>
      <c r="B719" s="397"/>
      <c r="C719" s="397"/>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c r="AA719" s="397"/>
      <c r="AB719" s="397"/>
      <c r="AC719" s="397"/>
      <c r="AD719" s="397"/>
      <c r="AE719" s="397"/>
      <c r="AF719" s="397"/>
      <c r="AG719" s="397"/>
      <c r="AH719" s="397"/>
      <c r="AI719" s="397"/>
    </row>
    <row r="720">
      <c r="A720" s="397"/>
      <c r="B720" s="397"/>
      <c r="C720" s="397"/>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c r="AA720" s="397"/>
      <c r="AB720" s="397"/>
      <c r="AC720" s="397"/>
      <c r="AD720" s="397"/>
      <c r="AE720" s="397"/>
      <c r="AF720" s="397"/>
      <c r="AG720" s="397"/>
      <c r="AH720" s="397"/>
      <c r="AI720" s="397"/>
    </row>
    <row r="721">
      <c r="A721" s="397"/>
      <c r="B721" s="397"/>
      <c r="C721" s="397"/>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c r="AA721" s="397"/>
      <c r="AB721" s="397"/>
      <c r="AC721" s="397"/>
      <c r="AD721" s="397"/>
      <c r="AE721" s="397"/>
      <c r="AF721" s="397"/>
      <c r="AG721" s="397"/>
      <c r="AH721" s="397"/>
      <c r="AI721" s="397"/>
    </row>
    <row r="722">
      <c r="A722" s="397"/>
      <c r="B722" s="397"/>
      <c r="C722" s="397"/>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c r="AA722" s="397"/>
      <c r="AB722" s="397"/>
      <c r="AC722" s="397"/>
      <c r="AD722" s="397"/>
      <c r="AE722" s="397"/>
      <c r="AF722" s="397"/>
      <c r="AG722" s="397"/>
      <c r="AH722" s="397"/>
      <c r="AI722" s="397"/>
    </row>
    <row r="723">
      <c r="A723" s="397"/>
      <c r="B723" s="397"/>
      <c r="C723" s="397"/>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c r="AA723" s="397"/>
      <c r="AB723" s="397"/>
      <c r="AC723" s="397"/>
      <c r="AD723" s="397"/>
      <c r="AE723" s="397"/>
      <c r="AF723" s="397"/>
      <c r="AG723" s="397"/>
      <c r="AH723" s="397"/>
      <c r="AI723" s="397"/>
    </row>
    <row r="724">
      <c r="A724" s="397"/>
      <c r="B724" s="397"/>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c r="AA724" s="397"/>
      <c r="AB724" s="397"/>
      <c r="AC724" s="397"/>
      <c r="AD724" s="397"/>
      <c r="AE724" s="397"/>
      <c r="AF724" s="397"/>
      <c r="AG724" s="397"/>
      <c r="AH724" s="397"/>
      <c r="AI724" s="397"/>
    </row>
    <row r="725">
      <c r="A725" s="397"/>
      <c r="B725" s="397"/>
      <c r="C725" s="397"/>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c r="AA725" s="397"/>
      <c r="AB725" s="397"/>
      <c r="AC725" s="397"/>
      <c r="AD725" s="397"/>
      <c r="AE725" s="397"/>
      <c r="AF725" s="397"/>
      <c r="AG725" s="397"/>
      <c r="AH725" s="397"/>
      <c r="AI725" s="397"/>
    </row>
    <row r="726">
      <c r="A726" s="397"/>
      <c r="B726" s="397"/>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c r="AA726" s="397"/>
      <c r="AB726" s="397"/>
      <c r="AC726" s="397"/>
      <c r="AD726" s="397"/>
      <c r="AE726" s="397"/>
      <c r="AF726" s="397"/>
      <c r="AG726" s="397"/>
      <c r="AH726" s="397"/>
      <c r="AI726" s="397"/>
    </row>
    <row r="727">
      <c r="A727" s="397"/>
      <c r="B727" s="397"/>
      <c r="C727" s="397"/>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c r="AA727" s="397"/>
      <c r="AB727" s="397"/>
      <c r="AC727" s="397"/>
      <c r="AD727" s="397"/>
      <c r="AE727" s="397"/>
      <c r="AF727" s="397"/>
      <c r="AG727" s="397"/>
      <c r="AH727" s="397"/>
      <c r="AI727" s="397"/>
    </row>
    <row r="728">
      <c r="A728" s="397"/>
      <c r="B728" s="397"/>
      <c r="C728" s="397"/>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c r="AA728" s="397"/>
      <c r="AB728" s="397"/>
      <c r="AC728" s="397"/>
      <c r="AD728" s="397"/>
      <c r="AE728" s="397"/>
      <c r="AF728" s="397"/>
      <c r="AG728" s="397"/>
      <c r="AH728" s="397"/>
      <c r="AI728" s="397"/>
    </row>
    <row r="729">
      <c r="A729" s="397"/>
      <c r="B729" s="397"/>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c r="AA729" s="397"/>
      <c r="AB729" s="397"/>
      <c r="AC729" s="397"/>
      <c r="AD729" s="397"/>
      <c r="AE729" s="397"/>
      <c r="AF729" s="397"/>
      <c r="AG729" s="397"/>
      <c r="AH729" s="397"/>
      <c r="AI729" s="397"/>
    </row>
    <row r="730">
      <c r="A730" s="397"/>
      <c r="B730" s="397"/>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c r="AA730" s="397"/>
      <c r="AB730" s="397"/>
      <c r="AC730" s="397"/>
      <c r="AD730" s="397"/>
      <c r="AE730" s="397"/>
      <c r="AF730" s="397"/>
      <c r="AG730" s="397"/>
      <c r="AH730" s="397"/>
      <c r="AI730" s="397"/>
    </row>
    <row r="731">
      <c r="A731" s="397"/>
      <c r="B731" s="397"/>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c r="AA731" s="397"/>
      <c r="AB731" s="397"/>
      <c r="AC731" s="397"/>
      <c r="AD731" s="397"/>
      <c r="AE731" s="397"/>
      <c r="AF731" s="397"/>
      <c r="AG731" s="397"/>
      <c r="AH731" s="397"/>
      <c r="AI731" s="397"/>
    </row>
    <row r="732">
      <c r="A732" s="397"/>
      <c r="B732" s="397"/>
      <c r="C732" s="397"/>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c r="AA732" s="397"/>
      <c r="AB732" s="397"/>
      <c r="AC732" s="397"/>
      <c r="AD732" s="397"/>
      <c r="AE732" s="397"/>
      <c r="AF732" s="397"/>
      <c r="AG732" s="397"/>
      <c r="AH732" s="397"/>
      <c r="AI732" s="397"/>
    </row>
    <row r="733">
      <c r="A733" s="397"/>
      <c r="B733" s="397"/>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c r="AA733" s="397"/>
      <c r="AB733" s="397"/>
      <c r="AC733" s="397"/>
      <c r="AD733" s="397"/>
      <c r="AE733" s="397"/>
      <c r="AF733" s="397"/>
      <c r="AG733" s="397"/>
      <c r="AH733" s="397"/>
      <c r="AI733" s="397"/>
    </row>
    <row r="734">
      <c r="A734" s="397"/>
      <c r="B734" s="397"/>
      <c r="C734" s="397"/>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c r="AA734" s="397"/>
      <c r="AB734" s="397"/>
      <c r="AC734" s="397"/>
      <c r="AD734" s="397"/>
      <c r="AE734" s="397"/>
      <c r="AF734" s="397"/>
      <c r="AG734" s="397"/>
      <c r="AH734" s="397"/>
      <c r="AI734" s="397"/>
    </row>
    <row r="735">
      <c r="A735" s="397"/>
      <c r="B735" s="397"/>
      <c r="C735" s="397"/>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c r="AA735" s="397"/>
      <c r="AB735" s="397"/>
      <c r="AC735" s="397"/>
      <c r="AD735" s="397"/>
      <c r="AE735" s="397"/>
      <c r="AF735" s="397"/>
      <c r="AG735" s="397"/>
      <c r="AH735" s="397"/>
      <c r="AI735" s="397"/>
    </row>
    <row r="736">
      <c r="A736" s="397"/>
      <c r="B736" s="397"/>
      <c r="C736" s="397"/>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c r="AA736" s="397"/>
      <c r="AB736" s="397"/>
      <c r="AC736" s="397"/>
      <c r="AD736" s="397"/>
      <c r="AE736" s="397"/>
      <c r="AF736" s="397"/>
      <c r="AG736" s="397"/>
      <c r="AH736" s="397"/>
      <c r="AI736" s="397"/>
    </row>
    <row r="737">
      <c r="A737" s="397"/>
      <c r="B737" s="397"/>
      <c r="C737" s="397"/>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c r="AA737" s="397"/>
      <c r="AB737" s="397"/>
      <c r="AC737" s="397"/>
      <c r="AD737" s="397"/>
      <c r="AE737" s="397"/>
      <c r="AF737" s="397"/>
      <c r="AG737" s="397"/>
      <c r="AH737" s="397"/>
      <c r="AI737" s="397"/>
    </row>
    <row r="738">
      <c r="A738" s="397"/>
      <c r="B738" s="397"/>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c r="AA738" s="397"/>
      <c r="AB738" s="397"/>
      <c r="AC738" s="397"/>
      <c r="AD738" s="397"/>
      <c r="AE738" s="397"/>
      <c r="AF738" s="397"/>
      <c r="AG738" s="397"/>
      <c r="AH738" s="397"/>
      <c r="AI738" s="397"/>
    </row>
    <row r="739">
      <c r="A739" s="397"/>
      <c r="B739" s="397"/>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c r="AA739" s="397"/>
      <c r="AB739" s="397"/>
      <c r="AC739" s="397"/>
      <c r="AD739" s="397"/>
      <c r="AE739" s="397"/>
      <c r="AF739" s="397"/>
      <c r="AG739" s="397"/>
      <c r="AH739" s="397"/>
      <c r="AI739" s="397"/>
    </row>
    <row r="740">
      <c r="A740" s="397"/>
      <c r="B740" s="397"/>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c r="AA740" s="397"/>
      <c r="AB740" s="397"/>
      <c r="AC740" s="397"/>
      <c r="AD740" s="397"/>
      <c r="AE740" s="397"/>
      <c r="AF740" s="397"/>
      <c r="AG740" s="397"/>
      <c r="AH740" s="397"/>
      <c r="AI740" s="397"/>
    </row>
    <row r="741">
      <c r="A741" s="397"/>
      <c r="B741" s="397"/>
      <c r="C741" s="397"/>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c r="AA741" s="397"/>
      <c r="AB741" s="397"/>
      <c r="AC741" s="397"/>
      <c r="AD741" s="397"/>
      <c r="AE741" s="397"/>
      <c r="AF741" s="397"/>
      <c r="AG741" s="397"/>
      <c r="AH741" s="397"/>
      <c r="AI741" s="397"/>
    </row>
    <row r="742">
      <c r="A742" s="397"/>
      <c r="B742" s="397"/>
      <c r="C742" s="397"/>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c r="AA742" s="397"/>
      <c r="AB742" s="397"/>
      <c r="AC742" s="397"/>
      <c r="AD742" s="397"/>
      <c r="AE742" s="397"/>
      <c r="AF742" s="397"/>
      <c r="AG742" s="397"/>
      <c r="AH742" s="397"/>
      <c r="AI742" s="397"/>
    </row>
    <row r="743">
      <c r="A743" s="397"/>
      <c r="B743" s="397"/>
      <c r="C743" s="397"/>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c r="AA743" s="397"/>
      <c r="AB743" s="397"/>
      <c r="AC743" s="397"/>
      <c r="AD743" s="397"/>
      <c r="AE743" s="397"/>
      <c r="AF743" s="397"/>
      <c r="AG743" s="397"/>
      <c r="AH743" s="397"/>
      <c r="AI743" s="397"/>
    </row>
    <row r="744">
      <c r="A744" s="397"/>
      <c r="B744" s="397"/>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c r="AA744" s="397"/>
      <c r="AB744" s="397"/>
      <c r="AC744" s="397"/>
      <c r="AD744" s="397"/>
      <c r="AE744" s="397"/>
      <c r="AF744" s="397"/>
      <c r="AG744" s="397"/>
      <c r="AH744" s="397"/>
      <c r="AI744" s="397"/>
    </row>
    <row r="745">
      <c r="A745" s="397"/>
      <c r="B745" s="397"/>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c r="AA745" s="397"/>
      <c r="AB745" s="397"/>
      <c r="AC745" s="397"/>
      <c r="AD745" s="397"/>
      <c r="AE745" s="397"/>
      <c r="AF745" s="397"/>
      <c r="AG745" s="397"/>
      <c r="AH745" s="397"/>
      <c r="AI745" s="397"/>
    </row>
    <row r="746">
      <c r="A746" s="397"/>
      <c r="B746" s="397"/>
      <c r="C746" s="397"/>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c r="AA746" s="397"/>
      <c r="AB746" s="397"/>
      <c r="AC746" s="397"/>
      <c r="AD746" s="397"/>
      <c r="AE746" s="397"/>
      <c r="AF746" s="397"/>
      <c r="AG746" s="397"/>
      <c r="AH746" s="397"/>
      <c r="AI746" s="397"/>
    </row>
    <row r="747">
      <c r="A747" s="397"/>
      <c r="B747" s="397"/>
      <c r="C747" s="397"/>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c r="AA747" s="397"/>
      <c r="AB747" s="397"/>
      <c r="AC747" s="397"/>
      <c r="AD747" s="397"/>
      <c r="AE747" s="397"/>
      <c r="AF747" s="397"/>
      <c r="AG747" s="397"/>
      <c r="AH747" s="397"/>
      <c r="AI747" s="397"/>
    </row>
    <row r="748">
      <c r="A748" s="397"/>
      <c r="B748" s="397"/>
      <c r="C748" s="397"/>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c r="AA748" s="397"/>
      <c r="AB748" s="397"/>
      <c r="AC748" s="397"/>
      <c r="AD748" s="397"/>
      <c r="AE748" s="397"/>
      <c r="AF748" s="397"/>
      <c r="AG748" s="397"/>
      <c r="AH748" s="397"/>
      <c r="AI748" s="397"/>
    </row>
    <row r="749">
      <c r="A749" s="397"/>
      <c r="B749" s="397"/>
      <c r="C749" s="397"/>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c r="AA749" s="397"/>
      <c r="AB749" s="397"/>
      <c r="AC749" s="397"/>
      <c r="AD749" s="397"/>
      <c r="AE749" s="397"/>
      <c r="AF749" s="397"/>
      <c r="AG749" s="397"/>
      <c r="AH749" s="397"/>
      <c r="AI749" s="397"/>
    </row>
    <row r="750">
      <c r="A750" s="397"/>
      <c r="B750" s="397"/>
      <c r="C750" s="397"/>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c r="AA750" s="397"/>
      <c r="AB750" s="397"/>
      <c r="AC750" s="397"/>
      <c r="AD750" s="397"/>
      <c r="AE750" s="397"/>
      <c r="AF750" s="397"/>
      <c r="AG750" s="397"/>
      <c r="AH750" s="397"/>
      <c r="AI750" s="397"/>
    </row>
    <row r="751">
      <c r="A751" s="397"/>
      <c r="B751" s="397"/>
      <c r="C751" s="397"/>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c r="AA751" s="397"/>
      <c r="AB751" s="397"/>
      <c r="AC751" s="397"/>
      <c r="AD751" s="397"/>
      <c r="AE751" s="397"/>
      <c r="AF751" s="397"/>
      <c r="AG751" s="397"/>
      <c r="AH751" s="397"/>
      <c r="AI751" s="397"/>
    </row>
    <row r="752">
      <c r="A752" s="397"/>
      <c r="B752" s="397"/>
      <c r="C752" s="397"/>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c r="AA752" s="397"/>
      <c r="AB752" s="397"/>
      <c r="AC752" s="397"/>
      <c r="AD752" s="397"/>
      <c r="AE752" s="397"/>
      <c r="AF752" s="397"/>
      <c r="AG752" s="397"/>
      <c r="AH752" s="397"/>
      <c r="AI752" s="397"/>
    </row>
    <row r="753">
      <c r="A753" s="397"/>
      <c r="B753" s="397"/>
      <c r="C753" s="397"/>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c r="AA753" s="397"/>
      <c r="AB753" s="397"/>
      <c r="AC753" s="397"/>
      <c r="AD753" s="397"/>
      <c r="AE753" s="397"/>
      <c r="AF753" s="397"/>
      <c r="AG753" s="397"/>
      <c r="AH753" s="397"/>
      <c r="AI753" s="397"/>
    </row>
    <row r="754">
      <c r="A754" s="397"/>
      <c r="B754" s="397"/>
      <c r="C754" s="397"/>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c r="AA754" s="397"/>
      <c r="AB754" s="397"/>
      <c r="AC754" s="397"/>
      <c r="AD754" s="397"/>
      <c r="AE754" s="397"/>
      <c r="AF754" s="397"/>
      <c r="AG754" s="397"/>
      <c r="AH754" s="397"/>
      <c r="AI754" s="397"/>
    </row>
    <row r="755">
      <c r="A755" s="397"/>
      <c r="B755" s="397"/>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c r="AA755" s="397"/>
      <c r="AB755" s="397"/>
      <c r="AC755" s="397"/>
      <c r="AD755" s="397"/>
      <c r="AE755" s="397"/>
      <c r="AF755" s="397"/>
      <c r="AG755" s="397"/>
      <c r="AH755" s="397"/>
      <c r="AI755" s="397"/>
    </row>
    <row r="756">
      <c r="A756" s="397"/>
      <c r="B756" s="397"/>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c r="AA756" s="397"/>
      <c r="AB756" s="397"/>
      <c r="AC756" s="397"/>
      <c r="AD756" s="397"/>
      <c r="AE756" s="397"/>
      <c r="AF756" s="397"/>
      <c r="AG756" s="397"/>
      <c r="AH756" s="397"/>
      <c r="AI756" s="397"/>
    </row>
    <row r="757">
      <c r="A757" s="397"/>
      <c r="B757" s="397"/>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c r="AA757" s="397"/>
      <c r="AB757" s="397"/>
      <c r="AC757" s="397"/>
      <c r="AD757" s="397"/>
      <c r="AE757" s="397"/>
      <c r="AF757" s="397"/>
      <c r="AG757" s="397"/>
      <c r="AH757" s="397"/>
      <c r="AI757" s="397"/>
    </row>
    <row r="758">
      <c r="A758" s="397"/>
      <c r="B758" s="397"/>
      <c r="C758" s="397"/>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c r="AA758" s="397"/>
      <c r="AB758" s="397"/>
      <c r="AC758" s="397"/>
      <c r="AD758" s="397"/>
      <c r="AE758" s="397"/>
      <c r="AF758" s="397"/>
      <c r="AG758" s="397"/>
      <c r="AH758" s="397"/>
      <c r="AI758" s="397"/>
    </row>
    <row r="759">
      <c r="A759" s="397"/>
      <c r="B759" s="397"/>
      <c r="C759" s="397"/>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c r="AA759" s="397"/>
      <c r="AB759" s="397"/>
      <c r="AC759" s="397"/>
      <c r="AD759" s="397"/>
      <c r="AE759" s="397"/>
      <c r="AF759" s="397"/>
      <c r="AG759" s="397"/>
      <c r="AH759" s="397"/>
      <c r="AI759" s="397"/>
    </row>
    <row r="760">
      <c r="A760" s="397"/>
      <c r="B760" s="397"/>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c r="AA760" s="397"/>
      <c r="AB760" s="397"/>
      <c r="AC760" s="397"/>
      <c r="AD760" s="397"/>
      <c r="AE760" s="397"/>
      <c r="AF760" s="397"/>
      <c r="AG760" s="397"/>
      <c r="AH760" s="397"/>
      <c r="AI760" s="397"/>
    </row>
    <row r="761">
      <c r="A761" s="397"/>
      <c r="B761" s="397"/>
      <c r="C761" s="397"/>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c r="AA761" s="397"/>
      <c r="AB761" s="397"/>
      <c r="AC761" s="397"/>
      <c r="AD761" s="397"/>
      <c r="AE761" s="397"/>
      <c r="AF761" s="397"/>
      <c r="AG761" s="397"/>
      <c r="AH761" s="397"/>
      <c r="AI761" s="397"/>
    </row>
    <row r="762">
      <c r="A762" s="397"/>
      <c r="B762" s="397"/>
      <c r="C762" s="397"/>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c r="AA762" s="397"/>
      <c r="AB762" s="397"/>
      <c r="AC762" s="397"/>
      <c r="AD762" s="397"/>
      <c r="AE762" s="397"/>
      <c r="AF762" s="397"/>
      <c r="AG762" s="397"/>
      <c r="AH762" s="397"/>
      <c r="AI762" s="397"/>
    </row>
    <row r="763">
      <c r="A763" s="397"/>
      <c r="B763" s="397"/>
      <c r="C763" s="397"/>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c r="AA763" s="397"/>
      <c r="AB763" s="397"/>
      <c r="AC763" s="397"/>
      <c r="AD763" s="397"/>
      <c r="AE763" s="397"/>
      <c r="AF763" s="397"/>
      <c r="AG763" s="397"/>
      <c r="AH763" s="397"/>
      <c r="AI763" s="397"/>
    </row>
    <row r="764">
      <c r="A764" s="397"/>
      <c r="B764" s="397"/>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c r="AA764" s="397"/>
      <c r="AB764" s="397"/>
      <c r="AC764" s="397"/>
      <c r="AD764" s="397"/>
      <c r="AE764" s="397"/>
      <c r="AF764" s="397"/>
      <c r="AG764" s="397"/>
      <c r="AH764" s="397"/>
      <c r="AI764" s="397"/>
    </row>
    <row r="765">
      <c r="A765" s="397"/>
      <c r="B765" s="397"/>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c r="AA765" s="397"/>
      <c r="AB765" s="397"/>
      <c r="AC765" s="397"/>
      <c r="AD765" s="397"/>
      <c r="AE765" s="397"/>
      <c r="AF765" s="397"/>
      <c r="AG765" s="397"/>
      <c r="AH765" s="397"/>
      <c r="AI765" s="397"/>
    </row>
    <row r="766">
      <c r="A766" s="397"/>
      <c r="B766" s="397"/>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c r="AA766" s="397"/>
      <c r="AB766" s="397"/>
      <c r="AC766" s="397"/>
      <c r="AD766" s="397"/>
      <c r="AE766" s="397"/>
      <c r="AF766" s="397"/>
      <c r="AG766" s="397"/>
      <c r="AH766" s="397"/>
      <c r="AI766" s="397"/>
    </row>
    <row r="767">
      <c r="A767" s="397"/>
      <c r="B767" s="397"/>
      <c r="C767" s="397"/>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c r="AA767" s="397"/>
      <c r="AB767" s="397"/>
      <c r="AC767" s="397"/>
      <c r="AD767" s="397"/>
      <c r="AE767" s="397"/>
      <c r="AF767" s="397"/>
      <c r="AG767" s="397"/>
      <c r="AH767" s="397"/>
      <c r="AI767" s="397"/>
    </row>
    <row r="768">
      <c r="A768" s="397"/>
      <c r="B768" s="397"/>
      <c r="C768" s="397"/>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c r="AA768" s="397"/>
      <c r="AB768" s="397"/>
      <c r="AC768" s="397"/>
      <c r="AD768" s="397"/>
      <c r="AE768" s="397"/>
      <c r="AF768" s="397"/>
      <c r="AG768" s="397"/>
      <c r="AH768" s="397"/>
      <c r="AI768" s="397"/>
    </row>
    <row r="769">
      <c r="A769" s="397"/>
      <c r="B769" s="397"/>
      <c r="C769" s="397"/>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c r="AA769" s="397"/>
      <c r="AB769" s="397"/>
      <c r="AC769" s="397"/>
      <c r="AD769" s="397"/>
      <c r="AE769" s="397"/>
      <c r="AF769" s="397"/>
      <c r="AG769" s="397"/>
      <c r="AH769" s="397"/>
      <c r="AI769" s="397"/>
    </row>
    <row r="770">
      <c r="A770" s="397"/>
      <c r="B770" s="397"/>
      <c r="C770" s="397"/>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c r="AA770" s="397"/>
      <c r="AB770" s="397"/>
      <c r="AC770" s="397"/>
      <c r="AD770" s="397"/>
      <c r="AE770" s="397"/>
      <c r="AF770" s="397"/>
      <c r="AG770" s="397"/>
      <c r="AH770" s="397"/>
      <c r="AI770" s="397"/>
    </row>
    <row r="771">
      <c r="A771" s="397"/>
      <c r="B771" s="397"/>
      <c r="C771" s="397"/>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c r="AA771" s="397"/>
      <c r="AB771" s="397"/>
      <c r="AC771" s="397"/>
      <c r="AD771" s="397"/>
      <c r="AE771" s="397"/>
      <c r="AF771" s="397"/>
      <c r="AG771" s="397"/>
      <c r="AH771" s="397"/>
      <c r="AI771" s="397"/>
    </row>
    <row r="772">
      <c r="A772" s="397"/>
      <c r="B772" s="397"/>
      <c r="C772" s="397"/>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c r="AA772" s="397"/>
      <c r="AB772" s="397"/>
      <c r="AC772" s="397"/>
      <c r="AD772" s="397"/>
      <c r="AE772" s="397"/>
      <c r="AF772" s="397"/>
      <c r="AG772" s="397"/>
      <c r="AH772" s="397"/>
      <c r="AI772" s="397"/>
    </row>
    <row r="773">
      <c r="A773" s="397"/>
      <c r="B773" s="397"/>
      <c r="C773" s="397"/>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c r="AA773" s="397"/>
      <c r="AB773" s="397"/>
      <c r="AC773" s="397"/>
      <c r="AD773" s="397"/>
      <c r="AE773" s="397"/>
      <c r="AF773" s="397"/>
      <c r="AG773" s="397"/>
      <c r="AH773" s="397"/>
      <c r="AI773" s="397"/>
    </row>
    <row r="774">
      <c r="A774" s="397"/>
      <c r="B774" s="397"/>
      <c r="C774" s="397"/>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c r="AA774" s="397"/>
      <c r="AB774" s="397"/>
      <c r="AC774" s="397"/>
      <c r="AD774" s="397"/>
      <c r="AE774" s="397"/>
      <c r="AF774" s="397"/>
      <c r="AG774" s="397"/>
      <c r="AH774" s="397"/>
      <c r="AI774" s="397"/>
    </row>
    <row r="775">
      <c r="A775" s="397"/>
      <c r="B775" s="397"/>
      <c r="C775" s="397"/>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c r="AA775" s="397"/>
      <c r="AB775" s="397"/>
      <c r="AC775" s="397"/>
      <c r="AD775" s="397"/>
      <c r="AE775" s="397"/>
      <c r="AF775" s="397"/>
      <c r="AG775" s="397"/>
      <c r="AH775" s="397"/>
      <c r="AI775" s="397"/>
    </row>
    <row r="776">
      <c r="A776" s="397"/>
      <c r="B776" s="397"/>
      <c r="C776" s="397"/>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c r="AA776" s="397"/>
      <c r="AB776" s="397"/>
      <c r="AC776" s="397"/>
      <c r="AD776" s="397"/>
      <c r="AE776" s="397"/>
      <c r="AF776" s="397"/>
      <c r="AG776" s="397"/>
      <c r="AH776" s="397"/>
      <c r="AI776" s="397"/>
    </row>
    <row r="777">
      <c r="A777" s="397"/>
      <c r="B777" s="397"/>
      <c r="C777" s="397"/>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c r="AA777" s="397"/>
      <c r="AB777" s="397"/>
      <c r="AC777" s="397"/>
      <c r="AD777" s="397"/>
      <c r="AE777" s="397"/>
      <c r="AF777" s="397"/>
      <c r="AG777" s="397"/>
      <c r="AH777" s="397"/>
      <c r="AI777" s="397"/>
    </row>
    <row r="778">
      <c r="A778" s="397"/>
      <c r="B778" s="397"/>
      <c r="C778" s="397"/>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c r="AA778" s="397"/>
      <c r="AB778" s="397"/>
      <c r="AC778" s="397"/>
      <c r="AD778" s="397"/>
      <c r="AE778" s="397"/>
      <c r="AF778" s="397"/>
      <c r="AG778" s="397"/>
      <c r="AH778" s="397"/>
      <c r="AI778" s="397"/>
    </row>
    <row r="779">
      <c r="A779" s="397"/>
      <c r="B779" s="397"/>
      <c r="C779" s="397"/>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c r="AA779" s="397"/>
      <c r="AB779" s="397"/>
      <c r="AC779" s="397"/>
      <c r="AD779" s="397"/>
      <c r="AE779" s="397"/>
      <c r="AF779" s="397"/>
      <c r="AG779" s="397"/>
      <c r="AH779" s="397"/>
      <c r="AI779" s="397"/>
    </row>
    <row r="780">
      <c r="A780" s="397"/>
      <c r="B780" s="397"/>
      <c r="C780" s="397"/>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c r="AA780" s="397"/>
      <c r="AB780" s="397"/>
      <c r="AC780" s="397"/>
      <c r="AD780" s="397"/>
      <c r="AE780" s="397"/>
      <c r="AF780" s="397"/>
      <c r="AG780" s="397"/>
      <c r="AH780" s="397"/>
      <c r="AI780" s="397"/>
    </row>
    <row r="781">
      <c r="A781" s="397"/>
      <c r="B781" s="397"/>
      <c r="C781" s="397"/>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c r="AA781" s="397"/>
      <c r="AB781" s="397"/>
      <c r="AC781" s="397"/>
      <c r="AD781" s="397"/>
      <c r="AE781" s="397"/>
      <c r="AF781" s="397"/>
      <c r="AG781" s="397"/>
      <c r="AH781" s="397"/>
      <c r="AI781" s="397"/>
    </row>
    <row r="782">
      <c r="A782" s="397"/>
      <c r="B782" s="397"/>
      <c r="C782" s="397"/>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c r="AA782" s="397"/>
      <c r="AB782" s="397"/>
      <c r="AC782" s="397"/>
      <c r="AD782" s="397"/>
      <c r="AE782" s="397"/>
      <c r="AF782" s="397"/>
      <c r="AG782" s="397"/>
      <c r="AH782" s="397"/>
      <c r="AI782" s="397"/>
    </row>
    <row r="783">
      <c r="A783" s="397"/>
      <c r="B783" s="397"/>
      <c r="C783" s="397"/>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c r="AA783" s="397"/>
      <c r="AB783" s="397"/>
      <c r="AC783" s="397"/>
      <c r="AD783" s="397"/>
      <c r="AE783" s="397"/>
      <c r="AF783" s="397"/>
      <c r="AG783" s="397"/>
      <c r="AH783" s="397"/>
      <c r="AI783" s="397"/>
    </row>
    <row r="784">
      <c r="A784" s="397"/>
      <c r="B784" s="397"/>
      <c r="C784" s="397"/>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c r="AA784" s="397"/>
      <c r="AB784" s="397"/>
      <c r="AC784" s="397"/>
      <c r="AD784" s="397"/>
      <c r="AE784" s="397"/>
      <c r="AF784" s="397"/>
      <c r="AG784" s="397"/>
      <c r="AH784" s="397"/>
      <c r="AI784" s="397"/>
    </row>
    <row r="785">
      <c r="A785" s="397"/>
      <c r="B785" s="397"/>
      <c r="C785" s="397"/>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c r="AA785" s="397"/>
      <c r="AB785" s="397"/>
      <c r="AC785" s="397"/>
      <c r="AD785" s="397"/>
      <c r="AE785" s="397"/>
      <c r="AF785" s="397"/>
      <c r="AG785" s="397"/>
      <c r="AH785" s="397"/>
      <c r="AI785" s="397"/>
    </row>
    <row r="786">
      <c r="A786" s="397"/>
      <c r="B786" s="397"/>
      <c r="C786" s="397"/>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c r="AA786" s="397"/>
      <c r="AB786" s="397"/>
      <c r="AC786" s="397"/>
      <c r="AD786" s="397"/>
      <c r="AE786" s="397"/>
      <c r="AF786" s="397"/>
      <c r="AG786" s="397"/>
      <c r="AH786" s="397"/>
      <c r="AI786" s="397"/>
    </row>
    <row r="787">
      <c r="A787" s="397"/>
      <c r="B787" s="397"/>
      <c r="C787" s="397"/>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c r="AA787" s="397"/>
      <c r="AB787" s="397"/>
      <c r="AC787" s="397"/>
      <c r="AD787" s="397"/>
      <c r="AE787" s="397"/>
      <c r="AF787" s="397"/>
      <c r="AG787" s="397"/>
      <c r="AH787" s="397"/>
      <c r="AI787" s="397"/>
    </row>
    <row r="788">
      <c r="A788" s="397"/>
      <c r="B788" s="397"/>
      <c r="C788" s="397"/>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c r="AA788" s="397"/>
      <c r="AB788" s="397"/>
      <c r="AC788" s="397"/>
      <c r="AD788" s="397"/>
      <c r="AE788" s="397"/>
      <c r="AF788" s="397"/>
      <c r="AG788" s="397"/>
      <c r="AH788" s="397"/>
      <c r="AI788" s="397"/>
    </row>
    <row r="789">
      <c r="A789" s="397"/>
      <c r="B789" s="397"/>
      <c r="C789" s="397"/>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c r="AA789" s="397"/>
      <c r="AB789" s="397"/>
      <c r="AC789" s="397"/>
      <c r="AD789" s="397"/>
      <c r="AE789" s="397"/>
      <c r="AF789" s="397"/>
      <c r="AG789" s="397"/>
      <c r="AH789" s="397"/>
      <c r="AI789" s="397"/>
    </row>
    <row r="790">
      <c r="A790" s="397"/>
      <c r="B790" s="397"/>
      <c r="C790" s="397"/>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c r="AA790" s="397"/>
      <c r="AB790" s="397"/>
      <c r="AC790" s="397"/>
      <c r="AD790" s="397"/>
      <c r="AE790" s="397"/>
      <c r="AF790" s="397"/>
      <c r="AG790" s="397"/>
      <c r="AH790" s="397"/>
      <c r="AI790" s="397"/>
    </row>
    <row r="791">
      <c r="A791" s="397"/>
      <c r="B791" s="397"/>
      <c r="C791" s="397"/>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c r="AA791" s="397"/>
      <c r="AB791" s="397"/>
      <c r="AC791" s="397"/>
      <c r="AD791" s="397"/>
      <c r="AE791" s="397"/>
      <c r="AF791" s="397"/>
      <c r="AG791" s="397"/>
      <c r="AH791" s="397"/>
      <c r="AI791" s="397"/>
    </row>
    <row r="792">
      <c r="A792" s="397"/>
      <c r="B792" s="397"/>
      <c r="C792" s="397"/>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c r="AA792" s="397"/>
      <c r="AB792" s="397"/>
      <c r="AC792" s="397"/>
      <c r="AD792" s="397"/>
      <c r="AE792" s="397"/>
      <c r="AF792" s="397"/>
      <c r="AG792" s="397"/>
      <c r="AH792" s="397"/>
      <c r="AI792" s="397"/>
    </row>
    <row r="793">
      <c r="A793" s="397"/>
      <c r="B793" s="397"/>
      <c r="C793" s="397"/>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c r="AA793" s="397"/>
      <c r="AB793" s="397"/>
      <c r="AC793" s="397"/>
      <c r="AD793" s="397"/>
      <c r="AE793" s="397"/>
      <c r="AF793" s="397"/>
      <c r="AG793" s="397"/>
      <c r="AH793" s="397"/>
      <c r="AI793" s="397"/>
    </row>
    <row r="794">
      <c r="A794" s="397"/>
      <c r="B794" s="397"/>
      <c r="C794" s="397"/>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c r="AA794" s="397"/>
      <c r="AB794" s="397"/>
      <c r="AC794" s="397"/>
      <c r="AD794" s="397"/>
      <c r="AE794" s="397"/>
      <c r="AF794" s="397"/>
      <c r="AG794" s="397"/>
      <c r="AH794" s="397"/>
      <c r="AI794" s="397"/>
    </row>
    <row r="795">
      <c r="A795" s="397"/>
      <c r="B795" s="397"/>
      <c r="C795" s="397"/>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c r="AA795" s="397"/>
      <c r="AB795" s="397"/>
      <c r="AC795" s="397"/>
      <c r="AD795" s="397"/>
      <c r="AE795" s="397"/>
      <c r="AF795" s="397"/>
      <c r="AG795" s="397"/>
      <c r="AH795" s="397"/>
      <c r="AI795" s="397"/>
    </row>
    <row r="796">
      <c r="A796" s="397"/>
      <c r="B796" s="397"/>
      <c r="C796" s="397"/>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c r="AA796" s="397"/>
      <c r="AB796" s="397"/>
      <c r="AC796" s="397"/>
      <c r="AD796" s="397"/>
      <c r="AE796" s="397"/>
      <c r="AF796" s="397"/>
      <c r="AG796" s="397"/>
      <c r="AH796" s="397"/>
      <c r="AI796" s="397"/>
    </row>
    <row r="797">
      <c r="A797" s="397"/>
      <c r="B797" s="397"/>
      <c r="C797" s="397"/>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c r="AA797" s="397"/>
      <c r="AB797" s="397"/>
      <c r="AC797" s="397"/>
      <c r="AD797" s="397"/>
      <c r="AE797" s="397"/>
      <c r="AF797" s="397"/>
      <c r="AG797" s="397"/>
      <c r="AH797" s="397"/>
      <c r="AI797" s="397"/>
    </row>
    <row r="798">
      <c r="A798" s="397"/>
      <c r="B798" s="397"/>
      <c r="C798" s="397"/>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c r="AA798" s="397"/>
      <c r="AB798" s="397"/>
      <c r="AC798" s="397"/>
      <c r="AD798" s="397"/>
      <c r="AE798" s="397"/>
      <c r="AF798" s="397"/>
      <c r="AG798" s="397"/>
      <c r="AH798" s="397"/>
      <c r="AI798" s="397"/>
    </row>
    <row r="799">
      <c r="A799" s="397"/>
      <c r="B799" s="397"/>
      <c r="C799" s="397"/>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c r="AA799" s="397"/>
      <c r="AB799" s="397"/>
      <c r="AC799" s="397"/>
      <c r="AD799" s="397"/>
      <c r="AE799" s="397"/>
      <c r="AF799" s="397"/>
      <c r="AG799" s="397"/>
      <c r="AH799" s="397"/>
      <c r="AI799" s="397"/>
    </row>
    <row r="800">
      <c r="A800" s="397"/>
      <c r="B800" s="397"/>
      <c r="C800" s="397"/>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c r="AA800" s="397"/>
      <c r="AB800" s="397"/>
      <c r="AC800" s="397"/>
      <c r="AD800" s="397"/>
      <c r="AE800" s="397"/>
      <c r="AF800" s="397"/>
      <c r="AG800" s="397"/>
      <c r="AH800" s="397"/>
      <c r="AI800" s="397"/>
    </row>
    <row r="801">
      <c r="A801" s="397"/>
      <c r="B801" s="397"/>
      <c r="C801" s="397"/>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c r="AA801" s="397"/>
      <c r="AB801" s="397"/>
      <c r="AC801" s="397"/>
      <c r="AD801" s="397"/>
      <c r="AE801" s="397"/>
      <c r="AF801" s="397"/>
      <c r="AG801" s="397"/>
      <c r="AH801" s="397"/>
      <c r="AI801" s="397"/>
    </row>
    <row r="802">
      <c r="A802" s="397"/>
      <c r="B802" s="397"/>
      <c r="C802" s="397"/>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c r="AA802" s="397"/>
      <c r="AB802" s="397"/>
      <c r="AC802" s="397"/>
      <c r="AD802" s="397"/>
      <c r="AE802" s="397"/>
      <c r="AF802" s="397"/>
      <c r="AG802" s="397"/>
      <c r="AH802" s="397"/>
      <c r="AI802" s="397"/>
    </row>
    <row r="803">
      <c r="A803" s="397"/>
      <c r="B803" s="397"/>
      <c r="C803" s="397"/>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c r="AA803" s="397"/>
      <c r="AB803" s="397"/>
      <c r="AC803" s="397"/>
      <c r="AD803" s="397"/>
      <c r="AE803" s="397"/>
      <c r="AF803" s="397"/>
      <c r="AG803" s="397"/>
      <c r="AH803" s="397"/>
      <c r="AI803" s="397"/>
    </row>
    <row r="804">
      <c r="A804" s="397"/>
      <c r="B804" s="397"/>
      <c r="C804" s="397"/>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c r="AA804" s="397"/>
      <c r="AB804" s="397"/>
      <c r="AC804" s="397"/>
      <c r="AD804" s="397"/>
      <c r="AE804" s="397"/>
      <c r="AF804" s="397"/>
      <c r="AG804" s="397"/>
      <c r="AH804" s="397"/>
      <c r="AI804" s="397"/>
    </row>
    <row r="805">
      <c r="A805" s="397"/>
      <c r="B805" s="397"/>
      <c r="C805" s="397"/>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c r="AA805" s="397"/>
      <c r="AB805" s="397"/>
      <c r="AC805" s="397"/>
      <c r="AD805" s="397"/>
      <c r="AE805" s="397"/>
      <c r="AF805" s="397"/>
      <c r="AG805" s="397"/>
      <c r="AH805" s="397"/>
      <c r="AI805" s="397"/>
    </row>
    <row r="806">
      <c r="A806" s="397"/>
      <c r="B806" s="397"/>
      <c r="C806" s="397"/>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c r="AA806" s="397"/>
      <c r="AB806" s="397"/>
      <c r="AC806" s="397"/>
      <c r="AD806" s="397"/>
      <c r="AE806" s="397"/>
      <c r="AF806" s="397"/>
      <c r="AG806" s="397"/>
      <c r="AH806" s="397"/>
      <c r="AI806" s="397"/>
    </row>
    <row r="807">
      <c r="A807" s="397"/>
      <c r="B807" s="397"/>
      <c r="C807" s="397"/>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c r="AA807" s="397"/>
      <c r="AB807" s="397"/>
      <c r="AC807" s="397"/>
      <c r="AD807" s="397"/>
      <c r="AE807" s="397"/>
      <c r="AF807" s="397"/>
      <c r="AG807" s="397"/>
      <c r="AH807" s="397"/>
      <c r="AI807" s="397"/>
    </row>
    <row r="808">
      <c r="A808" s="397"/>
      <c r="B808" s="397"/>
      <c r="C808" s="397"/>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c r="AA808" s="397"/>
      <c r="AB808" s="397"/>
      <c r="AC808" s="397"/>
      <c r="AD808" s="397"/>
      <c r="AE808" s="397"/>
      <c r="AF808" s="397"/>
      <c r="AG808" s="397"/>
      <c r="AH808" s="397"/>
      <c r="AI808" s="397"/>
    </row>
    <row r="809">
      <c r="A809" s="397"/>
      <c r="B809" s="397"/>
      <c r="C809" s="397"/>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c r="AA809" s="397"/>
      <c r="AB809" s="397"/>
      <c r="AC809" s="397"/>
      <c r="AD809" s="397"/>
      <c r="AE809" s="397"/>
      <c r="AF809" s="397"/>
      <c r="AG809" s="397"/>
      <c r="AH809" s="397"/>
      <c r="AI809" s="397"/>
    </row>
    <row r="810">
      <c r="A810" s="397"/>
      <c r="B810" s="397"/>
      <c r="C810" s="397"/>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c r="AA810" s="397"/>
      <c r="AB810" s="397"/>
      <c r="AC810" s="397"/>
      <c r="AD810" s="397"/>
      <c r="AE810" s="397"/>
      <c r="AF810" s="397"/>
      <c r="AG810" s="397"/>
      <c r="AH810" s="397"/>
      <c r="AI810" s="397"/>
    </row>
    <row r="811">
      <c r="A811" s="397"/>
      <c r="B811" s="397"/>
      <c r="C811" s="397"/>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c r="AA811" s="397"/>
      <c r="AB811" s="397"/>
      <c r="AC811" s="397"/>
      <c r="AD811" s="397"/>
      <c r="AE811" s="397"/>
      <c r="AF811" s="397"/>
      <c r="AG811" s="397"/>
      <c r="AH811" s="397"/>
      <c r="AI811" s="397"/>
    </row>
    <row r="812">
      <c r="A812" s="397"/>
      <c r="B812" s="397"/>
      <c r="C812" s="397"/>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c r="AA812" s="397"/>
      <c r="AB812" s="397"/>
      <c r="AC812" s="397"/>
      <c r="AD812" s="397"/>
      <c r="AE812" s="397"/>
      <c r="AF812" s="397"/>
      <c r="AG812" s="397"/>
      <c r="AH812" s="397"/>
      <c r="AI812" s="397"/>
    </row>
    <row r="813">
      <c r="A813" s="397"/>
      <c r="B813" s="397"/>
      <c r="C813" s="397"/>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c r="AA813" s="397"/>
      <c r="AB813" s="397"/>
      <c r="AC813" s="397"/>
      <c r="AD813" s="397"/>
      <c r="AE813" s="397"/>
      <c r="AF813" s="397"/>
      <c r="AG813" s="397"/>
      <c r="AH813" s="397"/>
      <c r="AI813" s="397"/>
    </row>
    <row r="814">
      <c r="A814" s="397"/>
      <c r="B814" s="397"/>
      <c r="C814" s="397"/>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c r="AA814" s="397"/>
      <c r="AB814" s="397"/>
      <c r="AC814" s="397"/>
      <c r="AD814" s="397"/>
      <c r="AE814" s="397"/>
      <c r="AF814" s="397"/>
      <c r="AG814" s="397"/>
      <c r="AH814" s="397"/>
      <c r="AI814" s="397"/>
    </row>
    <row r="815">
      <c r="A815" s="397"/>
      <c r="B815" s="397"/>
      <c r="C815" s="397"/>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c r="AA815" s="397"/>
      <c r="AB815" s="397"/>
      <c r="AC815" s="397"/>
      <c r="AD815" s="397"/>
      <c r="AE815" s="397"/>
      <c r="AF815" s="397"/>
      <c r="AG815" s="397"/>
      <c r="AH815" s="397"/>
      <c r="AI815" s="397"/>
    </row>
    <row r="816">
      <c r="A816" s="397"/>
      <c r="B816" s="397"/>
      <c r="C816" s="397"/>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c r="AA816" s="397"/>
      <c r="AB816" s="397"/>
      <c r="AC816" s="397"/>
      <c r="AD816" s="397"/>
      <c r="AE816" s="397"/>
      <c r="AF816" s="397"/>
      <c r="AG816" s="397"/>
      <c r="AH816" s="397"/>
      <c r="AI816" s="397"/>
    </row>
    <row r="817">
      <c r="A817" s="397"/>
      <c r="B817" s="397"/>
      <c r="C817" s="397"/>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c r="AA817" s="397"/>
      <c r="AB817" s="397"/>
      <c r="AC817" s="397"/>
      <c r="AD817" s="397"/>
      <c r="AE817" s="397"/>
      <c r="AF817" s="397"/>
      <c r="AG817" s="397"/>
      <c r="AH817" s="397"/>
      <c r="AI817" s="397"/>
    </row>
    <row r="818">
      <c r="A818" s="397"/>
      <c r="B818" s="397"/>
      <c r="C818" s="397"/>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c r="AA818" s="397"/>
      <c r="AB818" s="397"/>
      <c r="AC818" s="397"/>
      <c r="AD818" s="397"/>
      <c r="AE818" s="397"/>
      <c r="AF818" s="397"/>
      <c r="AG818" s="397"/>
      <c r="AH818" s="397"/>
      <c r="AI818" s="397"/>
    </row>
    <row r="819">
      <c r="A819" s="397"/>
      <c r="B819" s="397"/>
      <c r="C819" s="397"/>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c r="AA819" s="397"/>
      <c r="AB819" s="397"/>
      <c r="AC819" s="397"/>
      <c r="AD819" s="397"/>
      <c r="AE819" s="397"/>
      <c r="AF819" s="397"/>
      <c r="AG819" s="397"/>
      <c r="AH819" s="397"/>
      <c r="AI819" s="397"/>
    </row>
    <row r="820">
      <c r="A820" s="397"/>
      <c r="B820" s="397"/>
      <c r="C820" s="397"/>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c r="AA820" s="397"/>
      <c r="AB820" s="397"/>
      <c r="AC820" s="397"/>
      <c r="AD820" s="397"/>
      <c r="AE820" s="397"/>
      <c r="AF820" s="397"/>
      <c r="AG820" s="397"/>
      <c r="AH820" s="397"/>
      <c r="AI820" s="397"/>
    </row>
    <row r="821">
      <c r="A821" s="397"/>
      <c r="B821" s="397"/>
      <c r="C821" s="397"/>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c r="AA821" s="397"/>
      <c r="AB821" s="397"/>
      <c r="AC821" s="397"/>
      <c r="AD821" s="397"/>
      <c r="AE821" s="397"/>
      <c r="AF821" s="397"/>
      <c r="AG821" s="397"/>
      <c r="AH821" s="397"/>
      <c r="AI821" s="397"/>
    </row>
    <row r="822">
      <c r="A822" s="397"/>
      <c r="B822" s="397"/>
      <c r="C822" s="397"/>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c r="AA822" s="397"/>
      <c r="AB822" s="397"/>
      <c r="AC822" s="397"/>
      <c r="AD822" s="397"/>
      <c r="AE822" s="397"/>
      <c r="AF822" s="397"/>
      <c r="AG822" s="397"/>
      <c r="AH822" s="397"/>
      <c r="AI822" s="397"/>
    </row>
    <row r="823">
      <c r="A823" s="397"/>
      <c r="B823" s="397"/>
      <c r="C823" s="397"/>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c r="AA823" s="397"/>
      <c r="AB823" s="397"/>
      <c r="AC823" s="397"/>
      <c r="AD823" s="397"/>
      <c r="AE823" s="397"/>
      <c r="AF823" s="397"/>
      <c r="AG823" s="397"/>
      <c r="AH823" s="397"/>
      <c r="AI823" s="397"/>
    </row>
    <row r="824">
      <c r="A824" s="397"/>
      <c r="B824" s="397"/>
      <c r="C824" s="397"/>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c r="AA824" s="397"/>
      <c r="AB824" s="397"/>
      <c r="AC824" s="397"/>
      <c r="AD824" s="397"/>
      <c r="AE824" s="397"/>
      <c r="AF824" s="397"/>
      <c r="AG824" s="397"/>
      <c r="AH824" s="397"/>
      <c r="AI824" s="397"/>
    </row>
    <row r="825">
      <c r="A825" s="397"/>
      <c r="B825" s="397"/>
      <c r="C825" s="397"/>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c r="AA825" s="397"/>
      <c r="AB825" s="397"/>
      <c r="AC825" s="397"/>
      <c r="AD825" s="397"/>
      <c r="AE825" s="397"/>
      <c r="AF825" s="397"/>
      <c r="AG825" s="397"/>
      <c r="AH825" s="397"/>
      <c r="AI825" s="397"/>
    </row>
    <row r="826">
      <c r="A826" s="397"/>
      <c r="B826" s="397"/>
      <c r="C826" s="397"/>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c r="AA826" s="397"/>
      <c r="AB826" s="397"/>
      <c r="AC826" s="397"/>
      <c r="AD826" s="397"/>
      <c r="AE826" s="397"/>
      <c r="AF826" s="397"/>
      <c r="AG826" s="397"/>
      <c r="AH826" s="397"/>
      <c r="AI826" s="397"/>
    </row>
    <row r="827">
      <c r="A827" s="397"/>
      <c r="B827" s="397"/>
      <c r="C827" s="397"/>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c r="AA827" s="397"/>
      <c r="AB827" s="397"/>
      <c r="AC827" s="397"/>
      <c r="AD827" s="397"/>
      <c r="AE827" s="397"/>
      <c r="AF827" s="397"/>
      <c r="AG827" s="397"/>
      <c r="AH827" s="397"/>
      <c r="AI827" s="397"/>
    </row>
    <row r="828">
      <c r="A828" s="397"/>
      <c r="B828" s="397"/>
      <c r="C828" s="397"/>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c r="AA828" s="397"/>
      <c r="AB828" s="397"/>
      <c r="AC828" s="397"/>
      <c r="AD828" s="397"/>
      <c r="AE828" s="397"/>
      <c r="AF828" s="397"/>
      <c r="AG828" s="397"/>
      <c r="AH828" s="397"/>
      <c r="AI828" s="397"/>
    </row>
    <row r="829">
      <c r="A829" s="397"/>
      <c r="B829" s="397"/>
      <c r="C829" s="397"/>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c r="AA829" s="397"/>
      <c r="AB829" s="397"/>
      <c r="AC829" s="397"/>
      <c r="AD829" s="397"/>
      <c r="AE829" s="397"/>
      <c r="AF829" s="397"/>
      <c r="AG829" s="397"/>
      <c r="AH829" s="397"/>
      <c r="AI829" s="397"/>
    </row>
    <row r="830">
      <c r="A830" s="397"/>
      <c r="B830" s="397"/>
      <c r="C830" s="397"/>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c r="AA830" s="397"/>
      <c r="AB830" s="397"/>
      <c r="AC830" s="397"/>
      <c r="AD830" s="397"/>
      <c r="AE830" s="397"/>
      <c r="AF830" s="397"/>
      <c r="AG830" s="397"/>
      <c r="AH830" s="397"/>
      <c r="AI830" s="397"/>
    </row>
    <row r="831">
      <c r="A831" s="397"/>
      <c r="B831" s="397"/>
      <c r="C831" s="397"/>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c r="AA831" s="397"/>
      <c r="AB831" s="397"/>
      <c r="AC831" s="397"/>
      <c r="AD831" s="397"/>
      <c r="AE831" s="397"/>
      <c r="AF831" s="397"/>
      <c r="AG831" s="397"/>
      <c r="AH831" s="397"/>
      <c r="AI831" s="397"/>
    </row>
    <row r="832">
      <c r="A832" s="397"/>
      <c r="B832" s="397"/>
      <c r="C832" s="397"/>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c r="AA832" s="397"/>
      <c r="AB832" s="397"/>
      <c r="AC832" s="397"/>
      <c r="AD832" s="397"/>
      <c r="AE832" s="397"/>
      <c r="AF832" s="397"/>
      <c r="AG832" s="397"/>
      <c r="AH832" s="397"/>
      <c r="AI832" s="397"/>
    </row>
    <row r="833">
      <c r="A833" s="397"/>
      <c r="B833" s="397"/>
      <c r="C833" s="397"/>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c r="AA833" s="397"/>
      <c r="AB833" s="397"/>
      <c r="AC833" s="397"/>
      <c r="AD833" s="397"/>
      <c r="AE833" s="397"/>
      <c r="AF833" s="397"/>
      <c r="AG833" s="397"/>
      <c r="AH833" s="397"/>
      <c r="AI833" s="397"/>
    </row>
    <row r="834">
      <c r="A834" s="397"/>
      <c r="B834" s="397"/>
      <c r="C834" s="397"/>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c r="AA834" s="397"/>
      <c r="AB834" s="397"/>
      <c r="AC834" s="397"/>
      <c r="AD834" s="397"/>
      <c r="AE834" s="397"/>
      <c r="AF834" s="397"/>
      <c r="AG834" s="397"/>
      <c r="AH834" s="397"/>
      <c r="AI834" s="397"/>
    </row>
    <row r="835">
      <c r="A835" s="397"/>
      <c r="B835" s="397"/>
      <c r="C835" s="397"/>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c r="AA835" s="397"/>
      <c r="AB835" s="397"/>
      <c r="AC835" s="397"/>
      <c r="AD835" s="397"/>
      <c r="AE835" s="397"/>
      <c r="AF835" s="397"/>
      <c r="AG835" s="397"/>
      <c r="AH835" s="397"/>
      <c r="AI835" s="397"/>
    </row>
    <row r="836">
      <c r="A836" s="397"/>
      <c r="B836" s="397"/>
      <c r="C836" s="397"/>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c r="AA836" s="397"/>
      <c r="AB836" s="397"/>
      <c r="AC836" s="397"/>
      <c r="AD836" s="397"/>
      <c r="AE836" s="397"/>
      <c r="AF836" s="397"/>
      <c r="AG836" s="397"/>
      <c r="AH836" s="397"/>
      <c r="AI836" s="397"/>
    </row>
    <row r="837">
      <c r="A837" s="397"/>
      <c r="B837" s="397"/>
      <c r="C837" s="397"/>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c r="AA837" s="397"/>
      <c r="AB837" s="397"/>
      <c r="AC837" s="397"/>
      <c r="AD837" s="397"/>
      <c r="AE837" s="397"/>
      <c r="AF837" s="397"/>
      <c r="AG837" s="397"/>
      <c r="AH837" s="397"/>
      <c r="AI837" s="397"/>
    </row>
    <row r="838">
      <c r="A838" s="397"/>
      <c r="B838" s="397"/>
      <c r="C838" s="397"/>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c r="AA838" s="397"/>
      <c r="AB838" s="397"/>
      <c r="AC838" s="397"/>
      <c r="AD838" s="397"/>
      <c r="AE838" s="397"/>
      <c r="AF838" s="397"/>
      <c r="AG838" s="397"/>
      <c r="AH838" s="397"/>
      <c r="AI838" s="397"/>
    </row>
    <row r="839">
      <c r="A839" s="397"/>
      <c r="B839" s="397"/>
      <c r="C839" s="397"/>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c r="AA839" s="397"/>
      <c r="AB839" s="397"/>
      <c r="AC839" s="397"/>
      <c r="AD839" s="397"/>
      <c r="AE839" s="397"/>
      <c r="AF839" s="397"/>
      <c r="AG839" s="397"/>
      <c r="AH839" s="397"/>
      <c r="AI839" s="397"/>
    </row>
    <row r="840">
      <c r="A840" s="397"/>
      <c r="B840" s="397"/>
      <c r="C840" s="397"/>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c r="AA840" s="397"/>
      <c r="AB840" s="397"/>
      <c r="AC840" s="397"/>
      <c r="AD840" s="397"/>
      <c r="AE840" s="397"/>
      <c r="AF840" s="397"/>
      <c r="AG840" s="397"/>
      <c r="AH840" s="397"/>
      <c r="AI840" s="397"/>
    </row>
    <row r="841">
      <c r="A841" s="397"/>
      <c r="B841" s="397"/>
      <c r="C841" s="397"/>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c r="AA841" s="397"/>
      <c r="AB841" s="397"/>
      <c r="AC841" s="397"/>
      <c r="AD841" s="397"/>
      <c r="AE841" s="397"/>
      <c r="AF841" s="397"/>
      <c r="AG841" s="397"/>
      <c r="AH841" s="397"/>
      <c r="AI841" s="397"/>
    </row>
    <row r="842">
      <c r="A842" s="397"/>
      <c r="B842" s="397"/>
      <c r="C842" s="397"/>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c r="AA842" s="397"/>
      <c r="AB842" s="397"/>
      <c r="AC842" s="397"/>
      <c r="AD842" s="397"/>
      <c r="AE842" s="397"/>
      <c r="AF842" s="397"/>
      <c r="AG842" s="397"/>
      <c r="AH842" s="397"/>
      <c r="AI842" s="397"/>
    </row>
    <row r="843">
      <c r="A843" s="397"/>
      <c r="B843" s="397"/>
      <c r="C843" s="397"/>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c r="AA843" s="397"/>
      <c r="AB843" s="397"/>
      <c r="AC843" s="397"/>
      <c r="AD843" s="397"/>
      <c r="AE843" s="397"/>
      <c r="AF843" s="397"/>
      <c r="AG843" s="397"/>
      <c r="AH843" s="397"/>
      <c r="AI843" s="397"/>
    </row>
    <row r="844">
      <c r="A844" s="397"/>
      <c r="B844" s="397"/>
      <c r="C844" s="397"/>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c r="AA844" s="397"/>
      <c r="AB844" s="397"/>
      <c r="AC844" s="397"/>
      <c r="AD844" s="397"/>
      <c r="AE844" s="397"/>
      <c r="AF844" s="397"/>
      <c r="AG844" s="397"/>
      <c r="AH844" s="397"/>
      <c r="AI844" s="397"/>
    </row>
    <row r="845">
      <c r="A845" s="397"/>
      <c r="B845" s="397"/>
      <c r="C845" s="397"/>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c r="AA845" s="397"/>
      <c r="AB845" s="397"/>
      <c r="AC845" s="397"/>
      <c r="AD845" s="397"/>
      <c r="AE845" s="397"/>
      <c r="AF845" s="397"/>
      <c r="AG845" s="397"/>
      <c r="AH845" s="397"/>
      <c r="AI845" s="397"/>
    </row>
    <row r="846">
      <c r="A846" s="397"/>
      <c r="B846" s="397"/>
      <c r="C846" s="397"/>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c r="AA846" s="397"/>
      <c r="AB846" s="397"/>
      <c r="AC846" s="397"/>
      <c r="AD846" s="397"/>
      <c r="AE846" s="397"/>
      <c r="AF846" s="397"/>
      <c r="AG846" s="397"/>
      <c r="AH846" s="397"/>
      <c r="AI846" s="397"/>
    </row>
    <row r="847">
      <c r="A847" s="397"/>
      <c r="B847" s="397"/>
      <c r="C847" s="397"/>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c r="AA847" s="397"/>
      <c r="AB847" s="397"/>
      <c r="AC847" s="397"/>
      <c r="AD847" s="397"/>
      <c r="AE847" s="397"/>
      <c r="AF847" s="397"/>
      <c r="AG847" s="397"/>
      <c r="AH847" s="397"/>
      <c r="AI847" s="397"/>
    </row>
    <row r="848">
      <c r="A848" s="397"/>
      <c r="B848" s="397"/>
      <c r="C848" s="397"/>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c r="AA848" s="397"/>
      <c r="AB848" s="397"/>
      <c r="AC848" s="397"/>
      <c r="AD848" s="397"/>
      <c r="AE848" s="397"/>
      <c r="AF848" s="397"/>
      <c r="AG848" s="397"/>
      <c r="AH848" s="397"/>
      <c r="AI848" s="397"/>
    </row>
    <row r="849">
      <c r="A849" s="397"/>
      <c r="B849" s="397"/>
      <c r="C849" s="397"/>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c r="AA849" s="397"/>
      <c r="AB849" s="397"/>
      <c r="AC849" s="397"/>
      <c r="AD849" s="397"/>
      <c r="AE849" s="397"/>
      <c r="AF849" s="397"/>
      <c r="AG849" s="397"/>
      <c r="AH849" s="397"/>
      <c r="AI849" s="397"/>
    </row>
    <row r="850">
      <c r="A850" s="397"/>
      <c r="B850" s="397"/>
      <c r="C850" s="397"/>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c r="AA850" s="397"/>
      <c r="AB850" s="397"/>
      <c r="AC850" s="397"/>
      <c r="AD850" s="397"/>
      <c r="AE850" s="397"/>
      <c r="AF850" s="397"/>
      <c r="AG850" s="397"/>
      <c r="AH850" s="397"/>
      <c r="AI850" s="397"/>
    </row>
    <row r="851">
      <c r="A851" s="397"/>
      <c r="B851" s="397"/>
      <c r="C851" s="397"/>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c r="AA851" s="397"/>
      <c r="AB851" s="397"/>
      <c r="AC851" s="397"/>
      <c r="AD851" s="397"/>
      <c r="AE851" s="397"/>
      <c r="AF851" s="397"/>
      <c r="AG851" s="397"/>
      <c r="AH851" s="397"/>
      <c r="AI851" s="397"/>
    </row>
    <row r="852">
      <c r="A852" s="397"/>
      <c r="B852" s="397"/>
      <c r="C852" s="397"/>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c r="AA852" s="397"/>
      <c r="AB852" s="397"/>
      <c r="AC852" s="397"/>
      <c r="AD852" s="397"/>
      <c r="AE852" s="397"/>
      <c r="AF852" s="397"/>
      <c r="AG852" s="397"/>
      <c r="AH852" s="397"/>
      <c r="AI852" s="397"/>
    </row>
    <row r="853">
      <c r="A853" s="397"/>
      <c r="B853" s="397"/>
      <c r="C853" s="397"/>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c r="AA853" s="397"/>
      <c r="AB853" s="397"/>
      <c r="AC853" s="397"/>
      <c r="AD853" s="397"/>
      <c r="AE853" s="397"/>
      <c r="AF853" s="397"/>
      <c r="AG853" s="397"/>
      <c r="AH853" s="397"/>
      <c r="AI853" s="397"/>
    </row>
    <row r="854">
      <c r="A854" s="397"/>
      <c r="B854" s="397"/>
      <c r="C854" s="397"/>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c r="AA854" s="397"/>
      <c r="AB854" s="397"/>
      <c r="AC854" s="397"/>
      <c r="AD854" s="397"/>
      <c r="AE854" s="397"/>
      <c r="AF854" s="397"/>
      <c r="AG854" s="397"/>
      <c r="AH854" s="397"/>
      <c r="AI854" s="397"/>
    </row>
    <row r="855">
      <c r="A855" s="397"/>
      <c r="B855" s="397"/>
      <c r="C855" s="397"/>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c r="AA855" s="397"/>
      <c r="AB855" s="397"/>
      <c r="AC855" s="397"/>
      <c r="AD855" s="397"/>
      <c r="AE855" s="397"/>
      <c r="AF855" s="397"/>
      <c r="AG855" s="397"/>
      <c r="AH855" s="397"/>
      <c r="AI855" s="397"/>
    </row>
    <row r="856">
      <c r="A856" s="397"/>
      <c r="B856" s="397"/>
      <c r="C856" s="397"/>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c r="AA856" s="397"/>
      <c r="AB856" s="397"/>
      <c r="AC856" s="397"/>
      <c r="AD856" s="397"/>
      <c r="AE856" s="397"/>
      <c r="AF856" s="397"/>
      <c r="AG856" s="397"/>
      <c r="AH856" s="397"/>
      <c r="AI856" s="397"/>
    </row>
    <row r="857">
      <c r="A857" s="397"/>
      <c r="B857" s="397"/>
      <c r="C857" s="397"/>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c r="AA857" s="397"/>
      <c r="AB857" s="397"/>
      <c r="AC857" s="397"/>
      <c r="AD857" s="397"/>
      <c r="AE857" s="397"/>
      <c r="AF857" s="397"/>
      <c r="AG857" s="397"/>
      <c r="AH857" s="397"/>
      <c r="AI857" s="397"/>
    </row>
    <row r="858">
      <c r="A858" s="397"/>
      <c r="B858" s="397"/>
      <c r="C858" s="397"/>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c r="AA858" s="397"/>
      <c r="AB858" s="397"/>
      <c r="AC858" s="397"/>
      <c r="AD858" s="397"/>
      <c r="AE858" s="397"/>
      <c r="AF858" s="397"/>
      <c r="AG858" s="397"/>
      <c r="AH858" s="397"/>
      <c r="AI858" s="397"/>
    </row>
    <row r="859">
      <c r="A859" s="397"/>
      <c r="B859" s="397"/>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c r="AA859" s="397"/>
      <c r="AB859" s="397"/>
      <c r="AC859" s="397"/>
      <c r="AD859" s="397"/>
      <c r="AE859" s="397"/>
      <c r="AF859" s="397"/>
      <c r="AG859" s="397"/>
      <c r="AH859" s="397"/>
      <c r="AI859" s="397"/>
    </row>
    <row r="860">
      <c r="A860" s="397"/>
      <c r="B860" s="397"/>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c r="AA860" s="397"/>
      <c r="AB860" s="397"/>
      <c r="AC860" s="397"/>
      <c r="AD860" s="397"/>
      <c r="AE860" s="397"/>
      <c r="AF860" s="397"/>
      <c r="AG860" s="397"/>
      <c r="AH860" s="397"/>
      <c r="AI860" s="397"/>
    </row>
    <row r="861">
      <c r="A861" s="397"/>
      <c r="B861" s="397"/>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c r="AA861" s="397"/>
      <c r="AB861" s="397"/>
      <c r="AC861" s="397"/>
      <c r="AD861" s="397"/>
      <c r="AE861" s="397"/>
      <c r="AF861" s="397"/>
      <c r="AG861" s="397"/>
      <c r="AH861" s="397"/>
      <c r="AI861" s="397"/>
    </row>
    <row r="862">
      <c r="A862" s="397"/>
      <c r="B862" s="397"/>
      <c r="C862" s="397"/>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c r="AA862" s="397"/>
      <c r="AB862" s="397"/>
      <c r="AC862" s="397"/>
      <c r="AD862" s="397"/>
      <c r="AE862" s="397"/>
      <c r="AF862" s="397"/>
      <c r="AG862" s="397"/>
      <c r="AH862" s="397"/>
      <c r="AI862" s="397"/>
    </row>
    <row r="863">
      <c r="A863" s="397"/>
      <c r="B863" s="397"/>
      <c r="C863" s="397"/>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c r="AA863" s="397"/>
      <c r="AB863" s="397"/>
      <c r="AC863" s="397"/>
      <c r="AD863" s="397"/>
      <c r="AE863" s="397"/>
      <c r="AF863" s="397"/>
      <c r="AG863" s="397"/>
      <c r="AH863" s="397"/>
      <c r="AI863" s="397"/>
    </row>
    <row r="864">
      <c r="A864" s="397"/>
      <c r="B864" s="397"/>
      <c r="C864" s="397"/>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c r="AA864" s="397"/>
      <c r="AB864" s="397"/>
      <c r="AC864" s="397"/>
      <c r="AD864" s="397"/>
      <c r="AE864" s="397"/>
      <c r="AF864" s="397"/>
      <c r="AG864" s="397"/>
      <c r="AH864" s="397"/>
      <c r="AI864" s="397"/>
    </row>
    <row r="865">
      <c r="A865" s="397"/>
      <c r="B865" s="397"/>
      <c r="C865" s="397"/>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c r="AA865" s="397"/>
      <c r="AB865" s="397"/>
      <c r="AC865" s="397"/>
      <c r="AD865" s="397"/>
      <c r="AE865" s="397"/>
      <c r="AF865" s="397"/>
      <c r="AG865" s="397"/>
      <c r="AH865" s="397"/>
      <c r="AI865" s="397"/>
    </row>
    <row r="866">
      <c r="A866" s="397"/>
      <c r="B866" s="397"/>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c r="AA866" s="397"/>
      <c r="AB866" s="397"/>
      <c r="AC866" s="397"/>
      <c r="AD866" s="397"/>
      <c r="AE866" s="397"/>
      <c r="AF866" s="397"/>
      <c r="AG866" s="397"/>
      <c r="AH866" s="397"/>
      <c r="AI866" s="397"/>
    </row>
    <row r="867">
      <c r="A867" s="397"/>
      <c r="B867" s="397"/>
      <c r="C867" s="397"/>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c r="AA867" s="397"/>
      <c r="AB867" s="397"/>
      <c r="AC867" s="397"/>
      <c r="AD867" s="397"/>
      <c r="AE867" s="397"/>
      <c r="AF867" s="397"/>
      <c r="AG867" s="397"/>
      <c r="AH867" s="397"/>
      <c r="AI867" s="397"/>
    </row>
    <row r="868">
      <c r="A868" s="397"/>
      <c r="B868" s="397"/>
      <c r="C868" s="397"/>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c r="AA868" s="397"/>
      <c r="AB868" s="397"/>
      <c r="AC868" s="397"/>
      <c r="AD868" s="397"/>
      <c r="AE868" s="397"/>
      <c r="AF868" s="397"/>
      <c r="AG868" s="397"/>
      <c r="AH868" s="397"/>
      <c r="AI868" s="397"/>
    </row>
    <row r="869">
      <c r="A869" s="397"/>
      <c r="B869" s="397"/>
      <c r="C869" s="397"/>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c r="AA869" s="397"/>
      <c r="AB869" s="397"/>
      <c r="AC869" s="397"/>
      <c r="AD869" s="397"/>
      <c r="AE869" s="397"/>
      <c r="AF869" s="397"/>
      <c r="AG869" s="397"/>
      <c r="AH869" s="397"/>
      <c r="AI869" s="397"/>
    </row>
    <row r="870">
      <c r="A870" s="397"/>
      <c r="B870" s="397"/>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c r="AA870" s="397"/>
      <c r="AB870" s="397"/>
      <c r="AC870" s="397"/>
      <c r="AD870" s="397"/>
      <c r="AE870" s="397"/>
      <c r="AF870" s="397"/>
      <c r="AG870" s="397"/>
      <c r="AH870" s="397"/>
      <c r="AI870" s="397"/>
    </row>
    <row r="871">
      <c r="A871" s="397"/>
      <c r="B871" s="397"/>
      <c r="C871" s="397"/>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c r="AA871" s="397"/>
      <c r="AB871" s="397"/>
      <c r="AC871" s="397"/>
      <c r="AD871" s="397"/>
      <c r="AE871" s="397"/>
      <c r="AF871" s="397"/>
      <c r="AG871" s="397"/>
      <c r="AH871" s="397"/>
      <c r="AI871" s="397"/>
    </row>
    <row r="872">
      <c r="A872" s="397"/>
      <c r="B872" s="397"/>
      <c r="C872" s="397"/>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c r="AA872" s="397"/>
      <c r="AB872" s="397"/>
      <c r="AC872" s="397"/>
      <c r="AD872" s="397"/>
      <c r="AE872" s="397"/>
      <c r="AF872" s="397"/>
      <c r="AG872" s="397"/>
      <c r="AH872" s="397"/>
      <c r="AI872" s="397"/>
    </row>
    <row r="873">
      <c r="A873" s="397"/>
      <c r="B873" s="397"/>
      <c r="C873" s="397"/>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c r="AA873" s="397"/>
      <c r="AB873" s="397"/>
      <c r="AC873" s="397"/>
      <c r="AD873" s="397"/>
      <c r="AE873" s="397"/>
      <c r="AF873" s="397"/>
      <c r="AG873" s="397"/>
      <c r="AH873" s="397"/>
      <c r="AI873" s="397"/>
    </row>
    <row r="874">
      <c r="A874" s="397"/>
      <c r="B874" s="397"/>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c r="AA874" s="397"/>
      <c r="AB874" s="397"/>
      <c r="AC874" s="397"/>
      <c r="AD874" s="397"/>
      <c r="AE874" s="397"/>
      <c r="AF874" s="397"/>
      <c r="AG874" s="397"/>
      <c r="AH874" s="397"/>
      <c r="AI874" s="397"/>
    </row>
    <row r="875">
      <c r="A875" s="397"/>
      <c r="B875" s="397"/>
      <c r="C875" s="397"/>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c r="AA875" s="397"/>
      <c r="AB875" s="397"/>
      <c r="AC875" s="397"/>
      <c r="AD875" s="397"/>
      <c r="AE875" s="397"/>
      <c r="AF875" s="397"/>
      <c r="AG875" s="397"/>
      <c r="AH875" s="397"/>
      <c r="AI875" s="397"/>
    </row>
    <row r="876">
      <c r="A876" s="397"/>
      <c r="B876" s="397"/>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c r="AA876" s="397"/>
      <c r="AB876" s="397"/>
      <c r="AC876" s="397"/>
      <c r="AD876" s="397"/>
      <c r="AE876" s="397"/>
      <c r="AF876" s="397"/>
      <c r="AG876" s="397"/>
      <c r="AH876" s="397"/>
      <c r="AI876" s="397"/>
    </row>
    <row r="877">
      <c r="A877" s="397"/>
      <c r="B877" s="397"/>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c r="AA877" s="397"/>
      <c r="AB877" s="397"/>
      <c r="AC877" s="397"/>
      <c r="AD877" s="397"/>
      <c r="AE877" s="397"/>
      <c r="AF877" s="397"/>
      <c r="AG877" s="397"/>
      <c r="AH877" s="397"/>
      <c r="AI877" s="397"/>
    </row>
    <row r="878">
      <c r="A878" s="397"/>
      <c r="B878" s="397"/>
      <c r="C878" s="397"/>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c r="AA878" s="397"/>
      <c r="AB878" s="397"/>
      <c r="AC878" s="397"/>
      <c r="AD878" s="397"/>
      <c r="AE878" s="397"/>
      <c r="AF878" s="397"/>
      <c r="AG878" s="397"/>
      <c r="AH878" s="397"/>
      <c r="AI878" s="397"/>
    </row>
    <row r="879">
      <c r="A879" s="397"/>
      <c r="B879" s="397"/>
      <c r="C879" s="397"/>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c r="AA879" s="397"/>
      <c r="AB879" s="397"/>
      <c r="AC879" s="397"/>
      <c r="AD879" s="397"/>
      <c r="AE879" s="397"/>
      <c r="AF879" s="397"/>
      <c r="AG879" s="397"/>
      <c r="AH879" s="397"/>
      <c r="AI879" s="397"/>
    </row>
    <row r="880">
      <c r="A880" s="397"/>
      <c r="B880" s="397"/>
      <c r="C880" s="397"/>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c r="AA880" s="397"/>
      <c r="AB880" s="397"/>
      <c r="AC880" s="397"/>
      <c r="AD880" s="397"/>
      <c r="AE880" s="397"/>
      <c r="AF880" s="397"/>
      <c r="AG880" s="397"/>
      <c r="AH880" s="397"/>
      <c r="AI880" s="397"/>
    </row>
    <row r="881">
      <c r="A881" s="397"/>
      <c r="B881" s="397"/>
      <c r="C881" s="397"/>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c r="AA881" s="397"/>
      <c r="AB881" s="397"/>
      <c r="AC881" s="397"/>
      <c r="AD881" s="397"/>
      <c r="AE881" s="397"/>
      <c r="AF881" s="397"/>
      <c r="AG881" s="397"/>
      <c r="AH881" s="397"/>
      <c r="AI881" s="397"/>
    </row>
    <row r="882">
      <c r="A882" s="397"/>
      <c r="B882" s="397"/>
      <c r="C882" s="397"/>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c r="AA882" s="397"/>
      <c r="AB882" s="397"/>
      <c r="AC882" s="397"/>
      <c r="AD882" s="397"/>
      <c r="AE882" s="397"/>
      <c r="AF882" s="397"/>
      <c r="AG882" s="397"/>
      <c r="AH882" s="397"/>
      <c r="AI882" s="397"/>
    </row>
    <row r="883">
      <c r="A883" s="397"/>
      <c r="B883" s="397"/>
      <c r="C883" s="397"/>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c r="AA883" s="397"/>
      <c r="AB883" s="397"/>
      <c r="AC883" s="397"/>
      <c r="AD883" s="397"/>
      <c r="AE883" s="397"/>
      <c r="AF883" s="397"/>
      <c r="AG883" s="397"/>
      <c r="AH883" s="397"/>
      <c r="AI883" s="397"/>
    </row>
    <row r="884">
      <c r="A884" s="397"/>
      <c r="B884" s="397"/>
      <c r="C884" s="397"/>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c r="AA884" s="397"/>
      <c r="AB884" s="397"/>
      <c r="AC884" s="397"/>
      <c r="AD884" s="397"/>
      <c r="AE884" s="397"/>
      <c r="AF884" s="397"/>
      <c r="AG884" s="397"/>
      <c r="AH884" s="397"/>
      <c r="AI884" s="397"/>
    </row>
    <row r="885">
      <c r="A885" s="397"/>
      <c r="B885" s="397"/>
      <c r="C885" s="397"/>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c r="AA885" s="397"/>
      <c r="AB885" s="397"/>
      <c r="AC885" s="397"/>
      <c r="AD885" s="397"/>
      <c r="AE885" s="397"/>
      <c r="AF885" s="397"/>
      <c r="AG885" s="397"/>
      <c r="AH885" s="397"/>
      <c r="AI885" s="397"/>
    </row>
    <row r="886">
      <c r="A886" s="397"/>
      <c r="B886" s="397"/>
      <c r="C886" s="397"/>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c r="AA886" s="397"/>
      <c r="AB886" s="397"/>
      <c r="AC886" s="397"/>
      <c r="AD886" s="397"/>
      <c r="AE886" s="397"/>
      <c r="AF886" s="397"/>
      <c r="AG886" s="397"/>
      <c r="AH886" s="397"/>
      <c r="AI886" s="397"/>
    </row>
    <row r="887">
      <c r="A887" s="397"/>
      <c r="B887" s="397"/>
      <c r="C887" s="397"/>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c r="AA887" s="397"/>
      <c r="AB887" s="397"/>
      <c r="AC887" s="397"/>
      <c r="AD887" s="397"/>
      <c r="AE887" s="397"/>
      <c r="AF887" s="397"/>
      <c r="AG887" s="397"/>
      <c r="AH887" s="397"/>
      <c r="AI887" s="397"/>
    </row>
    <row r="888">
      <c r="A888" s="397"/>
      <c r="B888" s="397"/>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c r="AA888" s="397"/>
      <c r="AB888" s="397"/>
      <c r="AC888" s="397"/>
      <c r="AD888" s="397"/>
      <c r="AE888" s="397"/>
      <c r="AF888" s="397"/>
      <c r="AG888" s="397"/>
      <c r="AH888" s="397"/>
      <c r="AI888" s="397"/>
    </row>
    <row r="889">
      <c r="A889" s="397"/>
      <c r="B889" s="397"/>
      <c r="C889" s="397"/>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c r="AA889" s="397"/>
      <c r="AB889" s="397"/>
      <c r="AC889" s="397"/>
      <c r="AD889" s="397"/>
      <c r="AE889" s="397"/>
      <c r="AF889" s="397"/>
      <c r="AG889" s="397"/>
      <c r="AH889" s="397"/>
      <c r="AI889" s="397"/>
    </row>
    <row r="890">
      <c r="A890" s="397"/>
      <c r="B890" s="397"/>
      <c r="C890" s="397"/>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c r="AA890" s="397"/>
      <c r="AB890" s="397"/>
      <c r="AC890" s="397"/>
      <c r="AD890" s="397"/>
      <c r="AE890" s="397"/>
      <c r="AF890" s="397"/>
      <c r="AG890" s="397"/>
      <c r="AH890" s="397"/>
      <c r="AI890" s="397"/>
    </row>
    <row r="891">
      <c r="A891" s="397"/>
      <c r="B891" s="397"/>
      <c r="C891" s="397"/>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c r="AA891" s="397"/>
      <c r="AB891" s="397"/>
      <c r="AC891" s="397"/>
      <c r="AD891" s="397"/>
      <c r="AE891" s="397"/>
      <c r="AF891" s="397"/>
      <c r="AG891" s="397"/>
      <c r="AH891" s="397"/>
      <c r="AI891" s="397"/>
    </row>
    <row r="892">
      <c r="A892" s="397"/>
      <c r="B892" s="397"/>
      <c r="C892" s="397"/>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c r="AA892" s="397"/>
      <c r="AB892" s="397"/>
      <c r="AC892" s="397"/>
      <c r="AD892" s="397"/>
      <c r="AE892" s="397"/>
      <c r="AF892" s="397"/>
      <c r="AG892" s="397"/>
      <c r="AH892" s="397"/>
      <c r="AI892" s="397"/>
    </row>
    <row r="893">
      <c r="A893" s="397"/>
      <c r="B893" s="397"/>
      <c r="C893" s="397"/>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c r="AA893" s="397"/>
      <c r="AB893" s="397"/>
      <c r="AC893" s="397"/>
      <c r="AD893" s="397"/>
      <c r="AE893" s="397"/>
      <c r="AF893" s="397"/>
      <c r="AG893" s="397"/>
      <c r="AH893" s="397"/>
      <c r="AI893" s="397"/>
    </row>
    <row r="894">
      <c r="A894" s="397"/>
      <c r="B894" s="397"/>
      <c r="C894" s="397"/>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c r="AA894" s="397"/>
      <c r="AB894" s="397"/>
      <c r="AC894" s="397"/>
      <c r="AD894" s="397"/>
      <c r="AE894" s="397"/>
      <c r="AF894" s="397"/>
      <c r="AG894" s="397"/>
      <c r="AH894" s="397"/>
      <c r="AI894" s="397"/>
    </row>
    <row r="895">
      <c r="A895" s="397"/>
      <c r="B895" s="397"/>
      <c r="C895" s="397"/>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c r="AA895" s="397"/>
      <c r="AB895" s="397"/>
      <c r="AC895" s="397"/>
      <c r="AD895" s="397"/>
      <c r="AE895" s="397"/>
      <c r="AF895" s="397"/>
      <c r="AG895" s="397"/>
      <c r="AH895" s="397"/>
      <c r="AI895" s="397"/>
    </row>
    <row r="896">
      <c r="A896" s="397"/>
      <c r="B896" s="397"/>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c r="AA896" s="397"/>
      <c r="AB896" s="397"/>
      <c r="AC896" s="397"/>
      <c r="AD896" s="397"/>
      <c r="AE896" s="397"/>
      <c r="AF896" s="397"/>
      <c r="AG896" s="397"/>
      <c r="AH896" s="397"/>
      <c r="AI896" s="397"/>
    </row>
    <row r="897">
      <c r="A897" s="397"/>
      <c r="B897" s="397"/>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c r="AA897" s="397"/>
      <c r="AB897" s="397"/>
      <c r="AC897" s="397"/>
      <c r="AD897" s="397"/>
      <c r="AE897" s="397"/>
      <c r="AF897" s="397"/>
      <c r="AG897" s="397"/>
      <c r="AH897" s="397"/>
      <c r="AI897" s="397"/>
    </row>
    <row r="898">
      <c r="A898" s="397"/>
      <c r="B898" s="397"/>
      <c r="C898" s="397"/>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c r="AA898" s="397"/>
      <c r="AB898" s="397"/>
      <c r="AC898" s="397"/>
      <c r="AD898" s="397"/>
      <c r="AE898" s="397"/>
      <c r="AF898" s="397"/>
      <c r="AG898" s="397"/>
      <c r="AH898" s="397"/>
      <c r="AI898" s="397"/>
    </row>
    <row r="899">
      <c r="A899" s="397"/>
      <c r="B899" s="397"/>
      <c r="C899" s="397"/>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c r="AA899" s="397"/>
      <c r="AB899" s="397"/>
      <c r="AC899" s="397"/>
      <c r="AD899" s="397"/>
      <c r="AE899" s="397"/>
      <c r="AF899" s="397"/>
      <c r="AG899" s="397"/>
      <c r="AH899" s="397"/>
      <c r="AI899" s="397"/>
    </row>
    <row r="900">
      <c r="A900" s="397"/>
      <c r="B900" s="397"/>
      <c r="C900" s="397"/>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c r="AA900" s="397"/>
      <c r="AB900" s="397"/>
      <c r="AC900" s="397"/>
      <c r="AD900" s="397"/>
      <c r="AE900" s="397"/>
      <c r="AF900" s="397"/>
      <c r="AG900" s="397"/>
      <c r="AH900" s="397"/>
      <c r="AI900" s="397"/>
    </row>
    <row r="901">
      <c r="A901" s="397"/>
      <c r="B901" s="397"/>
      <c r="C901" s="397"/>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c r="AA901" s="397"/>
      <c r="AB901" s="397"/>
      <c r="AC901" s="397"/>
      <c r="AD901" s="397"/>
      <c r="AE901" s="397"/>
      <c r="AF901" s="397"/>
      <c r="AG901" s="397"/>
      <c r="AH901" s="397"/>
      <c r="AI901" s="397"/>
    </row>
    <row r="902">
      <c r="A902" s="397"/>
      <c r="B902" s="397"/>
      <c r="C902" s="397"/>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c r="AA902" s="397"/>
      <c r="AB902" s="397"/>
      <c r="AC902" s="397"/>
      <c r="AD902" s="397"/>
      <c r="AE902" s="397"/>
      <c r="AF902" s="397"/>
      <c r="AG902" s="397"/>
      <c r="AH902" s="397"/>
      <c r="AI902" s="397"/>
    </row>
    <row r="903">
      <c r="A903" s="397"/>
      <c r="B903" s="397"/>
      <c r="C903" s="397"/>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c r="AA903" s="397"/>
      <c r="AB903" s="397"/>
      <c r="AC903" s="397"/>
      <c r="AD903" s="397"/>
      <c r="AE903" s="397"/>
      <c r="AF903" s="397"/>
      <c r="AG903" s="397"/>
      <c r="AH903" s="397"/>
      <c r="AI903" s="397"/>
    </row>
    <row r="904">
      <c r="A904" s="397"/>
      <c r="B904" s="397"/>
      <c r="C904" s="397"/>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c r="AA904" s="397"/>
      <c r="AB904" s="397"/>
      <c r="AC904" s="397"/>
      <c r="AD904" s="397"/>
      <c r="AE904" s="397"/>
      <c r="AF904" s="397"/>
      <c r="AG904" s="397"/>
      <c r="AH904" s="397"/>
      <c r="AI904" s="397"/>
    </row>
    <row r="905">
      <c r="A905" s="397"/>
      <c r="B905" s="397"/>
      <c r="C905" s="397"/>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c r="AA905" s="397"/>
      <c r="AB905" s="397"/>
      <c r="AC905" s="397"/>
      <c r="AD905" s="397"/>
      <c r="AE905" s="397"/>
      <c r="AF905" s="397"/>
      <c r="AG905" s="397"/>
      <c r="AH905" s="397"/>
      <c r="AI905" s="397"/>
    </row>
    <row r="906">
      <c r="A906" s="397"/>
      <c r="B906" s="397"/>
      <c r="C906" s="397"/>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c r="AA906" s="397"/>
      <c r="AB906" s="397"/>
      <c r="AC906" s="397"/>
      <c r="AD906" s="397"/>
      <c r="AE906" s="397"/>
      <c r="AF906" s="397"/>
      <c r="AG906" s="397"/>
      <c r="AH906" s="397"/>
      <c r="AI906" s="397"/>
    </row>
    <row r="907">
      <c r="A907" s="397"/>
      <c r="B907" s="397"/>
      <c r="C907" s="397"/>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c r="AA907" s="397"/>
      <c r="AB907" s="397"/>
      <c r="AC907" s="397"/>
      <c r="AD907" s="397"/>
      <c r="AE907" s="397"/>
      <c r="AF907" s="397"/>
      <c r="AG907" s="397"/>
      <c r="AH907" s="397"/>
      <c r="AI907" s="397"/>
    </row>
    <row r="908">
      <c r="A908" s="397"/>
      <c r="B908" s="397"/>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c r="AA908" s="397"/>
      <c r="AB908" s="397"/>
      <c r="AC908" s="397"/>
      <c r="AD908" s="397"/>
      <c r="AE908" s="397"/>
      <c r="AF908" s="397"/>
      <c r="AG908" s="397"/>
      <c r="AH908" s="397"/>
      <c r="AI908" s="397"/>
    </row>
    <row r="909">
      <c r="A909" s="397"/>
      <c r="B909" s="397"/>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c r="AA909" s="397"/>
      <c r="AB909" s="397"/>
      <c r="AC909" s="397"/>
      <c r="AD909" s="397"/>
      <c r="AE909" s="397"/>
      <c r="AF909" s="397"/>
      <c r="AG909" s="397"/>
      <c r="AH909" s="397"/>
      <c r="AI909" s="397"/>
    </row>
    <row r="910">
      <c r="A910" s="397"/>
      <c r="B910" s="397"/>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c r="AA910" s="397"/>
      <c r="AB910" s="397"/>
      <c r="AC910" s="397"/>
      <c r="AD910" s="397"/>
      <c r="AE910" s="397"/>
      <c r="AF910" s="397"/>
      <c r="AG910" s="397"/>
      <c r="AH910" s="397"/>
      <c r="AI910" s="397"/>
    </row>
    <row r="911">
      <c r="A911" s="397"/>
      <c r="B911" s="397"/>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c r="AA911" s="397"/>
      <c r="AB911" s="397"/>
      <c r="AC911" s="397"/>
      <c r="AD911" s="397"/>
      <c r="AE911" s="397"/>
      <c r="AF911" s="397"/>
      <c r="AG911" s="397"/>
      <c r="AH911" s="397"/>
      <c r="AI911" s="397"/>
    </row>
    <row r="912">
      <c r="A912" s="397"/>
      <c r="B912" s="397"/>
      <c r="C912" s="397"/>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c r="AA912" s="397"/>
      <c r="AB912" s="397"/>
      <c r="AC912" s="397"/>
      <c r="AD912" s="397"/>
      <c r="AE912" s="397"/>
      <c r="AF912" s="397"/>
      <c r="AG912" s="397"/>
      <c r="AH912" s="397"/>
      <c r="AI912" s="397"/>
    </row>
    <row r="913">
      <c r="A913" s="397"/>
      <c r="B913" s="397"/>
      <c r="C913" s="397"/>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c r="AA913" s="397"/>
      <c r="AB913" s="397"/>
      <c r="AC913" s="397"/>
      <c r="AD913" s="397"/>
      <c r="AE913" s="397"/>
      <c r="AF913" s="397"/>
      <c r="AG913" s="397"/>
      <c r="AH913" s="397"/>
      <c r="AI913" s="397"/>
    </row>
    <row r="914">
      <c r="A914" s="397"/>
      <c r="B914" s="397"/>
      <c r="C914" s="397"/>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c r="AA914" s="397"/>
      <c r="AB914" s="397"/>
      <c r="AC914" s="397"/>
      <c r="AD914" s="397"/>
      <c r="AE914" s="397"/>
      <c r="AF914" s="397"/>
      <c r="AG914" s="397"/>
      <c r="AH914" s="397"/>
      <c r="AI914" s="397"/>
    </row>
    <row r="915">
      <c r="A915" s="397"/>
      <c r="B915" s="397"/>
      <c r="C915" s="397"/>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c r="AA915" s="397"/>
      <c r="AB915" s="397"/>
      <c r="AC915" s="397"/>
      <c r="AD915" s="397"/>
      <c r="AE915" s="397"/>
      <c r="AF915" s="397"/>
      <c r="AG915" s="397"/>
      <c r="AH915" s="397"/>
      <c r="AI915" s="397"/>
    </row>
    <row r="916">
      <c r="A916" s="397"/>
      <c r="B916" s="397"/>
      <c r="C916" s="397"/>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c r="AA916" s="397"/>
      <c r="AB916" s="397"/>
      <c r="AC916" s="397"/>
      <c r="AD916" s="397"/>
      <c r="AE916" s="397"/>
      <c r="AF916" s="397"/>
      <c r="AG916" s="397"/>
      <c r="AH916" s="397"/>
      <c r="AI916" s="397"/>
    </row>
    <row r="917">
      <c r="A917" s="397"/>
      <c r="B917" s="397"/>
      <c r="C917" s="397"/>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c r="AA917" s="397"/>
      <c r="AB917" s="397"/>
      <c r="AC917" s="397"/>
      <c r="AD917" s="397"/>
      <c r="AE917" s="397"/>
      <c r="AF917" s="397"/>
      <c r="AG917" s="397"/>
      <c r="AH917" s="397"/>
      <c r="AI917" s="397"/>
    </row>
    <row r="918">
      <c r="A918" s="397"/>
      <c r="B918" s="397"/>
      <c r="C918" s="397"/>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c r="AA918" s="397"/>
      <c r="AB918" s="397"/>
      <c r="AC918" s="397"/>
      <c r="AD918" s="397"/>
      <c r="AE918" s="397"/>
      <c r="AF918" s="397"/>
      <c r="AG918" s="397"/>
      <c r="AH918" s="397"/>
      <c r="AI918" s="397"/>
    </row>
    <row r="919">
      <c r="A919" s="397"/>
      <c r="B919" s="397"/>
      <c r="C919" s="397"/>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c r="AA919" s="397"/>
      <c r="AB919" s="397"/>
      <c r="AC919" s="397"/>
      <c r="AD919" s="397"/>
      <c r="AE919" s="397"/>
      <c r="AF919" s="397"/>
      <c r="AG919" s="397"/>
      <c r="AH919" s="397"/>
      <c r="AI919" s="397"/>
    </row>
    <row r="920">
      <c r="A920" s="397"/>
      <c r="B920" s="397"/>
      <c r="C920" s="397"/>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c r="AA920" s="397"/>
      <c r="AB920" s="397"/>
      <c r="AC920" s="397"/>
      <c r="AD920" s="397"/>
      <c r="AE920" s="397"/>
      <c r="AF920" s="397"/>
      <c r="AG920" s="397"/>
      <c r="AH920" s="397"/>
      <c r="AI920" s="397"/>
    </row>
    <row r="921">
      <c r="A921" s="397"/>
      <c r="B921" s="397"/>
      <c r="C921" s="397"/>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c r="AA921" s="397"/>
      <c r="AB921" s="397"/>
      <c r="AC921" s="397"/>
      <c r="AD921" s="397"/>
      <c r="AE921" s="397"/>
      <c r="AF921" s="397"/>
      <c r="AG921" s="397"/>
      <c r="AH921" s="397"/>
      <c r="AI921" s="397"/>
    </row>
    <row r="922">
      <c r="A922" s="397"/>
      <c r="B922" s="397"/>
      <c r="C922" s="397"/>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c r="AA922" s="397"/>
      <c r="AB922" s="397"/>
      <c r="AC922" s="397"/>
      <c r="AD922" s="397"/>
      <c r="AE922" s="397"/>
      <c r="AF922" s="397"/>
      <c r="AG922" s="397"/>
      <c r="AH922" s="397"/>
      <c r="AI922" s="397"/>
    </row>
    <row r="923">
      <c r="A923" s="397"/>
      <c r="B923" s="397"/>
      <c r="C923" s="397"/>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c r="AA923" s="397"/>
      <c r="AB923" s="397"/>
      <c r="AC923" s="397"/>
      <c r="AD923" s="397"/>
      <c r="AE923" s="397"/>
      <c r="AF923" s="397"/>
      <c r="AG923" s="397"/>
      <c r="AH923" s="397"/>
      <c r="AI923" s="397"/>
    </row>
    <row r="924">
      <c r="A924" s="397"/>
      <c r="B924" s="397"/>
      <c r="C924" s="397"/>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c r="AA924" s="397"/>
      <c r="AB924" s="397"/>
      <c r="AC924" s="397"/>
      <c r="AD924" s="397"/>
      <c r="AE924" s="397"/>
      <c r="AF924" s="397"/>
      <c r="AG924" s="397"/>
      <c r="AH924" s="397"/>
      <c r="AI924" s="397"/>
    </row>
    <row r="925">
      <c r="A925" s="397"/>
      <c r="B925" s="397"/>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c r="AA925" s="397"/>
      <c r="AB925" s="397"/>
      <c r="AC925" s="397"/>
      <c r="AD925" s="397"/>
      <c r="AE925" s="397"/>
      <c r="AF925" s="397"/>
      <c r="AG925" s="397"/>
      <c r="AH925" s="397"/>
      <c r="AI925" s="397"/>
    </row>
    <row r="926">
      <c r="A926" s="397"/>
      <c r="B926" s="397"/>
      <c r="C926" s="397"/>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c r="AA926" s="397"/>
      <c r="AB926" s="397"/>
      <c r="AC926" s="397"/>
      <c r="AD926" s="397"/>
      <c r="AE926" s="397"/>
      <c r="AF926" s="397"/>
      <c r="AG926" s="397"/>
      <c r="AH926" s="397"/>
      <c r="AI926" s="397"/>
    </row>
    <row r="927">
      <c r="A927" s="397"/>
      <c r="B927" s="397"/>
      <c r="C927" s="397"/>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c r="AA927" s="397"/>
      <c r="AB927" s="397"/>
      <c r="AC927" s="397"/>
      <c r="AD927" s="397"/>
      <c r="AE927" s="397"/>
      <c r="AF927" s="397"/>
      <c r="AG927" s="397"/>
      <c r="AH927" s="397"/>
      <c r="AI927" s="397"/>
    </row>
    <row r="928">
      <c r="A928" s="397"/>
      <c r="B928" s="397"/>
      <c r="C928" s="397"/>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c r="AA928" s="397"/>
      <c r="AB928" s="397"/>
      <c r="AC928" s="397"/>
      <c r="AD928" s="397"/>
      <c r="AE928" s="397"/>
      <c r="AF928" s="397"/>
      <c r="AG928" s="397"/>
      <c r="AH928" s="397"/>
      <c r="AI928" s="397"/>
    </row>
    <row r="929">
      <c r="A929" s="397"/>
      <c r="B929" s="397"/>
      <c r="C929" s="397"/>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c r="AA929" s="397"/>
      <c r="AB929" s="397"/>
      <c r="AC929" s="397"/>
      <c r="AD929" s="397"/>
      <c r="AE929" s="397"/>
      <c r="AF929" s="397"/>
      <c r="AG929" s="397"/>
      <c r="AH929" s="397"/>
      <c r="AI929" s="397"/>
    </row>
    <row r="930">
      <c r="A930" s="397"/>
      <c r="B930" s="397"/>
      <c r="C930" s="397"/>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c r="AA930" s="397"/>
      <c r="AB930" s="397"/>
      <c r="AC930" s="397"/>
      <c r="AD930" s="397"/>
      <c r="AE930" s="397"/>
      <c r="AF930" s="397"/>
      <c r="AG930" s="397"/>
      <c r="AH930" s="397"/>
      <c r="AI930" s="397"/>
    </row>
    <row r="931">
      <c r="A931" s="397"/>
      <c r="B931" s="397"/>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c r="AA931" s="397"/>
      <c r="AB931" s="397"/>
      <c r="AC931" s="397"/>
      <c r="AD931" s="397"/>
      <c r="AE931" s="397"/>
      <c r="AF931" s="397"/>
      <c r="AG931" s="397"/>
      <c r="AH931" s="397"/>
      <c r="AI931" s="397"/>
    </row>
    <row r="932">
      <c r="A932" s="397"/>
      <c r="B932" s="397"/>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c r="AA932" s="397"/>
      <c r="AB932" s="397"/>
      <c r="AC932" s="397"/>
      <c r="AD932" s="397"/>
      <c r="AE932" s="397"/>
      <c r="AF932" s="397"/>
      <c r="AG932" s="397"/>
      <c r="AH932" s="397"/>
      <c r="AI932" s="397"/>
    </row>
    <row r="933">
      <c r="A933" s="397"/>
      <c r="B933" s="397"/>
      <c r="C933" s="397"/>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c r="AA933" s="397"/>
      <c r="AB933" s="397"/>
      <c r="AC933" s="397"/>
      <c r="AD933" s="397"/>
      <c r="AE933" s="397"/>
      <c r="AF933" s="397"/>
      <c r="AG933" s="397"/>
      <c r="AH933" s="397"/>
      <c r="AI933" s="397"/>
    </row>
    <row r="934">
      <c r="A934" s="397"/>
      <c r="B934" s="397"/>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c r="AA934" s="397"/>
      <c r="AB934" s="397"/>
      <c r="AC934" s="397"/>
      <c r="AD934" s="397"/>
      <c r="AE934" s="397"/>
      <c r="AF934" s="397"/>
      <c r="AG934" s="397"/>
      <c r="AH934" s="397"/>
      <c r="AI934" s="397"/>
    </row>
    <row r="935">
      <c r="A935" s="397"/>
      <c r="B935" s="397"/>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c r="AA935" s="397"/>
      <c r="AB935" s="397"/>
      <c r="AC935" s="397"/>
      <c r="AD935" s="397"/>
      <c r="AE935" s="397"/>
      <c r="AF935" s="397"/>
      <c r="AG935" s="397"/>
      <c r="AH935" s="397"/>
      <c r="AI935" s="397"/>
    </row>
    <row r="936">
      <c r="A936" s="397"/>
      <c r="B936" s="397"/>
      <c r="C936" s="397"/>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c r="AA936" s="397"/>
      <c r="AB936" s="397"/>
      <c r="AC936" s="397"/>
      <c r="AD936" s="397"/>
      <c r="AE936" s="397"/>
      <c r="AF936" s="397"/>
      <c r="AG936" s="397"/>
      <c r="AH936" s="397"/>
      <c r="AI936" s="397"/>
    </row>
    <row r="937">
      <c r="A937" s="397"/>
      <c r="B937" s="397"/>
      <c r="C937" s="397"/>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c r="AA937" s="397"/>
      <c r="AB937" s="397"/>
      <c r="AC937" s="397"/>
      <c r="AD937" s="397"/>
      <c r="AE937" s="397"/>
      <c r="AF937" s="397"/>
      <c r="AG937" s="397"/>
      <c r="AH937" s="397"/>
      <c r="AI937" s="397"/>
    </row>
    <row r="938">
      <c r="A938" s="397"/>
      <c r="B938" s="397"/>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c r="AA938" s="397"/>
      <c r="AB938" s="397"/>
      <c r="AC938" s="397"/>
      <c r="AD938" s="397"/>
      <c r="AE938" s="397"/>
      <c r="AF938" s="397"/>
      <c r="AG938" s="397"/>
      <c r="AH938" s="397"/>
      <c r="AI938" s="397"/>
    </row>
    <row r="939">
      <c r="A939" s="397"/>
      <c r="B939" s="397"/>
      <c r="C939" s="397"/>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c r="AA939" s="397"/>
      <c r="AB939" s="397"/>
      <c r="AC939" s="397"/>
      <c r="AD939" s="397"/>
      <c r="AE939" s="397"/>
      <c r="AF939" s="397"/>
      <c r="AG939" s="397"/>
      <c r="AH939" s="397"/>
      <c r="AI939" s="397"/>
    </row>
    <row r="940">
      <c r="A940" s="397"/>
      <c r="B940" s="397"/>
      <c r="C940" s="397"/>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c r="AA940" s="397"/>
      <c r="AB940" s="397"/>
      <c r="AC940" s="397"/>
      <c r="AD940" s="397"/>
      <c r="AE940" s="397"/>
      <c r="AF940" s="397"/>
      <c r="AG940" s="397"/>
      <c r="AH940" s="397"/>
      <c r="AI940" s="397"/>
    </row>
    <row r="941">
      <c r="A941" s="397"/>
      <c r="B941" s="397"/>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c r="AA941" s="397"/>
      <c r="AB941" s="397"/>
      <c r="AC941" s="397"/>
      <c r="AD941" s="397"/>
      <c r="AE941" s="397"/>
      <c r="AF941" s="397"/>
      <c r="AG941" s="397"/>
      <c r="AH941" s="397"/>
      <c r="AI941" s="397"/>
    </row>
    <row r="942">
      <c r="A942" s="397"/>
      <c r="B942" s="397"/>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c r="AA942" s="397"/>
      <c r="AB942" s="397"/>
      <c r="AC942" s="397"/>
      <c r="AD942" s="397"/>
      <c r="AE942" s="397"/>
      <c r="AF942" s="397"/>
      <c r="AG942" s="397"/>
      <c r="AH942" s="397"/>
      <c r="AI942" s="397"/>
    </row>
    <row r="943">
      <c r="A943" s="397"/>
      <c r="B943" s="397"/>
      <c r="C943" s="397"/>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c r="AA943" s="397"/>
      <c r="AB943" s="397"/>
      <c r="AC943" s="397"/>
      <c r="AD943" s="397"/>
      <c r="AE943" s="397"/>
      <c r="AF943" s="397"/>
      <c r="AG943" s="397"/>
      <c r="AH943" s="397"/>
      <c r="AI943" s="397"/>
    </row>
    <row r="944">
      <c r="A944" s="397"/>
      <c r="B944" s="397"/>
      <c r="C944" s="397"/>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c r="AA944" s="397"/>
      <c r="AB944" s="397"/>
      <c r="AC944" s="397"/>
      <c r="AD944" s="397"/>
      <c r="AE944" s="397"/>
      <c r="AF944" s="397"/>
      <c r="AG944" s="397"/>
      <c r="AH944" s="397"/>
      <c r="AI944" s="397"/>
    </row>
    <row r="945">
      <c r="A945" s="397"/>
      <c r="B945" s="397"/>
      <c r="C945" s="397"/>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c r="AA945" s="397"/>
      <c r="AB945" s="397"/>
      <c r="AC945" s="397"/>
      <c r="AD945" s="397"/>
      <c r="AE945" s="397"/>
      <c r="AF945" s="397"/>
      <c r="AG945" s="397"/>
      <c r="AH945" s="397"/>
      <c r="AI945" s="397"/>
    </row>
    <row r="946">
      <c r="A946" s="397"/>
      <c r="B946" s="397"/>
      <c r="C946" s="397"/>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c r="AA946" s="397"/>
      <c r="AB946" s="397"/>
      <c r="AC946" s="397"/>
      <c r="AD946" s="397"/>
      <c r="AE946" s="397"/>
      <c r="AF946" s="397"/>
      <c r="AG946" s="397"/>
      <c r="AH946" s="397"/>
      <c r="AI946" s="397"/>
    </row>
    <row r="947">
      <c r="A947" s="397"/>
      <c r="B947" s="397"/>
      <c r="C947" s="397"/>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c r="AA947" s="397"/>
      <c r="AB947" s="397"/>
      <c r="AC947" s="397"/>
      <c r="AD947" s="397"/>
      <c r="AE947" s="397"/>
      <c r="AF947" s="397"/>
      <c r="AG947" s="397"/>
      <c r="AH947" s="397"/>
      <c r="AI947" s="397"/>
    </row>
    <row r="948">
      <c r="A948" s="397"/>
      <c r="B948" s="397"/>
      <c r="C948" s="397"/>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c r="AA948" s="397"/>
      <c r="AB948" s="397"/>
      <c r="AC948" s="397"/>
      <c r="AD948" s="397"/>
      <c r="AE948" s="397"/>
      <c r="AF948" s="397"/>
      <c r="AG948" s="397"/>
      <c r="AH948" s="397"/>
      <c r="AI948" s="397"/>
    </row>
    <row r="949">
      <c r="A949" s="397"/>
      <c r="B949" s="397"/>
      <c r="C949" s="397"/>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c r="AA949" s="397"/>
      <c r="AB949" s="397"/>
      <c r="AC949" s="397"/>
      <c r="AD949" s="397"/>
      <c r="AE949" s="397"/>
      <c r="AF949" s="397"/>
      <c r="AG949" s="397"/>
      <c r="AH949" s="397"/>
      <c r="AI949" s="397"/>
    </row>
    <row r="950">
      <c r="A950" s="397"/>
      <c r="B950" s="397"/>
      <c r="C950" s="397"/>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c r="AA950" s="397"/>
      <c r="AB950" s="397"/>
      <c r="AC950" s="397"/>
      <c r="AD950" s="397"/>
      <c r="AE950" s="397"/>
      <c r="AF950" s="397"/>
      <c r="AG950" s="397"/>
      <c r="AH950" s="397"/>
      <c r="AI950" s="397"/>
    </row>
    <row r="951">
      <c r="A951" s="397"/>
      <c r="B951" s="397"/>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c r="AA951" s="397"/>
      <c r="AB951" s="397"/>
      <c r="AC951" s="397"/>
      <c r="AD951" s="397"/>
      <c r="AE951" s="397"/>
      <c r="AF951" s="397"/>
      <c r="AG951" s="397"/>
      <c r="AH951" s="397"/>
      <c r="AI951" s="397"/>
    </row>
    <row r="952">
      <c r="A952" s="397"/>
      <c r="B952" s="397"/>
      <c r="C952" s="397"/>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c r="AA952" s="397"/>
      <c r="AB952" s="397"/>
      <c r="AC952" s="397"/>
      <c r="AD952" s="397"/>
      <c r="AE952" s="397"/>
      <c r="AF952" s="397"/>
      <c r="AG952" s="397"/>
      <c r="AH952" s="397"/>
      <c r="AI952" s="397"/>
    </row>
    <row r="953">
      <c r="A953" s="397"/>
      <c r="B953" s="397"/>
      <c r="C953" s="397"/>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c r="AA953" s="397"/>
      <c r="AB953" s="397"/>
      <c r="AC953" s="397"/>
      <c r="AD953" s="397"/>
      <c r="AE953" s="397"/>
      <c r="AF953" s="397"/>
      <c r="AG953" s="397"/>
      <c r="AH953" s="397"/>
      <c r="AI953" s="397"/>
    </row>
    <row r="954">
      <c r="A954" s="397"/>
      <c r="B954" s="397"/>
      <c r="C954" s="397"/>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c r="AA954" s="397"/>
      <c r="AB954" s="397"/>
      <c r="AC954" s="397"/>
      <c r="AD954" s="397"/>
      <c r="AE954" s="397"/>
      <c r="AF954" s="397"/>
      <c r="AG954" s="397"/>
      <c r="AH954" s="397"/>
      <c r="AI954" s="397"/>
    </row>
    <row r="955">
      <c r="A955" s="397"/>
      <c r="B955" s="397"/>
      <c r="C955" s="397"/>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c r="AA955" s="397"/>
      <c r="AB955" s="397"/>
      <c r="AC955" s="397"/>
      <c r="AD955" s="397"/>
      <c r="AE955" s="397"/>
      <c r="AF955" s="397"/>
      <c r="AG955" s="397"/>
      <c r="AH955" s="397"/>
      <c r="AI955" s="397"/>
    </row>
    <row r="956">
      <c r="A956" s="397"/>
      <c r="B956" s="397"/>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c r="AA956" s="397"/>
      <c r="AB956" s="397"/>
      <c r="AC956" s="397"/>
      <c r="AD956" s="397"/>
      <c r="AE956" s="397"/>
      <c r="AF956" s="397"/>
      <c r="AG956" s="397"/>
      <c r="AH956" s="397"/>
      <c r="AI956" s="397"/>
    </row>
    <row r="957">
      <c r="A957" s="397"/>
      <c r="B957" s="397"/>
      <c r="C957" s="397"/>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c r="AA957" s="397"/>
      <c r="AB957" s="397"/>
      <c r="AC957" s="397"/>
      <c r="AD957" s="397"/>
      <c r="AE957" s="397"/>
      <c r="AF957" s="397"/>
      <c r="AG957" s="397"/>
      <c r="AH957" s="397"/>
      <c r="AI957" s="397"/>
    </row>
    <row r="958">
      <c r="A958" s="397"/>
      <c r="B958" s="397"/>
      <c r="C958" s="397"/>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c r="AA958" s="397"/>
      <c r="AB958" s="397"/>
      <c r="AC958" s="397"/>
      <c r="AD958" s="397"/>
      <c r="AE958" s="397"/>
      <c r="AF958" s="397"/>
      <c r="AG958" s="397"/>
      <c r="AH958" s="397"/>
      <c r="AI958" s="397"/>
    </row>
    <row r="959">
      <c r="A959" s="397"/>
      <c r="B959" s="397"/>
      <c r="C959" s="397"/>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c r="AA959" s="397"/>
      <c r="AB959" s="397"/>
      <c r="AC959" s="397"/>
      <c r="AD959" s="397"/>
      <c r="AE959" s="397"/>
      <c r="AF959" s="397"/>
      <c r="AG959" s="397"/>
      <c r="AH959" s="397"/>
      <c r="AI959" s="397"/>
    </row>
    <row r="960">
      <c r="A960" s="397"/>
      <c r="B960" s="397"/>
      <c r="C960" s="397"/>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c r="AA960" s="397"/>
      <c r="AB960" s="397"/>
      <c r="AC960" s="397"/>
      <c r="AD960" s="397"/>
      <c r="AE960" s="397"/>
      <c r="AF960" s="397"/>
      <c r="AG960" s="397"/>
      <c r="AH960" s="397"/>
      <c r="AI960" s="397"/>
    </row>
    <row r="961">
      <c r="A961" s="397"/>
      <c r="B961" s="397"/>
      <c r="C961" s="397"/>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c r="AA961" s="397"/>
      <c r="AB961" s="397"/>
      <c r="AC961" s="397"/>
      <c r="AD961" s="397"/>
      <c r="AE961" s="397"/>
      <c r="AF961" s="397"/>
      <c r="AG961" s="397"/>
      <c r="AH961" s="397"/>
      <c r="AI961" s="397"/>
    </row>
    <row r="962">
      <c r="A962" s="397"/>
      <c r="B962" s="397"/>
      <c r="C962" s="397"/>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c r="AA962" s="397"/>
      <c r="AB962" s="397"/>
      <c r="AC962" s="397"/>
      <c r="AD962" s="397"/>
      <c r="AE962" s="397"/>
      <c r="AF962" s="397"/>
      <c r="AG962" s="397"/>
      <c r="AH962" s="397"/>
      <c r="AI962" s="397"/>
    </row>
    <row r="963">
      <c r="A963" s="397"/>
      <c r="B963" s="397"/>
      <c r="C963" s="397"/>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c r="AA963" s="397"/>
      <c r="AB963" s="397"/>
      <c r="AC963" s="397"/>
      <c r="AD963" s="397"/>
      <c r="AE963" s="397"/>
      <c r="AF963" s="397"/>
      <c r="AG963" s="397"/>
      <c r="AH963" s="397"/>
      <c r="AI963" s="397"/>
    </row>
    <row r="964">
      <c r="A964" s="397"/>
      <c r="B964" s="397"/>
      <c r="C964" s="397"/>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c r="AA964" s="397"/>
      <c r="AB964" s="397"/>
      <c r="AC964" s="397"/>
      <c r="AD964" s="397"/>
      <c r="AE964" s="397"/>
      <c r="AF964" s="397"/>
      <c r="AG964" s="397"/>
      <c r="AH964" s="397"/>
      <c r="AI964" s="397"/>
    </row>
    <row r="965">
      <c r="A965" s="397"/>
      <c r="B965" s="397"/>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c r="AA965" s="397"/>
      <c r="AB965" s="397"/>
      <c r="AC965" s="397"/>
      <c r="AD965" s="397"/>
      <c r="AE965" s="397"/>
      <c r="AF965" s="397"/>
      <c r="AG965" s="397"/>
      <c r="AH965" s="397"/>
      <c r="AI965" s="397"/>
    </row>
    <row r="966">
      <c r="A966" s="397"/>
      <c r="B966" s="397"/>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c r="AA966" s="397"/>
      <c r="AB966" s="397"/>
      <c r="AC966" s="397"/>
      <c r="AD966" s="397"/>
      <c r="AE966" s="397"/>
      <c r="AF966" s="397"/>
      <c r="AG966" s="397"/>
      <c r="AH966" s="397"/>
      <c r="AI966" s="397"/>
    </row>
    <row r="967">
      <c r="A967" s="397"/>
      <c r="B967" s="397"/>
      <c r="C967" s="397"/>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c r="AA967" s="397"/>
      <c r="AB967" s="397"/>
      <c r="AC967" s="397"/>
      <c r="AD967" s="397"/>
      <c r="AE967" s="397"/>
      <c r="AF967" s="397"/>
      <c r="AG967" s="397"/>
      <c r="AH967" s="397"/>
      <c r="AI967" s="397"/>
    </row>
    <row r="968">
      <c r="A968" s="397"/>
      <c r="B968" s="397"/>
      <c r="C968" s="397"/>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c r="AA968" s="397"/>
      <c r="AB968" s="397"/>
      <c r="AC968" s="397"/>
      <c r="AD968" s="397"/>
      <c r="AE968" s="397"/>
      <c r="AF968" s="397"/>
      <c r="AG968" s="397"/>
      <c r="AH968" s="397"/>
      <c r="AI968" s="397"/>
    </row>
    <row r="969">
      <c r="A969" s="397"/>
      <c r="B969" s="397"/>
      <c r="C969" s="397"/>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c r="AA969" s="397"/>
      <c r="AB969" s="397"/>
      <c r="AC969" s="397"/>
      <c r="AD969" s="397"/>
      <c r="AE969" s="397"/>
      <c r="AF969" s="397"/>
      <c r="AG969" s="397"/>
      <c r="AH969" s="397"/>
      <c r="AI969" s="397"/>
    </row>
    <row r="970">
      <c r="A970" s="397"/>
      <c r="B970" s="397"/>
      <c r="C970" s="397"/>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c r="AA970" s="397"/>
      <c r="AB970" s="397"/>
      <c r="AC970" s="397"/>
      <c r="AD970" s="397"/>
      <c r="AE970" s="397"/>
      <c r="AF970" s="397"/>
      <c r="AG970" s="397"/>
      <c r="AH970" s="397"/>
      <c r="AI970" s="397"/>
    </row>
    <row r="971">
      <c r="A971" s="397"/>
      <c r="B971" s="397"/>
      <c r="C971" s="397"/>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c r="AA971" s="397"/>
      <c r="AB971" s="397"/>
      <c r="AC971" s="397"/>
      <c r="AD971" s="397"/>
      <c r="AE971" s="397"/>
      <c r="AF971" s="397"/>
      <c r="AG971" s="397"/>
      <c r="AH971" s="397"/>
      <c r="AI971" s="397"/>
    </row>
    <row r="972">
      <c r="A972" s="397"/>
      <c r="B972" s="397"/>
      <c r="C972" s="397"/>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c r="AA972" s="397"/>
      <c r="AB972" s="397"/>
      <c r="AC972" s="397"/>
      <c r="AD972" s="397"/>
      <c r="AE972" s="397"/>
      <c r="AF972" s="397"/>
      <c r="AG972" s="397"/>
      <c r="AH972" s="397"/>
      <c r="AI972" s="397"/>
    </row>
    <row r="973">
      <c r="A973" s="397"/>
      <c r="B973" s="397"/>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c r="AA973" s="397"/>
      <c r="AB973" s="397"/>
      <c r="AC973" s="397"/>
      <c r="AD973" s="397"/>
      <c r="AE973" s="397"/>
      <c r="AF973" s="397"/>
      <c r="AG973" s="397"/>
      <c r="AH973" s="397"/>
      <c r="AI973" s="397"/>
    </row>
    <row r="974">
      <c r="A974" s="397"/>
      <c r="B974" s="397"/>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c r="AA974" s="397"/>
      <c r="AB974" s="397"/>
      <c r="AC974" s="397"/>
      <c r="AD974" s="397"/>
      <c r="AE974" s="397"/>
      <c r="AF974" s="397"/>
      <c r="AG974" s="397"/>
      <c r="AH974" s="397"/>
      <c r="AI974" s="397"/>
    </row>
    <row r="975">
      <c r="A975" s="397"/>
      <c r="B975" s="397"/>
      <c r="C975" s="397"/>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c r="AA975" s="397"/>
      <c r="AB975" s="397"/>
      <c r="AC975" s="397"/>
      <c r="AD975" s="397"/>
      <c r="AE975" s="397"/>
      <c r="AF975" s="397"/>
      <c r="AG975" s="397"/>
      <c r="AH975" s="397"/>
      <c r="AI975" s="397"/>
    </row>
    <row r="976">
      <c r="A976" s="397"/>
      <c r="B976" s="397"/>
      <c r="C976" s="397"/>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c r="AA976" s="397"/>
      <c r="AB976" s="397"/>
      <c r="AC976" s="397"/>
      <c r="AD976" s="397"/>
      <c r="AE976" s="397"/>
      <c r="AF976" s="397"/>
      <c r="AG976" s="397"/>
      <c r="AH976" s="397"/>
      <c r="AI976" s="397"/>
    </row>
    <row r="977">
      <c r="A977" s="397"/>
      <c r="B977" s="397"/>
      <c r="C977" s="397"/>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c r="AA977" s="397"/>
      <c r="AB977" s="397"/>
      <c r="AC977" s="397"/>
      <c r="AD977" s="397"/>
      <c r="AE977" s="397"/>
      <c r="AF977" s="397"/>
      <c r="AG977" s="397"/>
      <c r="AH977" s="397"/>
      <c r="AI977" s="397"/>
    </row>
    <row r="978">
      <c r="A978" s="397"/>
      <c r="B978" s="397"/>
      <c r="C978" s="397"/>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c r="AA978" s="397"/>
      <c r="AB978" s="397"/>
      <c r="AC978" s="397"/>
      <c r="AD978" s="397"/>
      <c r="AE978" s="397"/>
      <c r="AF978" s="397"/>
      <c r="AG978" s="397"/>
      <c r="AH978" s="397"/>
      <c r="AI978" s="397"/>
    </row>
    <row r="979">
      <c r="A979" s="397"/>
      <c r="B979" s="397"/>
      <c r="C979" s="397"/>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c r="AA979" s="397"/>
      <c r="AB979" s="397"/>
      <c r="AC979" s="397"/>
      <c r="AD979" s="397"/>
      <c r="AE979" s="397"/>
      <c r="AF979" s="397"/>
      <c r="AG979" s="397"/>
      <c r="AH979" s="397"/>
      <c r="AI979" s="397"/>
    </row>
    <row r="980">
      <c r="A980" s="397"/>
      <c r="B980" s="397"/>
      <c r="C980" s="397"/>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c r="AA980" s="397"/>
      <c r="AB980" s="397"/>
      <c r="AC980" s="397"/>
      <c r="AD980" s="397"/>
      <c r="AE980" s="397"/>
      <c r="AF980" s="397"/>
      <c r="AG980" s="397"/>
      <c r="AH980" s="397"/>
      <c r="AI980" s="397"/>
    </row>
    <row r="981">
      <c r="A981" s="397"/>
      <c r="B981" s="397"/>
      <c r="C981" s="397"/>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c r="AA981" s="397"/>
      <c r="AB981" s="397"/>
      <c r="AC981" s="397"/>
      <c r="AD981" s="397"/>
      <c r="AE981" s="397"/>
      <c r="AF981" s="397"/>
      <c r="AG981" s="397"/>
      <c r="AH981" s="397"/>
      <c r="AI981" s="397"/>
    </row>
    <row r="982">
      <c r="A982" s="397"/>
      <c r="B982" s="397"/>
      <c r="C982" s="397"/>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c r="AA982" s="397"/>
      <c r="AB982" s="397"/>
      <c r="AC982" s="397"/>
      <c r="AD982" s="397"/>
      <c r="AE982" s="397"/>
      <c r="AF982" s="397"/>
      <c r="AG982" s="397"/>
      <c r="AH982" s="397"/>
      <c r="AI982" s="397"/>
    </row>
    <row r="983">
      <c r="A983" s="397"/>
      <c r="B983" s="397"/>
      <c r="C983" s="397"/>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c r="AA983" s="397"/>
      <c r="AB983" s="397"/>
      <c r="AC983" s="397"/>
      <c r="AD983" s="397"/>
      <c r="AE983" s="397"/>
      <c r="AF983" s="397"/>
      <c r="AG983" s="397"/>
      <c r="AH983" s="397"/>
      <c r="AI983" s="397"/>
    </row>
    <row r="984">
      <c r="A984" s="397"/>
      <c r="B984" s="397"/>
      <c r="C984" s="397"/>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c r="AA984" s="397"/>
      <c r="AB984" s="397"/>
      <c r="AC984" s="397"/>
      <c r="AD984" s="397"/>
      <c r="AE984" s="397"/>
      <c r="AF984" s="397"/>
      <c r="AG984" s="397"/>
      <c r="AH984" s="397"/>
      <c r="AI984" s="397"/>
    </row>
    <row r="985">
      <c r="A985" s="397"/>
      <c r="B985" s="397"/>
      <c r="C985" s="397"/>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c r="AA985" s="397"/>
      <c r="AB985" s="397"/>
      <c r="AC985" s="397"/>
      <c r="AD985" s="397"/>
      <c r="AE985" s="397"/>
      <c r="AF985" s="397"/>
      <c r="AG985" s="397"/>
      <c r="AH985" s="397"/>
      <c r="AI985" s="397"/>
    </row>
  </sheetData>
  <mergeCells count="3">
    <mergeCell ref="B1:C1"/>
    <mergeCell ref="D1:R1"/>
    <mergeCell ref="T1:AC1"/>
  </mergeCells>
  <dataValidations>
    <dataValidation type="list" allowBlank="1" showErrorMessage="1" sqref="A4:A985">
      <formula1>"Incoming,Outgoing"</formula1>
    </dataValidation>
    <dataValidation type="list" allowBlank="1" showErrorMessage="1" sqref="T4:T26 T33 T38 T40">
      <formula1>"New Build,Resale,Condo,Manu,Mobile,OpenDoor,Vacant Land,See Notes"</formula1>
    </dataValidation>
    <dataValidation type="list" allowBlank="1" showErrorMessage="1" sqref="Z4:Z33 Z43">
      <formula1>"Buyer,Buyer_SOI,Seller,Seller_SOI,Buyer_New,Buyer_SOI_New"</formula1>
    </dataValidation>
    <dataValidation type="list" allowBlank="1" sqref="U4:U26 U40">
      <formula1>"Answerconnect,Bing,Brokersite,BTPaidAdBuyer,Cole Realty,Convertwire,Direct Mail,Facebook,Flex Sellers,Google,Google Display - Blakes Buyout line,GooglePPC,HCO,Homes.com,Homelight,Insides Sales Agent,Listing Email,Mojo,NTSMHF,OC Everyday Open House,OJO,OJO"&amp;"Pro+,Opcity,Pandora,Past Client,PropertyShark,Referral,Referral Rail,Redfin,Reverselookups,RV Everyday Open House,Sign Call,Searchcaliforniahomes.net,Socalhomebuyers,SOI,soldbyblakecory.com,Voicepad,Vulcan7,YardSign,Youtube,ZBuyer,Zillow Flex (Connection)"&amp;",Zillow Flex (Nurture),Zillow Organic,Zillow Premier,Personal"</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4" width="20.63"/>
    <col customWidth="1" min="5" max="5" width="55.5"/>
    <col customWidth="1" min="6" max="6" width="18.75"/>
  </cols>
  <sheetData>
    <row r="2">
      <c r="A2" s="430" t="s">
        <v>3394</v>
      </c>
      <c r="B2" s="430" t="s">
        <v>3230</v>
      </c>
      <c r="C2" s="430" t="s">
        <v>3395</v>
      </c>
      <c r="D2" s="430" t="s">
        <v>3396</v>
      </c>
      <c r="E2" s="430" t="s">
        <v>2544</v>
      </c>
      <c r="F2" s="431" t="s">
        <v>2567</v>
      </c>
    </row>
    <row r="3">
      <c r="A3" s="204" t="s">
        <v>256</v>
      </c>
      <c r="B3" s="49" t="s">
        <v>2702</v>
      </c>
      <c r="C3" s="204" t="s">
        <v>3397</v>
      </c>
      <c r="D3" s="432">
        <v>6500.0</v>
      </c>
      <c r="E3" s="204" t="s">
        <v>3398</v>
      </c>
      <c r="F3" s="227" t="s">
        <v>2789</v>
      </c>
    </row>
    <row r="4">
      <c r="A4" s="204" t="s">
        <v>256</v>
      </c>
      <c r="B4" s="49" t="s">
        <v>2702</v>
      </c>
      <c r="C4" s="204" t="s">
        <v>3399</v>
      </c>
      <c r="D4" s="432">
        <v>1950.0</v>
      </c>
      <c r="E4" s="204" t="s">
        <v>3400</v>
      </c>
      <c r="F4" s="227" t="s">
        <v>2789</v>
      </c>
    </row>
    <row r="5">
      <c r="A5" s="204" t="s">
        <v>256</v>
      </c>
      <c r="B5" s="49" t="s">
        <v>2702</v>
      </c>
      <c r="C5" s="204" t="s">
        <v>3401</v>
      </c>
      <c r="D5" s="432">
        <v>1546.0</v>
      </c>
      <c r="E5" s="204" t="s">
        <v>3402</v>
      </c>
      <c r="F5" s="227" t="s">
        <v>2789</v>
      </c>
    </row>
    <row r="6">
      <c r="A6" s="204" t="s">
        <v>256</v>
      </c>
      <c r="B6" s="49" t="s">
        <v>2702</v>
      </c>
      <c r="C6" s="204" t="s">
        <v>3403</v>
      </c>
      <c r="D6" s="432">
        <v>364.4</v>
      </c>
      <c r="E6" s="204"/>
      <c r="F6" s="227" t="s">
        <v>2789</v>
      </c>
    </row>
    <row r="7">
      <c r="A7" s="204" t="s">
        <v>256</v>
      </c>
      <c r="B7" s="49" t="s">
        <v>2702</v>
      </c>
      <c r="C7" s="204" t="s">
        <v>3404</v>
      </c>
      <c r="D7" s="432">
        <v>2750.0</v>
      </c>
      <c r="E7" s="204"/>
      <c r="F7" s="227" t="s">
        <v>2789</v>
      </c>
    </row>
    <row r="8">
      <c r="A8" s="204" t="s">
        <v>256</v>
      </c>
      <c r="B8" s="49" t="s">
        <v>2732</v>
      </c>
      <c r="C8" s="204" t="s">
        <v>3403</v>
      </c>
      <c r="D8" s="432">
        <v>380.0</v>
      </c>
      <c r="E8" s="204"/>
      <c r="F8" s="227" t="s">
        <v>3405</v>
      </c>
    </row>
    <row r="9">
      <c r="A9" s="204" t="s">
        <v>256</v>
      </c>
      <c r="B9" s="49" t="s">
        <v>2732</v>
      </c>
      <c r="C9" s="204" t="s">
        <v>3406</v>
      </c>
      <c r="D9" s="432">
        <v>344.1</v>
      </c>
      <c r="E9" s="204"/>
      <c r="F9" s="227" t="s">
        <v>3405</v>
      </c>
    </row>
    <row r="10">
      <c r="A10" s="204" t="s">
        <v>256</v>
      </c>
      <c r="B10" s="49" t="s">
        <v>2732</v>
      </c>
      <c r="C10" s="204" t="s">
        <v>3407</v>
      </c>
      <c r="D10" s="432">
        <v>2150.0</v>
      </c>
      <c r="E10" s="204" t="s">
        <v>3408</v>
      </c>
      <c r="F10" s="227" t="s">
        <v>3405</v>
      </c>
    </row>
    <row r="11">
      <c r="A11" s="204" t="s">
        <v>256</v>
      </c>
      <c r="B11" s="118" t="s">
        <v>2738</v>
      </c>
      <c r="C11" s="204" t="s">
        <v>3403</v>
      </c>
      <c r="D11" s="432">
        <v>380.0</v>
      </c>
      <c r="E11" s="204"/>
      <c r="F11" s="227" t="s">
        <v>3405</v>
      </c>
    </row>
    <row r="12">
      <c r="A12" s="204" t="s">
        <v>256</v>
      </c>
      <c r="B12" s="118" t="s">
        <v>2738</v>
      </c>
      <c r="C12" s="204" t="s">
        <v>3404</v>
      </c>
      <c r="D12" s="432">
        <v>2750.0</v>
      </c>
      <c r="E12" s="204"/>
      <c r="F12" s="227" t="s">
        <v>3405</v>
      </c>
    </row>
    <row r="13">
      <c r="A13" s="204" t="s">
        <v>256</v>
      </c>
      <c r="B13" s="49" t="s">
        <v>2630</v>
      </c>
      <c r="C13" s="204" t="s">
        <v>3409</v>
      </c>
      <c r="D13" s="432">
        <v>150.0</v>
      </c>
      <c r="E13" s="204"/>
      <c r="F13" s="227" t="s">
        <v>3405</v>
      </c>
    </row>
    <row r="14">
      <c r="A14" s="204" t="s">
        <v>256</v>
      </c>
      <c r="B14" s="49" t="s">
        <v>2630</v>
      </c>
      <c r="C14" s="204" t="s">
        <v>3410</v>
      </c>
      <c r="D14" s="432">
        <v>250.0</v>
      </c>
      <c r="E14" s="204"/>
      <c r="F14" s="227" t="s">
        <v>3405</v>
      </c>
    </row>
    <row r="15">
      <c r="A15" s="204" t="s">
        <v>256</v>
      </c>
      <c r="B15" s="227" t="s">
        <v>2735</v>
      </c>
      <c r="C15" s="204" t="s">
        <v>3404</v>
      </c>
      <c r="D15" s="432">
        <v>2750.0</v>
      </c>
      <c r="E15" s="204"/>
      <c r="F15" s="227" t="s">
        <v>3405</v>
      </c>
    </row>
    <row r="16">
      <c r="A16" s="204" t="s">
        <v>256</v>
      </c>
      <c r="B16" s="227" t="s">
        <v>2638</v>
      </c>
      <c r="C16" s="204" t="s">
        <v>3403</v>
      </c>
      <c r="D16" s="432">
        <v>380.0</v>
      </c>
      <c r="E16" s="204"/>
      <c r="F16" s="227" t="s">
        <v>2789</v>
      </c>
    </row>
    <row r="17">
      <c r="A17" s="204" t="s">
        <v>3411</v>
      </c>
      <c r="B17" s="227" t="s">
        <v>2651</v>
      </c>
      <c r="C17" s="204" t="s">
        <v>3412</v>
      </c>
      <c r="D17" s="432">
        <v>157.75</v>
      </c>
      <c r="E17" s="204" t="s">
        <v>3413</v>
      </c>
      <c r="F17" s="227" t="s">
        <v>3414</v>
      </c>
    </row>
    <row r="18">
      <c r="A18" s="204" t="s">
        <v>3415</v>
      </c>
      <c r="B18" s="227" t="s">
        <v>2749</v>
      </c>
      <c r="C18" s="204" t="s">
        <v>3416</v>
      </c>
      <c r="D18" s="432">
        <v>639.0</v>
      </c>
      <c r="E18" s="204" t="s">
        <v>3417</v>
      </c>
      <c r="F18" s="227" t="s">
        <v>2789</v>
      </c>
    </row>
    <row r="19">
      <c r="A19" s="204" t="s">
        <v>256</v>
      </c>
      <c r="B19" s="227" t="s">
        <v>2752</v>
      </c>
      <c r="C19" s="204" t="s">
        <v>3418</v>
      </c>
      <c r="D19" s="432">
        <v>265.0</v>
      </c>
      <c r="E19" s="204" t="s">
        <v>3419</v>
      </c>
      <c r="F19" s="227" t="s">
        <v>2789</v>
      </c>
    </row>
    <row r="20">
      <c r="A20" s="204" t="s">
        <v>3411</v>
      </c>
      <c r="B20" s="227" t="s">
        <v>2634</v>
      </c>
      <c r="C20" s="204" t="s">
        <v>3420</v>
      </c>
      <c r="D20" s="432">
        <v>500.0</v>
      </c>
      <c r="E20" s="204" t="s">
        <v>3421</v>
      </c>
      <c r="F20" s="227" t="s">
        <v>2789</v>
      </c>
    </row>
    <row r="21">
      <c r="A21" s="204" t="s">
        <v>3422</v>
      </c>
      <c r="B21" s="227" t="s">
        <v>2742</v>
      </c>
      <c r="C21" s="204" t="s">
        <v>3403</v>
      </c>
      <c r="D21" s="432">
        <v>380.0</v>
      </c>
      <c r="E21" s="204" t="s">
        <v>3423</v>
      </c>
      <c r="F21" s="227" t="s">
        <v>2789</v>
      </c>
    </row>
    <row r="22">
      <c r="A22" s="204" t="s">
        <v>3424</v>
      </c>
      <c r="B22" s="433" t="s">
        <v>2684</v>
      </c>
      <c r="C22" s="204" t="s">
        <v>3403</v>
      </c>
      <c r="D22" s="434">
        <v>300.0</v>
      </c>
      <c r="E22" s="227" t="s">
        <v>3425</v>
      </c>
      <c r="F22" s="227" t="s">
        <v>3405</v>
      </c>
      <c r="G22" s="66" t="s">
        <v>3426</v>
      </c>
    </row>
    <row r="23">
      <c r="A23" s="435" t="s">
        <v>3411</v>
      </c>
      <c r="B23" s="435" t="s">
        <v>3427</v>
      </c>
      <c r="C23" s="435" t="s">
        <v>3403</v>
      </c>
      <c r="D23" s="436">
        <v>639.0</v>
      </c>
      <c r="E23" s="437" t="s">
        <v>3428</v>
      </c>
      <c r="F23" s="437" t="s">
        <v>3429</v>
      </c>
      <c r="G23" s="438"/>
      <c r="H23" s="438"/>
      <c r="I23" s="438"/>
      <c r="J23" s="438"/>
      <c r="K23" s="438"/>
      <c r="L23" s="438"/>
      <c r="M23" s="438"/>
      <c r="N23" s="438"/>
      <c r="O23" s="438"/>
      <c r="P23" s="438"/>
      <c r="Q23" s="438"/>
      <c r="R23" s="438"/>
      <c r="S23" s="438"/>
      <c r="T23" s="438"/>
      <c r="U23" s="438"/>
      <c r="V23" s="438"/>
      <c r="W23" s="438"/>
      <c r="X23" s="438"/>
      <c r="Y23" s="438"/>
      <c r="Z23" s="438"/>
      <c r="AA23" s="438"/>
    </row>
    <row r="24">
      <c r="A24" s="439" t="s">
        <v>3422</v>
      </c>
      <c r="B24" s="440" t="s">
        <v>3430</v>
      </c>
      <c r="C24" s="439" t="s">
        <v>3431</v>
      </c>
      <c r="D24" s="441">
        <v>575.0</v>
      </c>
      <c r="E24" s="439" t="s">
        <v>3432</v>
      </c>
      <c r="F24" s="227" t="s">
        <v>3433</v>
      </c>
    </row>
    <row r="25">
      <c r="A25" s="439" t="s">
        <v>172</v>
      </c>
      <c r="B25" s="440" t="s">
        <v>3434</v>
      </c>
      <c r="C25" s="439" t="s">
        <v>3435</v>
      </c>
      <c r="D25" s="441">
        <v>925.0</v>
      </c>
      <c r="E25" s="439" t="s">
        <v>3436</v>
      </c>
      <c r="F25" s="227" t="s">
        <v>3437</v>
      </c>
    </row>
    <row r="26">
      <c r="A26" s="204" t="s">
        <v>256</v>
      </c>
      <c r="B26" s="204" t="s">
        <v>3438</v>
      </c>
      <c r="C26" s="204" t="s">
        <v>3439</v>
      </c>
      <c r="D26" s="442">
        <v>145.6</v>
      </c>
      <c r="E26" s="204"/>
      <c r="F26" s="204"/>
      <c r="G26" s="204"/>
      <c r="H26" s="204"/>
      <c r="I26" s="204"/>
      <c r="J26" s="204"/>
      <c r="K26" s="204"/>
      <c r="L26" s="204"/>
      <c r="M26" s="204"/>
      <c r="N26" s="204"/>
      <c r="O26" s="204"/>
      <c r="P26" s="204"/>
      <c r="Q26" s="204"/>
      <c r="R26" s="204"/>
      <c r="S26" s="204"/>
      <c r="T26" s="204"/>
      <c r="U26" s="204"/>
      <c r="V26" s="204"/>
      <c r="W26" s="204"/>
      <c r="X26" s="204"/>
      <c r="Y26" s="204"/>
      <c r="Z26" s="204"/>
      <c r="AA26" s="204"/>
    </row>
    <row r="27">
      <c r="A27" s="204" t="s">
        <v>103</v>
      </c>
      <c r="B27" s="204" t="s">
        <v>3440</v>
      </c>
      <c r="C27" s="204" t="s">
        <v>3441</v>
      </c>
      <c r="D27" s="204"/>
      <c r="E27" s="204" t="s">
        <v>3442</v>
      </c>
      <c r="F27" s="204"/>
      <c r="G27" s="204"/>
      <c r="H27" s="204"/>
      <c r="I27" s="204"/>
      <c r="J27" s="204"/>
      <c r="K27" s="204"/>
      <c r="L27" s="204"/>
      <c r="M27" s="204"/>
      <c r="N27" s="204"/>
      <c r="O27" s="204"/>
      <c r="P27" s="204"/>
      <c r="Q27" s="204"/>
      <c r="R27" s="204"/>
      <c r="S27" s="204"/>
      <c r="T27" s="204"/>
      <c r="U27" s="204"/>
      <c r="V27" s="204"/>
      <c r="W27" s="204"/>
      <c r="X27" s="204"/>
      <c r="Y27" s="204"/>
      <c r="Z27" s="204"/>
      <c r="AA27" s="204"/>
    </row>
    <row r="28">
      <c r="A28" s="204" t="s">
        <v>52</v>
      </c>
      <c r="B28" s="443" t="s">
        <v>147</v>
      </c>
      <c r="C28" s="204" t="s">
        <v>3403</v>
      </c>
      <c r="D28" s="442">
        <v>380.0</v>
      </c>
      <c r="E28" s="204"/>
      <c r="F28" s="204"/>
      <c r="G28" s="204"/>
      <c r="H28" s="204"/>
      <c r="I28" s="204"/>
      <c r="J28" s="204"/>
      <c r="K28" s="204"/>
      <c r="L28" s="204"/>
      <c r="M28" s="204"/>
      <c r="N28" s="204"/>
      <c r="O28" s="204"/>
      <c r="P28" s="204"/>
      <c r="Q28" s="204"/>
      <c r="R28" s="204"/>
      <c r="S28" s="204"/>
      <c r="T28" s="204"/>
      <c r="U28" s="204"/>
      <c r="V28" s="204"/>
      <c r="W28" s="204"/>
      <c r="X28" s="204"/>
      <c r="Y28" s="204"/>
      <c r="Z28" s="204"/>
      <c r="AA28" s="204"/>
    </row>
    <row r="29">
      <c r="A29" s="204" t="s">
        <v>52</v>
      </c>
      <c r="B29" s="443" t="s">
        <v>3443</v>
      </c>
      <c r="C29" s="204" t="s">
        <v>3403</v>
      </c>
      <c r="D29" s="442">
        <v>380.0</v>
      </c>
      <c r="E29" s="204"/>
      <c r="F29" s="204"/>
      <c r="G29" s="204"/>
      <c r="H29" s="204"/>
      <c r="I29" s="204"/>
      <c r="J29" s="204"/>
      <c r="K29" s="204"/>
      <c r="L29" s="204"/>
      <c r="M29" s="204"/>
      <c r="N29" s="204"/>
      <c r="O29" s="204"/>
      <c r="P29" s="204"/>
      <c r="Q29" s="204"/>
      <c r="R29" s="204"/>
      <c r="S29" s="204"/>
      <c r="T29" s="204"/>
      <c r="U29" s="204"/>
      <c r="V29" s="204"/>
      <c r="W29" s="204"/>
      <c r="X29" s="204"/>
      <c r="Y29" s="204"/>
      <c r="Z29" s="204"/>
      <c r="AA29" s="204"/>
    </row>
    <row r="30">
      <c r="A30" s="204" t="s">
        <v>256</v>
      </c>
      <c r="B30" s="204" t="s">
        <v>2027</v>
      </c>
      <c r="C30" s="204" t="s">
        <v>3444</v>
      </c>
      <c r="D30" s="442">
        <v>3214.0</v>
      </c>
      <c r="E30" s="204" t="s">
        <v>3445</v>
      </c>
      <c r="F30" s="204" t="s">
        <v>3446</v>
      </c>
      <c r="G30" s="204"/>
      <c r="H30" s="204"/>
      <c r="I30" s="204"/>
      <c r="J30" s="204"/>
      <c r="K30" s="204"/>
      <c r="L30" s="204"/>
      <c r="M30" s="204"/>
      <c r="N30" s="204"/>
      <c r="O30" s="204"/>
      <c r="P30" s="204"/>
      <c r="Q30" s="204"/>
      <c r="R30" s="204"/>
      <c r="S30" s="204"/>
      <c r="T30" s="204"/>
      <c r="U30" s="204"/>
      <c r="V30" s="204"/>
      <c r="W30" s="204"/>
      <c r="X30" s="204"/>
      <c r="Y30" s="204"/>
      <c r="Z30" s="204"/>
      <c r="AA30" s="204"/>
    </row>
    <row r="31">
      <c r="A31" s="66" t="s">
        <v>256</v>
      </c>
      <c r="B31" s="66" t="s">
        <v>3447</v>
      </c>
      <c r="C31" s="66" t="s">
        <v>3448</v>
      </c>
      <c r="D31" s="66">
        <v>4500.0</v>
      </c>
      <c r="E31" s="66" t="s">
        <v>3449</v>
      </c>
    </row>
    <row r="36">
      <c r="A36" s="66" t="s">
        <v>3450</v>
      </c>
    </row>
    <row r="37">
      <c r="A37" s="430" t="s">
        <v>3394</v>
      </c>
      <c r="B37" s="430" t="s">
        <v>3230</v>
      </c>
      <c r="C37" s="430" t="s">
        <v>3395</v>
      </c>
      <c r="D37" s="430" t="s">
        <v>3396</v>
      </c>
      <c r="E37" s="430" t="s">
        <v>2544</v>
      </c>
      <c r="F37" s="431" t="s">
        <v>2567</v>
      </c>
    </row>
    <row r="38">
      <c r="A38" s="204" t="s">
        <v>3422</v>
      </c>
      <c r="B38" s="204" t="s">
        <v>2011</v>
      </c>
      <c r="C38" s="204" t="s">
        <v>3451</v>
      </c>
      <c r="D38" s="442">
        <v>619.0</v>
      </c>
      <c r="E38" s="204" t="s">
        <v>3452</v>
      </c>
      <c r="F38" s="227" t="s">
        <v>3453</v>
      </c>
      <c r="G38" s="204"/>
      <c r="H38" s="204"/>
      <c r="I38" s="204"/>
      <c r="J38" s="204"/>
      <c r="K38" s="204"/>
      <c r="L38" s="204"/>
      <c r="M38" s="204"/>
      <c r="N38" s="204"/>
      <c r="O38" s="204"/>
      <c r="P38" s="204"/>
      <c r="Q38" s="204"/>
      <c r="R38" s="204"/>
      <c r="S38" s="204"/>
      <c r="T38" s="204"/>
      <c r="U38" s="204"/>
      <c r="V38" s="204"/>
      <c r="W38" s="204"/>
      <c r="X38" s="204"/>
      <c r="Y38" s="204"/>
      <c r="Z38" s="204"/>
      <c r="AA38" s="204"/>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1.25"/>
    <col customWidth="1" min="3" max="3" width="13.13"/>
    <col customWidth="1" min="4" max="4" width="15.38"/>
    <col customWidth="1" min="8" max="8" width="13.13"/>
    <col customWidth="1" min="9" max="9" width="13.0"/>
    <col customWidth="1" min="14" max="14" width="15.0"/>
    <col customWidth="1" min="19" max="19" width="15.88"/>
  </cols>
  <sheetData>
    <row r="1">
      <c r="A1" s="444" t="s">
        <v>3394</v>
      </c>
      <c r="B1" s="445" t="s">
        <v>167</v>
      </c>
      <c r="C1" s="446" t="s">
        <v>3454</v>
      </c>
      <c r="D1" s="446" t="s">
        <v>3455</v>
      </c>
      <c r="E1" s="446" t="s">
        <v>3456</v>
      </c>
      <c r="F1" s="447" t="s">
        <v>3457</v>
      </c>
      <c r="G1" s="447" t="s">
        <v>3458</v>
      </c>
      <c r="H1" s="446" t="s">
        <v>3459</v>
      </c>
      <c r="I1" s="446" t="s">
        <v>3460</v>
      </c>
      <c r="J1" s="448" t="s">
        <v>3461</v>
      </c>
      <c r="K1" s="447" t="s">
        <v>3462</v>
      </c>
      <c r="L1" s="447" t="s">
        <v>3463</v>
      </c>
      <c r="M1" s="447" t="s">
        <v>3464</v>
      </c>
      <c r="N1" s="447" t="s">
        <v>3465</v>
      </c>
      <c r="O1" s="446" t="s">
        <v>3466</v>
      </c>
      <c r="P1" s="446" t="s">
        <v>3467</v>
      </c>
      <c r="Q1" s="446" t="s">
        <v>3468</v>
      </c>
      <c r="R1" s="446" t="s">
        <v>3469</v>
      </c>
      <c r="S1" s="449" t="s">
        <v>3470</v>
      </c>
      <c r="T1" s="37" t="s">
        <v>3471</v>
      </c>
      <c r="U1" s="450" t="s">
        <v>3472</v>
      </c>
      <c r="V1" s="37" t="s">
        <v>3473</v>
      </c>
      <c r="W1" s="57"/>
      <c r="X1" s="57"/>
      <c r="Y1" s="57"/>
      <c r="Z1" s="57"/>
      <c r="AA1" s="57"/>
      <c r="AB1" s="57"/>
      <c r="AC1" s="57"/>
      <c r="AD1" s="57"/>
      <c r="AE1" s="57"/>
      <c r="AF1" s="57"/>
      <c r="AG1" s="57"/>
    </row>
    <row r="2">
      <c r="A2" s="451" t="s">
        <v>159</v>
      </c>
      <c r="B2" s="452">
        <v>0.9</v>
      </c>
      <c r="C2" s="453">
        <v>45922.0</v>
      </c>
      <c r="D2" s="454">
        <v>45931.0</v>
      </c>
      <c r="E2" s="455">
        <v>45931.0</v>
      </c>
      <c r="F2" s="456">
        <v>42441.0</v>
      </c>
      <c r="G2" s="455">
        <f t="shared" ref="G2:G43" si="1">edate(E2,12)</f>
        <v>46296</v>
      </c>
      <c r="H2" s="453"/>
      <c r="I2" s="453"/>
      <c r="J2" s="451"/>
      <c r="K2" s="451"/>
      <c r="L2" s="451" t="s">
        <v>73</v>
      </c>
      <c r="M2" s="455">
        <v>45887.0</v>
      </c>
      <c r="N2" s="457" t="s">
        <v>3474</v>
      </c>
      <c r="O2" s="451"/>
      <c r="P2" s="458">
        <v>46029.0</v>
      </c>
      <c r="Q2" s="457" t="s">
        <v>3475</v>
      </c>
      <c r="R2" s="455"/>
      <c r="S2" s="57"/>
      <c r="T2" s="57"/>
      <c r="U2" s="459"/>
      <c r="V2" s="57"/>
      <c r="W2" s="57"/>
      <c r="X2" s="57"/>
      <c r="Y2" s="57"/>
      <c r="Z2" s="57"/>
      <c r="AA2" s="57"/>
      <c r="AB2" s="57"/>
      <c r="AC2" s="57"/>
      <c r="AD2" s="57"/>
      <c r="AE2" s="57"/>
      <c r="AF2" s="57"/>
      <c r="AG2" s="57"/>
    </row>
    <row r="3">
      <c r="A3" s="451" t="s">
        <v>149</v>
      </c>
      <c r="B3" s="452">
        <v>0.9</v>
      </c>
      <c r="C3" s="453">
        <v>45916.0</v>
      </c>
      <c r="D3" s="453">
        <v>45916.0</v>
      </c>
      <c r="E3" s="455">
        <v>45931.0</v>
      </c>
      <c r="F3" s="456">
        <v>42926.0</v>
      </c>
      <c r="G3" s="455">
        <f t="shared" si="1"/>
        <v>46296</v>
      </c>
      <c r="H3" s="453"/>
      <c r="I3" s="453"/>
      <c r="J3" s="451"/>
      <c r="K3" s="451"/>
      <c r="L3" s="451" t="s">
        <v>256</v>
      </c>
      <c r="M3" s="451" t="s">
        <v>680</v>
      </c>
      <c r="N3" s="457" t="s">
        <v>3474</v>
      </c>
      <c r="O3" s="451"/>
      <c r="P3" s="455"/>
      <c r="Q3" s="457" t="s">
        <v>3475</v>
      </c>
      <c r="R3" s="455"/>
      <c r="S3" s="57"/>
      <c r="T3" s="57"/>
      <c r="U3" s="460" t="s">
        <v>3476</v>
      </c>
      <c r="V3" s="57"/>
      <c r="W3" s="57"/>
      <c r="X3" s="57"/>
      <c r="Y3" s="57"/>
      <c r="Z3" s="57"/>
      <c r="AA3" s="57"/>
      <c r="AB3" s="57"/>
      <c r="AC3" s="57"/>
      <c r="AD3" s="57"/>
      <c r="AE3" s="57"/>
      <c r="AF3" s="57"/>
      <c r="AG3" s="57"/>
    </row>
    <row r="4">
      <c r="A4" s="451" t="s">
        <v>812</v>
      </c>
      <c r="B4" s="452">
        <v>0.9</v>
      </c>
      <c r="C4" s="453">
        <v>45916.0</v>
      </c>
      <c r="D4" s="453">
        <v>45917.0</v>
      </c>
      <c r="E4" s="455">
        <v>45931.0</v>
      </c>
      <c r="F4" s="456">
        <v>43529.0</v>
      </c>
      <c r="G4" s="455">
        <f t="shared" si="1"/>
        <v>46296</v>
      </c>
      <c r="H4" s="453"/>
      <c r="I4" s="453"/>
      <c r="J4" s="461">
        <v>2020.0</v>
      </c>
      <c r="K4" s="451"/>
      <c r="L4" s="451" t="s">
        <v>52</v>
      </c>
      <c r="M4" s="451" t="s">
        <v>680</v>
      </c>
      <c r="N4" s="457" t="s">
        <v>3474</v>
      </c>
      <c r="O4" s="451"/>
      <c r="P4" s="455"/>
      <c r="Q4" s="457" t="s">
        <v>3475</v>
      </c>
      <c r="R4" s="455"/>
      <c r="S4" s="57"/>
      <c r="T4" s="57"/>
      <c r="U4" s="460" t="s">
        <v>3476</v>
      </c>
      <c r="V4" s="57"/>
      <c r="W4" s="57"/>
      <c r="X4" s="57"/>
      <c r="Y4" s="57"/>
      <c r="Z4" s="57"/>
      <c r="AA4" s="57"/>
      <c r="AB4" s="57"/>
      <c r="AC4" s="57"/>
      <c r="AD4" s="57"/>
      <c r="AE4" s="57"/>
      <c r="AF4" s="57"/>
      <c r="AG4" s="57"/>
    </row>
    <row r="5">
      <c r="A5" s="451" t="s">
        <v>214</v>
      </c>
      <c r="B5" s="452">
        <v>0.8</v>
      </c>
      <c r="C5" s="453">
        <v>45911.0</v>
      </c>
      <c r="D5" s="453">
        <v>45912.0</v>
      </c>
      <c r="E5" s="455">
        <v>45931.0</v>
      </c>
      <c r="F5" s="456">
        <v>44593.0</v>
      </c>
      <c r="G5" s="455">
        <f t="shared" si="1"/>
        <v>46296</v>
      </c>
      <c r="H5" s="453"/>
      <c r="I5" s="453"/>
      <c r="J5" s="461">
        <v>3080.0</v>
      </c>
      <c r="K5" s="451"/>
      <c r="L5" s="451" t="s">
        <v>172</v>
      </c>
      <c r="M5" s="455">
        <v>45813.0</v>
      </c>
      <c r="N5" s="457" t="s">
        <v>3474</v>
      </c>
      <c r="O5" s="451"/>
      <c r="P5" s="455"/>
      <c r="Q5" s="457" t="s">
        <v>3475</v>
      </c>
      <c r="R5" s="455"/>
      <c r="S5" s="57"/>
      <c r="T5" s="57"/>
      <c r="U5" s="37" t="s">
        <v>3474</v>
      </c>
      <c r="V5" s="57"/>
      <c r="W5" s="57"/>
      <c r="X5" s="57"/>
      <c r="Y5" s="57"/>
      <c r="Z5" s="57"/>
      <c r="AA5" s="57"/>
      <c r="AB5" s="57"/>
      <c r="AC5" s="57"/>
      <c r="AD5" s="57"/>
      <c r="AE5" s="57"/>
      <c r="AF5" s="57"/>
      <c r="AG5" s="57"/>
    </row>
    <row r="6">
      <c r="A6" s="451" t="s">
        <v>399</v>
      </c>
      <c r="B6" s="452">
        <v>0.8</v>
      </c>
      <c r="C6" s="453">
        <v>45910.0</v>
      </c>
      <c r="D6" s="453">
        <v>45918.0</v>
      </c>
      <c r="E6" s="455">
        <v>45931.0</v>
      </c>
      <c r="F6" s="456">
        <v>43549.0</v>
      </c>
      <c r="G6" s="455">
        <f t="shared" si="1"/>
        <v>46296</v>
      </c>
      <c r="H6" s="453"/>
      <c r="I6" s="453"/>
      <c r="J6" s="461">
        <v>5710.2</v>
      </c>
      <c r="K6" s="451"/>
      <c r="L6" s="451" t="s">
        <v>73</v>
      </c>
      <c r="M6" s="451" t="s">
        <v>680</v>
      </c>
      <c r="N6" s="457" t="s">
        <v>3474</v>
      </c>
      <c r="O6" s="451"/>
      <c r="P6" s="458">
        <v>46087.0</v>
      </c>
      <c r="Q6" s="457" t="s">
        <v>3475</v>
      </c>
      <c r="R6" s="455"/>
      <c r="S6" s="34">
        <v>450.0</v>
      </c>
      <c r="T6" s="37"/>
      <c r="U6" s="37" t="s">
        <v>3474</v>
      </c>
      <c r="V6" s="54" t="s">
        <v>3477</v>
      </c>
      <c r="W6" s="57"/>
      <c r="X6" s="57"/>
      <c r="Y6" s="57"/>
      <c r="Z6" s="57"/>
      <c r="AA6" s="57"/>
      <c r="AB6" s="57"/>
      <c r="AC6" s="57"/>
      <c r="AD6" s="57"/>
      <c r="AE6" s="57"/>
      <c r="AF6" s="57"/>
      <c r="AG6" s="57"/>
    </row>
    <row r="7">
      <c r="A7" s="451" t="s">
        <v>139</v>
      </c>
      <c r="B7" s="452">
        <v>0.8</v>
      </c>
      <c r="C7" s="453">
        <v>45910.0</v>
      </c>
      <c r="D7" s="453">
        <v>45922.0</v>
      </c>
      <c r="E7" s="455">
        <v>45931.0</v>
      </c>
      <c r="F7" s="456">
        <v>43808.0</v>
      </c>
      <c r="G7" s="455">
        <f t="shared" si="1"/>
        <v>46296</v>
      </c>
      <c r="H7" s="453"/>
      <c r="I7" s="453"/>
      <c r="J7" s="461">
        <v>1800.0</v>
      </c>
      <c r="K7" s="451"/>
      <c r="L7" s="451" t="s">
        <v>73</v>
      </c>
      <c r="M7" s="451" t="s">
        <v>680</v>
      </c>
      <c r="N7" s="457" t="s">
        <v>3474</v>
      </c>
      <c r="O7" s="451"/>
      <c r="P7" s="458">
        <v>46140.0</v>
      </c>
      <c r="Q7" s="457" t="s">
        <v>3475</v>
      </c>
      <c r="R7" s="455"/>
      <c r="S7" s="57"/>
      <c r="T7" s="57"/>
      <c r="U7" s="37" t="s">
        <v>3474</v>
      </c>
      <c r="V7" s="57"/>
      <c r="W7" s="57"/>
      <c r="X7" s="57"/>
      <c r="Y7" s="57"/>
      <c r="Z7" s="57"/>
      <c r="AA7" s="57"/>
      <c r="AB7" s="57"/>
      <c r="AC7" s="57"/>
      <c r="AD7" s="57"/>
      <c r="AE7" s="57"/>
      <c r="AF7" s="57"/>
      <c r="AG7" s="57"/>
    </row>
    <row r="8">
      <c r="A8" s="451" t="s">
        <v>3478</v>
      </c>
      <c r="B8" s="452">
        <v>0.9</v>
      </c>
      <c r="C8" s="453">
        <v>45916.0</v>
      </c>
      <c r="D8" s="454">
        <v>45932.0</v>
      </c>
      <c r="E8" s="455">
        <v>45931.0</v>
      </c>
      <c r="F8" s="462">
        <v>44004.0</v>
      </c>
      <c r="G8" s="455">
        <f t="shared" si="1"/>
        <v>46296</v>
      </c>
      <c r="H8" s="453"/>
      <c r="I8" s="453"/>
      <c r="J8" s="451"/>
      <c r="K8" s="451"/>
      <c r="L8" s="451" t="s">
        <v>256</v>
      </c>
      <c r="M8" s="451" t="s">
        <v>680</v>
      </c>
      <c r="N8" s="457" t="s">
        <v>3474</v>
      </c>
      <c r="O8" s="451"/>
      <c r="P8" s="455"/>
      <c r="Q8" s="457" t="s">
        <v>3475</v>
      </c>
      <c r="R8" s="455"/>
      <c r="S8" s="57"/>
      <c r="T8" s="57"/>
      <c r="U8" s="460" t="s">
        <v>3476</v>
      </c>
      <c r="V8" s="57"/>
      <c r="W8" s="57"/>
      <c r="X8" s="57"/>
      <c r="Y8" s="57"/>
      <c r="Z8" s="57"/>
      <c r="AA8" s="57"/>
      <c r="AB8" s="57"/>
      <c r="AC8" s="57"/>
      <c r="AD8" s="57"/>
      <c r="AE8" s="57"/>
      <c r="AF8" s="57"/>
      <c r="AG8" s="57"/>
    </row>
    <row r="9">
      <c r="A9" s="451" t="s">
        <v>184</v>
      </c>
      <c r="B9" s="452">
        <v>0.9</v>
      </c>
      <c r="C9" s="453">
        <v>45910.0</v>
      </c>
      <c r="D9" s="453">
        <v>45915.0</v>
      </c>
      <c r="E9" s="455">
        <v>45931.0</v>
      </c>
      <c r="F9" s="456">
        <v>44026.0</v>
      </c>
      <c r="G9" s="455">
        <f t="shared" si="1"/>
        <v>46296</v>
      </c>
      <c r="H9" s="453"/>
      <c r="I9" s="453"/>
      <c r="J9" s="463">
        <v>20000.0</v>
      </c>
      <c r="K9" s="451"/>
      <c r="L9" s="451" t="s">
        <v>73</v>
      </c>
      <c r="M9" s="451" t="s">
        <v>680</v>
      </c>
      <c r="N9" s="457" t="s">
        <v>3474</v>
      </c>
      <c r="O9" s="451"/>
      <c r="P9" s="455"/>
      <c r="Q9" s="457" t="s">
        <v>3475</v>
      </c>
      <c r="R9" s="455"/>
      <c r="S9" s="57"/>
      <c r="T9" s="57"/>
      <c r="U9" s="37" t="s">
        <v>3474</v>
      </c>
      <c r="V9" s="57"/>
      <c r="W9" s="57"/>
      <c r="X9" s="57"/>
      <c r="Y9" s="57"/>
      <c r="Z9" s="57"/>
      <c r="AA9" s="57"/>
      <c r="AB9" s="57"/>
      <c r="AC9" s="57"/>
      <c r="AD9" s="57"/>
      <c r="AE9" s="57"/>
      <c r="AF9" s="57"/>
      <c r="AG9" s="57"/>
    </row>
    <row r="10">
      <c r="A10" s="451" t="s">
        <v>3479</v>
      </c>
      <c r="B10" s="452">
        <v>0.8</v>
      </c>
      <c r="C10" s="453">
        <v>45916.0</v>
      </c>
      <c r="D10" s="453">
        <v>45918.0</v>
      </c>
      <c r="E10" s="455">
        <v>45931.0</v>
      </c>
      <c r="F10" s="462">
        <v>44032.0</v>
      </c>
      <c r="G10" s="455">
        <f t="shared" si="1"/>
        <v>46296</v>
      </c>
      <c r="H10" s="453"/>
      <c r="I10" s="453"/>
      <c r="J10" s="451"/>
      <c r="K10" s="451"/>
      <c r="L10" s="451" t="s">
        <v>52</v>
      </c>
      <c r="M10" s="451" t="s">
        <v>680</v>
      </c>
      <c r="N10" s="457" t="s">
        <v>3474</v>
      </c>
      <c r="O10" s="451"/>
      <c r="P10" s="455"/>
      <c r="Q10" s="457" t="s">
        <v>3475</v>
      </c>
      <c r="R10" s="455"/>
      <c r="S10" s="57"/>
      <c r="T10" s="57"/>
      <c r="U10" s="460" t="s">
        <v>3476</v>
      </c>
      <c r="V10" s="57"/>
      <c r="W10" s="57"/>
      <c r="X10" s="57"/>
      <c r="Y10" s="57"/>
      <c r="Z10" s="57"/>
      <c r="AA10" s="57"/>
      <c r="AB10" s="57"/>
      <c r="AC10" s="57"/>
      <c r="AD10" s="57"/>
      <c r="AE10" s="57"/>
      <c r="AF10" s="57"/>
      <c r="AG10" s="57"/>
    </row>
    <row r="11">
      <c r="A11" s="451" t="s">
        <v>3480</v>
      </c>
      <c r="B11" s="452">
        <v>0.9</v>
      </c>
      <c r="C11" s="453">
        <v>45916.0</v>
      </c>
      <c r="D11" s="454">
        <v>45930.0</v>
      </c>
      <c r="E11" s="455">
        <v>45931.0</v>
      </c>
      <c r="F11" s="456">
        <v>44067.0</v>
      </c>
      <c r="G11" s="455">
        <f t="shared" si="1"/>
        <v>46296</v>
      </c>
      <c r="H11" s="453"/>
      <c r="I11" s="453"/>
      <c r="J11" s="451"/>
      <c r="K11" s="451"/>
      <c r="L11" s="451" t="s">
        <v>256</v>
      </c>
      <c r="M11" s="451" t="s">
        <v>680</v>
      </c>
      <c r="N11" s="457" t="s">
        <v>3474</v>
      </c>
      <c r="O11" s="451"/>
      <c r="P11" s="455"/>
      <c r="Q11" s="457" t="s">
        <v>3475</v>
      </c>
      <c r="R11" s="455"/>
      <c r="S11" s="57"/>
      <c r="T11" s="57"/>
      <c r="U11" s="460" t="s">
        <v>3476</v>
      </c>
      <c r="V11" s="57"/>
      <c r="W11" s="57"/>
      <c r="X11" s="57"/>
      <c r="Y11" s="57"/>
      <c r="Z11" s="57"/>
      <c r="AA11" s="57"/>
      <c r="AB11" s="57"/>
      <c r="AC11" s="57"/>
      <c r="AD11" s="57"/>
      <c r="AE11" s="57"/>
      <c r="AF11" s="57"/>
      <c r="AG11" s="57"/>
    </row>
    <row r="12">
      <c r="A12" s="451" t="s">
        <v>376</v>
      </c>
      <c r="B12" s="452">
        <v>0.8</v>
      </c>
      <c r="C12" s="453">
        <v>45916.0</v>
      </c>
      <c r="D12" s="453">
        <v>45918.0</v>
      </c>
      <c r="E12" s="455">
        <v>45931.0</v>
      </c>
      <c r="F12" s="456">
        <v>44417.0</v>
      </c>
      <c r="G12" s="455">
        <f t="shared" si="1"/>
        <v>46296</v>
      </c>
      <c r="H12" s="453"/>
      <c r="I12" s="453"/>
      <c r="J12" s="461">
        <v>2540.0</v>
      </c>
      <c r="K12" s="451"/>
      <c r="L12" s="451" t="s">
        <v>52</v>
      </c>
      <c r="M12" s="451" t="s">
        <v>680</v>
      </c>
      <c r="N12" s="457" t="s">
        <v>3474</v>
      </c>
      <c r="O12" s="451"/>
      <c r="P12" s="455"/>
      <c r="Q12" s="457" t="s">
        <v>3475</v>
      </c>
      <c r="R12" s="455"/>
      <c r="S12" s="57"/>
      <c r="T12" s="57"/>
      <c r="U12" s="460" t="s">
        <v>3476</v>
      </c>
      <c r="V12" s="57"/>
      <c r="W12" s="57"/>
      <c r="X12" s="57"/>
      <c r="Y12" s="57"/>
      <c r="Z12" s="57"/>
      <c r="AA12" s="57"/>
      <c r="AB12" s="57"/>
      <c r="AC12" s="57"/>
      <c r="AD12" s="57"/>
      <c r="AE12" s="57"/>
      <c r="AF12" s="57"/>
      <c r="AG12" s="57"/>
    </row>
    <row r="13">
      <c r="A13" s="451" t="s">
        <v>641</v>
      </c>
      <c r="B13" s="452">
        <v>0.9</v>
      </c>
      <c r="C13" s="453">
        <v>45910.0</v>
      </c>
      <c r="D13" s="453">
        <v>45915.0</v>
      </c>
      <c r="E13" s="455">
        <v>45931.0</v>
      </c>
      <c r="F13" s="456">
        <v>44459.0</v>
      </c>
      <c r="G13" s="455">
        <f t="shared" si="1"/>
        <v>46296</v>
      </c>
      <c r="H13" s="453"/>
      <c r="I13" s="453"/>
      <c r="J13" s="463">
        <v>6982.97</v>
      </c>
      <c r="K13" s="451"/>
      <c r="L13" s="451" t="s">
        <v>73</v>
      </c>
      <c r="M13" s="451" t="s">
        <v>680</v>
      </c>
      <c r="N13" s="457" t="s">
        <v>3474</v>
      </c>
      <c r="O13" s="451"/>
      <c r="P13" s="458">
        <v>46077.0</v>
      </c>
      <c r="Q13" s="457" t="s">
        <v>3475</v>
      </c>
      <c r="R13" s="455"/>
      <c r="S13" s="57"/>
      <c r="T13" s="57"/>
      <c r="U13" s="460" t="s">
        <v>3476</v>
      </c>
      <c r="V13" s="57"/>
      <c r="W13" s="57"/>
      <c r="X13" s="57"/>
      <c r="Y13" s="57"/>
      <c r="Z13" s="57"/>
      <c r="AA13" s="57"/>
      <c r="AB13" s="57"/>
      <c r="AC13" s="57"/>
      <c r="AD13" s="57"/>
      <c r="AE13" s="57"/>
      <c r="AF13" s="57"/>
      <c r="AG13" s="57"/>
    </row>
    <row r="14">
      <c r="A14" s="451" t="s">
        <v>646</v>
      </c>
      <c r="B14" s="452">
        <v>0.8</v>
      </c>
      <c r="C14" s="453">
        <v>45910.0</v>
      </c>
      <c r="D14" s="453">
        <v>45916.0</v>
      </c>
      <c r="E14" s="455">
        <v>45931.0</v>
      </c>
      <c r="F14" s="456">
        <v>44603.0</v>
      </c>
      <c r="G14" s="455">
        <f t="shared" si="1"/>
        <v>46296</v>
      </c>
      <c r="H14" s="453"/>
      <c r="I14" s="453"/>
      <c r="J14" s="461">
        <v>6708.75</v>
      </c>
      <c r="K14" s="451"/>
      <c r="L14" s="451" t="s">
        <v>73</v>
      </c>
      <c r="M14" s="451" t="s">
        <v>680</v>
      </c>
      <c r="N14" s="457" t="s">
        <v>3474</v>
      </c>
      <c r="O14" s="451"/>
      <c r="P14" s="458">
        <v>46064.0</v>
      </c>
      <c r="Q14" s="457" t="s">
        <v>3475</v>
      </c>
      <c r="R14" s="455"/>
      <c r="S14" s="57"/>
      <c r="T14" s="57"/>
      <c r="U14" s="37" t="s">
        <v>3474</v>
      </c>
      <c r="V14" s="57"/>
      <c r="W14" s="57"/>
      <c r="X14" s="57"/>
      <c r="Y14" s="57"/>
      <c r="Z14" s="57"/>
      <c r="AA14" s="57"/>
      <c r="AB14" s="57"/>
      <c r="AC14" s="57"/>
      <c r="AD14" s="57"/>
      <c r="AE14" s="57"/>
      <c r="AF14" s="57"/>
      <c r="AG14" s="57"/>
    </row>
    <row r="15">
      <c r="A15" s="451" t="s">
        <v>288</v>
      </c>
      <c r="B15" s="452">
        <v>0.8</v>
      </c>
      <c r="C15" s="453">
        <v>45910.0</v>
      </c>
      <c r="D15" s="453">
        <v>45910.0</v>
      </c>
      <c r="E15" s="455">
        <v>45931.0</v>
      </c>
      <c r="F15" s="456">
        <v>44795.0</v>
      </c>
      <c r="G15" s="455">
        <f t="shared" si="1"/>
        <v>46296</v>
      </c>
      <c r="H15" s="453"/>
      <c r="I15" s="453"/>
      <c r="J15" s="463">
        <v>240.0</v>
      </c>
      <c r="K15" s="451"/>
      <c r="L15" s="451" t="s">
        <v>73</v>
      </c>
      <c r="M15" s="451" t="s">
        <v>680</v>
      </c>
      <c r="N15" s="457" t="s">
        <v>3474</v>
      </c>
      <c r="O15" s="451"/>
      <c r="P15" s="455"/>
      <c r="Q15" s="457" t="s">
        <v>3475</v>
      </c>
      <c r="R15" s="455"/>
      <c r="S15" s="57"/>
      <c r="T15" s="57"/>
      <c r="U15" s="459"/>
      <c r="V15" s="57"/>
      <c r="W15" s="57"/>
      <c r="X15" s="57"/>
      <c r="Y15" s="57"/>
      <c r="Z15" s="57"/>
      <c r="AA15" s="57"/>
      <c r="AB15" s="57"/>
      <c r="AC15" s="57"/>
      <c r="AD15" s="57"/>
      <c r="AE15" s="57"/>
      <c r="AF15" s="57"/>
      <c r="AG15" s="57"/>
    </row>
    <row r="16">
      <c r="A16" s="451" t="s">
        <v>3321</v>
      </c>
      <c r="B16" s="452">
        <v>0.7</v>
      </c>
      <c r="C16" s="453">
        <v>45918.0</v>
      </c>
      <c r="D16" s="453">
        <v>45919.0</v>
      </c>
      <c r="E16" s="455">
        <v>45931.0</v>
      </c>
      <c r="F16" s="456">
        <v>44823.0</v>
      </c>
      <c r="G16" s="455">
        <f t="shared" si="1"/>
        <v>46296</v>
      </c>
      <c r="H16" s="453"/>
      <c r="I16" s="453"/>
      <c r="J16" s="451"/>
      <c r="K16" s="451"/>
      <c r="L16" s="451" t="s">
        <v>172</v>
      </c>
      <c r="M16" s="455">
        <v>45887.0</v>
      </c>
      <c r="N16" s="457" t="s">
        <v>3474</v>
      </c>
      <c r="O16" s="451"/>
      <c r="P16" s="455"/>
      <c r="Q16" s="457" t="s">
        <v>3475</v>
      </c>
      <c r="R16" s="455"/>
      <c r="S16" s="57"/>
      <c r="T16" s="57"/>
      <c r="U16" s="37" t="s">
        <v>3474</v>
      </c>
      <c r="V16" s="57"/>
      <c r="W16" s="57"/>
      <c r="X16" s="57"/>
      <c r="Y16" s="57"/>
      <c r="Z16" s="57"/>
      <c r="AA16" s="57"/>
      <c r="AB16" s="57"/>
      <c r="AC16" s="57"/>
      <c r="AD16" s="57"/>
      <c r="AE16" s="57"/>
      <c r="AF16" s="57"/>
      <c r="AG16" s="57"/>
    </row>
    <row r="17">
      <c r="A17" s="451" t="s">
        <v>840</v>
      </c>
      <c r="B17" s="452">
        <v>0.7</v>
      </c>
      <c r="C17" s="453">
        <v>45910.0</v>
      </c>
      <c r="D17" s="453">
        <v>45910.0</v>
      </c>
      <c r="E17" s="455">
        <v>45931.0</v>
      </c>
      <c r="F17" s="462">
        <v>45125.0</v>
      </c>
      <c r="G17" s="455">
        <f t="shared" si="1"/>
        <v>46296</v>
      </c>
      <c r="H17" s="453"/>
      <c r="I17" s="453"/>
      <c r="J17" s="461">
        <v>11121.75</v>
      </c>
      <c r="K17" s="451"/>
      <c r="L17" s="451" t="s">
        <v>3481</v>
      </c>
      <c r="M17" s="455">
        <v>45888.0</v>
      </c>
      <c r="N17" s="457" t="s">
        <v>3474</v>
      </c>
      <c r="O17" s="451"/>
      <c r="P17" s="455"/>
      <c r="Q17" s="457" t="s">
        <v>3475</v>
      </c>
      <c r="R17" s="455"/>
      <c r="S17" s="57"/>
      <c r="T17" s="57"/>
      <c r="U17" s="37" t="s">
        <v>3474</v>
      </c>
      <c r="V17" s="57"/>
      <c r="W17" s="57"/>
      <c r="X17" s="57"/>
      <c r="Y17" s="57"/>
      <c r="Z17" s="57"/>
      <c r="AA17" s="57"/>
      <c r="AB17" s="57"/>
      <c r="AC17" s="57"/>
      <c r="AD17" s="57"/>
      <c r="AE17" s="57"/>
      <c r="AF17" s="57"/>
      <c r="AG17" s="57"/>
    </row>
    <row r="18">
      <c r="A18" s="451" t="s">
        <v>3482</v>
      </c>
      <c r="B18" s="452">
        <v>0.7</v>
      </c>
      <c r="C18" s="453">
        <v>45910.0</v>
      </c>
      <c r="D18" s="453">
        <v>45911.0</v>
      </c>
      <c r="E18" s="455">
        <v>45931.0</v>
      </c>
      <c r="F18" s="462">
        <v>45131.0</v>
      </c>
      <c r="G18" s="455">
        <f t="shared" si="1"/>
        <v>46296</v>
      </c>
      <c r="H18" s="453"/>
      <c r="I18" s="453"/>
      <c r="J18" s="451"/>
      <c r="K18" s="451"/>
      <c r="L18" s="451" t="s">
        <v>3481</v>
      </c>
      <c r="M18" s="455">
        <v>45888.0</v>
      </c>
      <c r="N18" s="457" t="s">
        <v>3474</v>
      </c>
      <c r="O18" s="451"/>
      <c r="P18" s="455"/>
      <c r="Q18" s="457" t="s">
        <v>3475</v>
      </c>
      <c r="R18" s="455"/>
      <c r="S18" s="57"/>
      <c r="T18" s="57"/>
      <c r="U18" s="37" t="s">
        <v>3474</v>
      </c>
      <c r="V18" s="57"/>
      <c r="W18" s="57"/>
      <c r="X18" s="57"/>
      <c r="Y18" s="57"/>
      <c r="Z18" s="57"/>
      <c r="AA18" s="57"/>
      <c r="AB18" s="57"/>
      <c r="AC18" s="57"/>
      <c r="AD18" s="57"/>
      <c r="AE18" s="57"/>
      <c r="AF18" s="57"/>
      <c r="AG18" s="57"/>
    </row>
    <row r="19">
      <c r="A19" s="451" t="s">
        <v>51</v>
      </c>
      <c r="B19" s="452">
        <v>0.7</v>
      </c>
      <c r="C19" s="453">
        <v>45911.0</v>
      </c>
      <c r="D19" s="453">
        <v>45912.0</v>
      </c>
      <c r="E19" s="455">
        <v>45931.0</v>
      </c>
      <c r="F19" s="462">
        <v>45152.0</v>
      </c>
      <c r="G19" s="455">
        <f t="shared" si="1"/>
        <v>46296</v>
      </c>
      <c r="H19" s="453"/>
      <c r="I19" s="453"/>
      <c r="J19" s="461">
        <v>4837.5</v>
      </c>
      <c r="K19" s="451"/>
      <c r="L19" s="451" t="s">
        <v>172</v>
      </c>
      <c r="M19" s="455">
        <v>45894.0</v>
      </c>
      <c r="N19" s="457" t="s">
        <v>3474</v>
      </c>
      <c r="O19" s="451"/>
      <c r="P19" s="455"/>
      <c r="Q19" s="457" t="s">
        <v>3475</v>
      </c>
      <c r="R19" s="455"/>
      <c r="S19" s="57"/>
      <c r="T19" s="57"/>
      <c r="U19" s="37" t="s">
        <v>3474</v>
      </c>
      <c r="V19" s="57"/>
      <c r="W19" s="57"/>
      <c r="X19" s="57"/>
      <c r="Y19" s="57"/>
      <c r="Z19" s="57"/>
      <c r="AA19" s="57"/>
      <c r="AB19" s="57"/>
      <c r="AC19" s="57"/>
      <c r="AD19" s="57"/>
      <c r="AE19" s="57"/>
      <c r="AF19" s="57"/>
      <c r="AG19" s="57"/>
    </row>
    <row r="20">
      <c r="A20" s="451" t="s">
        <v>300</v>
      </c>
      <c r="B20" s="452">
        <v>0.7</v>
      </c>
      <c r="C20" s="453">
        <v>45911.0</v>
      </c>
      <c r="D20" s="453">
        <v>45911.0</v>
      </c>
      <c r="E20" s="455">
        <v>45931.0</v>
      </c>
      <c r="F20" s="462">
        <v>45347.0</v>
      </c>
      <c r="G20" s="455">
        <f t="shared" si="1"/>
        <v>46296</v>
      </c>
      <c r="H20" s="453"/>
      <c r="I20" s="464">
        <v>45350.0</v>
      </c>
      <c r="J20" s="461">
        <v>7965.0</v>
      </c>
      <c r="K20" s="451"/>
      <c r="L20" s="451" t="s">
        <v>172</v>
      </c>
      <c r="M20" s="455">
        <v>45887.0</v>
      </c>
      <c r="N20" s="457" t="s">
        <v>3474</v>
      </c>
      <c r="O20" s="451"/>
      <c r="P20" s="455"/>
      <c r="Q20" s="457" t="s">
        <v>3475</v>
      </c>
      <c r="R20" s="455"/>
      <c r="S20" s="57"/>
      <c r="T20" s="57"/>
      <c r="U20" s="459"/>
      <c r="V20" s="57"/>
      <c r="W20" s="57"/>
      <c r="X20" s="57"/>
      <c r="Y20" s="57"/>
      <c r="Z20" s="57"/>
      <c r="AA20" s="57"/>
      <c r="AB20" s="57"/>
      <c r="AC20" s="57"/>
      <c r="AD20" s="57"/>
      <c r="AE20" s="57"/>
      <c r="AF20" s="57"/>
      <c r="AG20" s="57"/>
    </row>
    <row r="21">
      <c r="A21" s="451" t="s">
        <v>102</v>
      </c>
      <c r="B21" s="452">
        <v>0.7</v>
      </c>
      <c r="C21" s="453">
        <v>45911.0</v>
      </c>
      <c r="D21" s="453">
        <v>45911.0</v>
      </c>
      <c r="E21" s="455">
        <v>45931.0</v>
      </c>
      <c r="F21" s="462">
        <v>45397.0</v>
      </c>
      <c r="G21" s="455">
        <f t="shared" si="1"/>
        <v>46296</v>
      </c>
      <c r="H21" s="453"/>
      <c r="I21" s="464">
        <v>45404.0</v>
      </c>
      <c r="J21" s="465">
        <v>8617.5</v>
      </c>
      <c r="K21" s="451"/>
      <c r="L21" s="451" t="s">
        <v>172</v>
      </c>
      <c r="M21" s="455">
        <v>45887.0</v>
      </c>
      <c r="N21" s="457" t="s">
        <v>3474</v>
      </c>
      <c r="O21" s="451"/>
      <c r="P21" s="458">
        <v>46317.0</v>
      </c>
      <c r="Q21" s="457" t="s">
        <v>3475</v>
      </c>
      <c r="R21" s="455"/>
      <c r="S21" s="57"/>
      <c r="T21" s="57"/>
      <c r="U21" s="37" t="s">
        <v>3474</v>
      </c>
      <c r="V21" s="57"/>
      <c r="W21" s="57"/>
      <c r="X21" s="57"/>
      <c r="Y21" s="57"/>
      <c r="Z21" s="57"/>
      <c r="AA21" s="57"/>
      <c r="AB21" s="57"/>
      <c r="AC21" s="57"/>
      <c r="AD21" s="57"/>
      <c r="AE21" s="57"/>
      <c r="AF21" s="57"/>
      <c r="AG21" s="57"/>
    </row>
    <row r="22">
      <c r="A22" s="451" t="s">
        <v>117</v>
      </c>
      <c r="B22" s="452">
        <v>0.8</v>
      </c>
      <c r="C22" s="453">
        <v>45911.0</v>
      </c>
      <c r="D22" s="453">
        <v>45911.0</v>
      </c>
      <c r="E22" s="455">
        <v>45931.0</v>
      </c>
      <c r="F22" s="462">
        <v>45497.0</v>
      </c>
      <c r="G22" s="455">
        <f t="shared" si="1"/>
        <v>46296</v>
      </c>
      <c r="H22" s="453"/>
      <c r="I22" s="464">
        <v>45498.0</v>
      </c>
      <c r="J22" s="461">
        <v>5837.5</v>
      </c>
      <c r="K22" s="451"/>
      <c r="L22" s="466" t="s">
        <v>3483</v>
      </c>
      <c r="M22" s="467">
        <v>46083.0</v>
      </c>
      <c r="N22" s="457" t="s">
        <v>3474</v>
      </c>
      <c r="O22" s="451"/>
      <c r="P22" s="458">
        <v>46087.0</v>
      </c>
      <c r="Q22" s="457" t="s">
        <v>3475</v>
      </c>
      <c r="R22" s="455"/>
      <c r="S22" s="57"/>
      <c r="T22" s="57"/>
      <c r="U22" s="459"/>
      <c r="V22" s="57"/>
      <c r="W22" s="57"/>
      <c r="X22" s="57"/>
      <c r="Y22" s="57"/>
      <c r="Z22" s="57"/>
      <c r="AA22" s="57"/>
      <c r="AB22" s="57"/>
      <c r="AC22" s="57"/>
      <c r="AD22" s="57"/>
      <c r="AE22" s="57"/>
      <c r="AF22" s="57"/>
      <c r="AG22" s="57"/>
    </row>
    <row r="23">
      <c r="A23" s="451" t="s">
        <v>332</v>
      </c>
      <c r="B23" s="452">
        <v>0.7</v>
      </c>
      <c r="C23" s="453">
        <v>45910.0</v>
      </c>
      <c r="D23" s="453">
        <v>45910.0</v>
      </c>
      <c r="E23" s="455">
        <v>45931.0</v>
      </c>
      <c r="F23" s="456">
        <v>45621.0</v>
      </c>
      <c r="G23" s="455">
        <f t="shared" si="1"/>
        <v>46296</v>
      </c>
      <c r="H23" s="453"/>
      <c r="I23" s="464">
        <v>45621.0</v>
      </c>
      <c r="J23" s="463">
        <v>980.0</v>
      </c>
      <c r="K23" s="451"/>
      <c r="L23" s="451" t="s">
        <v>172</v>
      </c>
      <c r="M23" s="455">
        <v>45813.0</v>
      </c>
      <c r="N23" s="457" t="s">
        <v>3474</v>
      </c>
      <c r="O23" s="451"/>
      <c r="P23" s="458">
        <v>46087.0</v>
      </c>
      <c r="Q23" s="457" t="s">
        <v>3475</v>
      </c>
      <c r="R23" s="455"/>
      <c r="S23" s="57"/>
      <c r="T23" s="57"/>
      <c r="U23" s="37" t="s">
        <v>3474</v>
      </c>
      <c r="V23" s="57"/>
      <c r="W23" s="57"/>
      <c r="X23" s="57"/>
      <c r="Y23" s="57"/>
      <c r="Z23" s="57"/>
      <c r="AA23" s="57"/>
      <c r="AB23" s="57"/>
      <c r="AC23" s="57"/>
      <c r="AD23" s="57"/>
      <c r="AE23" s="57"/>
      <c r="AF23" s="57"/>
      <c r="AG23" s="57"/>
    </row>
    <row r="24">
      <c r="A24" s="451" t="s">
        <v>341</v>
      </c>
      <c r="B24" s="452">
        <v>0.7</v>
      </c>
      <c r="C24" s="453">
        <v>45911.0</v>
      </c>
      <c r="D24" s="453">
        <v>45911.0</v>
      </c>
      <c r="E24" s="455">
        <v>45931.0</v>
      </c>
      <c r="F24" s="456">
        <v>45698.0</v>
      </c>
      <c r="G24" s="455">
        <f t="shared" si="1"/>
        <v>46296</v>
      </c>
      <c r="H24" s="453"/>
      <c r="I24" s="468">
        <v>45700.0</v>
      </c>
      <c r="J24" s="463">
        <v>6558.0</v>
      </c>
      <c r="K24" s="451"/>
      <c r="L24" s="451" t="s">
        <v>172</v>
      </c>
      <c r="M24" s="455">
        <v>45813.0</v>
      </c>
      <c r="N24" s="457" t="s">
        <v>3474</v>
      </c>
      <c r="O24" s="451"/>
      <c r="P24" s="455"/>
      <c r="Q24" s="457" t="s">
        <v>3475</v>
      </c>
      <c r="R24" s="455"/>
      <c r="S24" s="57"/>
      <c r="T24" s="57"/>
      <c r="U24" s="37" t="s">
        <v>3474</v>
      </c>
      <c r="V24" s="57"/>
      <c r="W24" s="57"/>
      <c r="X24" s="57"/>
      <c r="Y24" s="57"/>
      <c r="Z24" s="57"/>
      <c r="AA24" s="57"/>
      <c r="AB24" s="57"/>
      <c r="AC24" s="57"/>
      <c r="AD24" s="57"/>
      <c r="AE24" s="57"/>
      <c r="AF24" s="57"/>
      <c r="AG24" s="57"/>
    </row>
    <row r="25">
      <c r="A25" s="451" t="s">
        <v>3484</v>
      </c>
      <c r="B25" s="452">
        <v>0.7</v>
      </c>
      <c r="C25" s="453">
        <v>45910.0</v>
      </c>
      <c r="D25" s="453">
        <v>45911.0</v>
      </c>
      <c r="E25" s="455">
        <v>45931.0</v>
      </c>
      <c r="F25" s="456">
        <v>45747.0</v>
      </c>
      <c r="G25" s="455">
        <f t="shared" si="1"/>
        <v>46296</v>
      </c>
      <c r="H25" s="453"/>
      <c r="I25" s="469">
        <v>45746.0</v>
      </c>
      <c r="J25" s="465"/>
      <c r="K25" s="451"/>
      <c r="L25" s="451" t="s">
        <v>73</v>
      </c>
      <c r="M25" s="451" t="s">
        <v>680</v>
      </c>
      <c r="N25" s="457" t="s">
        <v>3474</v>
      </c>
      <c r="O25" s="451"/>
      <c r="P25" s="455"/>
      <c r="Q25" s="457" t="s">
        <v>3475</v>
      </c>
      <c r="R25" s="455"/>
      <c r="S25" s="57"/>
      <c r="T25" s="57"/>
      <c r="U25" s="460" t="s">
        <v>3476</v>
      </c>
      <c r="V25" s="470" t="s">
        <v>3485</v>
      </c>
      <c r="W25" s="57"/>
      <c r="X25" s="57"/>
      <c r="Y25" s="57"/>
      <c r="Z25" s="57"/>
      <c r="AA25" s="57"/>
      <c r="AB25" s="57"/>
      <c r="AC25" s="57"/>
      <c r="AD25" s="57"/>
      <c r="AE25" s="57"/>
      <c r="AF25" s="57"/>
      <c r="AG25" s="57"/>
    </row>
    <row r="26">
      <c r="A26" s="451" t="s">
        <v>390</v>
      </c>
      <c r="B26" s="452">
        <v>0.7</v>
      </c>
      <c r="C26" s="453">
        <v>45911.0</v>
      </c>
      <c r="D26" s="453">
        <v>45911.0</v>
      </c>
      <c r="E26" s="455">
        <v>45931.0</v>
      </c>
      <c r="F26" s="456">
        <v>45754.0</v>
      </c>
      <c r="G26" s="455">
        <f t="shared" si="1"/>
        <v>46296</v>
      </c>
      <c r="H26" s="453"/>
      <c r="I26" s="469">
        <v>45755.0</v>
      </c>
      <c r="J26" s="451"/>
      <c r="K26" s="451"/>
      <c r="L26" s="451" t="s">
        <v>3481</v>
      </c>
      <c r="M26" s="455">
        <v>45888.0</v>
      </c>
      <c r="N26" s="457" t="s">
        <v>3474</v>
      </c>
      <c r="O26" s="451"/>
      <c r="P26" s="458">
        <v>46035.0</v>
      </c>
      <c r="Q26" s="457" t="s">
        <v>3475</v>
      </c>
      <c r="R26" s="455"/>
      <c r="S26" s="57"/>
      <c r="T26" s="57"/>
      <c r="U26" s="37" t="s">
        <v>3474</v>
      </c>
      <c r="V26" s="57"/>
      <c r="W26" s="57"/>
      <c r="X26" s="57"/>
      <c r="Y26" s="57"/>
      <c r="Z26" s="57"/>
      <c r="AA26" s="57"/>
      <c r="AB26" s="57"/>
      <c r="AC26" s="57"/>
      <c r="AD26" s="57"/>
      <c r="AE26" s="57"/>
      <c r="AF26" s="57"/>
      <c r="AG26" s="57"/>
    </row>
    <row r="27">
      <c r="A27" s="451" t="s">
        <v>1065</v>
      </c>
      <c r="B27" s="452">
        <v>0.7</v>
      </c>
      <c r="C27" s="453">
        <v>45917.0</v>
      </c>
      <c r="D27" s="453">
        <v>45925.0</v>
      </c>
      <c r="E27" s="455">
        <v>45931.0</v>
      </c>
      <c r="F27" s="456">
        <v>45770.0</v>
      </c>
      <c r="G27" s="455">
        <f t="shared" si="1"/>
        <v>46296</v>
      </c>
      <c r="H27" s="453"/>
      <c r="I27" s="469">
        <v>45770.0</v>
      </c>
      <c r="J27" s="451"/>
      <c r="K27" s="451"/>
      <c r="L27" s="457" t="s">
        <v>3486</v>
      </c>
      <c r="M27" s="455">
        <v>45917.0</v>
      </c>
      <c r="N27" s="471">
        <v>46055.0</v>
      </c>
      <c r="O27" s="457">
        <v>1.0</v>
      </c>
      <c r="P27" s="455"/>
      <c r="Q27" s="457" t="s">
        <v>3475</v>
      </c>
      <c r="R27" s="455"/>
      <c r="S27" s="57"/>
      <c r="T27" s="57"/>
      <c r="U27" s="57"/>
      <c r="V27" s="57"/>
      <c r="W27" s="57"/>
      <c r="X27" s="57"/>
      <c r="Y27" s="57"/>
      <c r="Z27" s="57"/>
      <c r="AA27" s="57"/>
      <c r="AB27" s="57"/>
      <c r="AC27" s="57"/>
      <c r="AD27" s="57"/>
      <c r="AE27" s="57"/>
      <c r="AF27" s="57"/>
      <c r="AG27" s="57"/>
    </row>
    <row r="28">
      <c r="A28" s="451" t="s">
        <v>1642</v>
      </c>
      <c r="B28" s="452">
        <v>0.7</v>
      </c>
      <c r="C28" s="453">
        <v>45910.0</v>
      </c>
      <c r="D28" s="453">
        <v>45911.0</v>
      </c>
      <c r="E28" s="455">
        <v>45931.0</v>
      </c>
      <c r="F28" s="456">
        <v>45775.0</v>
      </c>
      <c r="G28" s="455">
        <f t="shared" si="1"/>
        <v>46296</v>
      </c>
      <c r="H28" s="453"/>
      <c r="I28" s="469">
        <v>45757.0</v>
      </c>
      <c r="J28" s="465">
        <v>11040.0</v>
      </c>
      <c r="K28" s="451"/>
      <c r="L28" s="457" t="s">
        <v>256</v>
      </c>
      <c r="M28" s="455">
        <v>45925.0</v>
      </c>
      <c r="N28" s="457" t="s">
        <v>3487</v>
      </c>
      <c r="O28" s="472">
        <v>2.0</v>
      </c>
      <c r="P28" s="455"/>
      <c r="Q28" s="457" t="s">
        <v>3475</v>
      </c>
      <c r="R28" s="455"/>
      <c r="S28" s="57"/>
      <c r="T28" s="57"/>
      <c r="U28" s="460" t="s">
        <v>3476</v>
      </c>
      <c r="V28" s="57"/>
      <c r="W28" s="57"/>
      <c r="X28" s="57"/>
      <c r="Y28" s="57"/>
      <c r="Z28" s="57"/>
      <c r="AA28" s="57"/>
      <c r="AB28" s="57"/>
      <c r="AC28" s="57"/>
      <c r="AD28" s="57"/>
      <c r="AE28" s="57"/>
      <c r="AF28" s="57"/>
      <c r="AG28" s="57"/>
    </row>
    <row r="29">
      <c r="A29" s="451" t="s">
        <v>633</v>
      </c>
      <c r="B29" s="452">
        <v>0.7</v>
      </c>
      <c r="C29" s="453">
        <v>45898.0</v>
      </c>
      <c r="D29" s="453">
        <v>45898.0</v>
      </c>
      <c r="E29" s="455">
        <v>45898.0</v>
      </c>
      <c r="F29" s="456">
        <v>45898.0</v>
      </c>
      <c r="G29" s="455">
        <f t="shared" si="1"/>
        <v>46263</v>
      </c>
      <c r="H29" s="473">
        <v>45906.0</v>
      </c>
      <c r="I29" s="474">
        <v>45908.0</v>
      </c>
      <c r="J29" s="465">
        <v>5994.96</v>
      </c>
      <c r="K29" s="451"/>
      <c r="L29" s="451" t="s">
        <v>3481</v>
      </c>
      <c r="M29" s="455">
        <v>45898.0</v>
      </c>
      <c r="N29" s="457" t="s">
        <v>3474</v>
      </c>
      <c r="O29" s="451"/>
      <c r="P29" s="455"/>
      <c r="Q29" s="457" t="s">
        <v>3475</v>
      </c>
      <c r="R29" s="455"/>
      <c r="S29" s="57"/>
      <c r="T29" s="57"/>
      <c r="U29" s="37" t="s">
        <v>3474</v>
      </c>
      <c r="V29" s="57"/>
      <c r="W29" s="57"/>
      <c r="X29" s="57"/>
      <c r="Y29" s="57"/>
      <c r="Z29" s="57"/>
      <c r="AA29" s="57"/>
      <c r="AB29" s="57"/>
      <c r="AC29" s="57"/>
      <c r="AD29" s="57"/>
      <c r="AE29" s="57"/>
      <c r="AF29" s="57"/>
      <c r="AG29" s="57"/>
    </row>
    <row r="30">
      <c r="A30" s="451" t="s">
        <v>1118</v>
      </c>
      <c r="B30" s="452">
        <v>0.75</v>
      </c>
      <c r="C30" s="453">
        <v>45910.0</v>
      </c>
      <c r="D30" s="453">
        <v>45910.0</v>
      </c>
      <c r="E30" s="455">
        <v>45910.0</v>
      </c>
      <c r="F30" s="456">
        <v>45910.0</v>
      </c>
      <c r="G30" s="455">
        <f t="shared" si="1"/>
        <v>46275</v>
      </c>
      <c r="H30" s="473">
        <v>45911.0</v>
      </c>
      <c r="I30" s="475">
        <v>45917.0</v>
      </c>
      <c r="J30" s="451"/>
      <c r="K30" s="451"/>
      <c r="L30" s="451" t="s">
        <v>172</v>
      </c>
      <c r="M30" s="455">
        <v>45910.0</v>
      </c>
      <c r="N30" s="457" t="s">
        <v>3474</v>
      </c>
      <c r="O30" s="451"/>
      <c r="P30" s="455"/>
      <c r="Q30" s="457" t="s">
        <v>3475</v>
      </c>
      <c r="R30" s="455"/>
      <c r="S30" s="57"/>
      <c r="T30" s="57"/>
      <c r="U30" s="37" t="s">
        <v>3474</v>
      </c>
      <c r="V30" s="57"/>
      <c r="W30" s="57"/>
      <c r="X30" s="57"/>
      <c r="Y30" s="57"/>
      <c r="Z30" s="57"/>
      <c r="AA30" s="57"/>
      <c r="AB30" s="57"/>
      <c r="AC30" s="57"/>
      <c r="AD30" s="57"/>
      <c r="AE30" s="57"/>
      <c r="AF30" s="57"/>
      <c r="AG30" s="57"/>
    </row>
    <row r="31">
      <c r="A31" s="451" t="s">
        <v>171</v>
      </c>
      <c r="B31" s="452">
        <v>0.7</v>
      </c>
      <c r="C31" s="454">
        <v>45937.0</v>
      </c>
      <c r="D31" s="454">
        <v>45937.0</v>
      </c>
      <c r="E31" s="454">
        <v>45937.0</v>
      </c>
      <c r="F31" s="454">
        <v>45937.0</v>
      </c>
      <c r="G31" s="455">
        <f t="shared" si="1"/>
        <v>46302</v>
      </c>
      <c r="H31" s="471">
        <v>45945.0</v>
      </c>
      <c r="I31" s="471">
        <v>45943.0</v>
      </c>
      <c r="J31" s="465">
        <v>13979.25</v>
      </c>
      <c r="K31" s="476" t="s">
        <v>399</v>
      </c>
      <c r="L31" s="477" t="s">
        <v>172</v>
      </c>
      <c r="M31" s="454">
        <v>45938.0</v>
      </c>
      <c r="N31" s="471">
        <v>46059.0</v>
      </c>
      <c r="O31" s="472">
        <v>5.0</v>
      </c>
      <c r="P31" s="478">
        <v>46143.0</v>
      </c>
      <c r="Q31" s="457" t="s">
        <v>3475</v>
      </c>
      <c r="R31" s="457" t="s">
        <v>3474</v>
      </c>
      <c r="S31" s="57"/>
      <c r="T31" s="57"/>
      <c r="U31" s="37" t="s">
        <v>3474</v>
      </c>
      <c r="V31" s="54" t="s">
        <v>3488</v>
      </c>
      <c r="W31" s="57"/>
      <c r="X31" s="57"/>
      <c r="Y31" s="57"/>
      <c r="Z31" s="57"/>
      <c r="AA31" s="57"/>
      <c r="AB31" s="57"/>
      <c r="AC31" s="57"/>
      <c r="AD31" s="57"/>
      <c r="AE31" s="57"/>
      <c r="AF31" s="57"/>
      <c r="AG31" s="57"/>
    </row>
    <row r="32">
      <c r="A32" s="451" t="s">
        <v>3489</v>
      </c>
      <c r="B32" s="452">
        <v>0.7</v>
      </c>
      <c r="C32" s="454">
        <v>45937.0</v>
      </c>
      <c r="D32" s="471">
        <v>45940.0</v>
      </c>
      <c r="E32" s="471">
        <v>45940.0</v>
      </c>
      <c r="F32" s="473">
        <v>45940.0</v>
      </c>
      <c r="G32" s="455">
        <f t="shared" si="1"/>
        <v>46305</v>
      </c>
      <c r="H32" s="471">
        <v>45950.0</v>
      </c>
      <c r="I32" s="471">
        <v>45945.0</v>
      </c>
      <c r="J32" s="451"/>
      <c r="K32" s="451"/>
      <c r="L32" s="457" t="s">
        <v>52</v>
      </c>
      <c r="M32" s="471">
        <v>45950.0</v>
      </c>
      <c r="N32" s="457" t="s">
        <v>3474</v>
      </c>
      <c r="O32" s="451"/>
      <c r="P32" s="451"/>
      <c r="Q32" s="457" t="s">
        <v>3475</v>
      </c>
      <c r="R32" s="451"/>
      <c r="S32" s="57"/>
      <c r="T32" s="57"/>
      <c r="U32" s="460" t="s">
        <v>3476</v>
      </c>
      <c r="V32" s="57"/>
      <c r="W32" s="57"/>
      <c r="X32" s="57"/>
      <c r="Y32" s="57"/>
      <c r="Z32" s="57"/>
      <c r="AA32" s="57"/>
      <c r="AB32" s="57"/>
      <c r="AC32" s="57"/>
      <c r="AD32" s="57"/>
      <c r="AE32" s="57"/>
      <c r="AF32" s="57"/>
      <c r="AG32" s="57"/>
    </row>
    <row r="33">
      <c r="A33" s="457" t="s">
        <v>3490</v>
      </c>
      <c r="B33" s="479">
        <v>0.9</v>
      </c>
      <c r="C33" s="471">
        <v>45945.0</v>
      </c>
      <c r="D33" s="471">
        <v>45945.0</v>
      </c>
      <c r="E33" s="471">
        <v>45945.0</v>
      </c>
      <c r="F33" s="471">
        <v>45945.0</v>
      </c>
      <c r="G33" s="455">
        <f t="shared" si="1"/>
        <v>46310</v>
      </c>
      <c r="H33" s="471">
        <v>45951.0</v>
      </c>
      <c r="I33" s="471">
        <v>45952.0</v>
      </c>
      <c r="J33" s="463"/>
      <c r="K33" s="472" t="s">
        <v>117</v>
      </c>
      <c r="L33" s="480" t="s">
        <v>3483</v>
      </c>
      <c r="M33" s="471">
        <v>45945.0</v>
      </c>
      <c r="N33" s="457" t="s">
        <v>3474</v>
      </c>
      <c r="O33" s="451"/>
      <c r="P33" s="481"/>
      <c r="Q33" s="457" t="s">
        <v>3475</v>
      </c>
      <c r="R33" s="481"/>
      <c r="S33" s="57"/>
      <c r="T33" s="57"/>
      <c r="U33" s="37" t="s">
        <v>3474</v>
      </c>
      <c r="V33" s="57"/>
      <c r="W33" s="57"/>
      <c r="X33" s="57"/>
      <c r="Y33" s="57"/>
      <c r="Z33" s="57"/>
      <c r="AA33" s="57"/>
      <c r="AB33" s="57"/>
      <c r="AC33" s="57"/>
      <c r="AD33" s="57"/>
      <c r="AE33" s="57"/>
      <c r="AF33" s="57"/>
      <c r="AG33" s="57"/>
    </row>
    <row r="34">
      <c r="A34" s="482" t="s">
        <v>3491</v>
      </c>
      <c r="B34" s="452">
        <v>0.7</v>
      </c>
      <c r="C34" s="454">
        <v>45937.0</v>
      </c>
      <c r="D34" s="481" t="s">
        <v>3492</v>
      </c>
      <c r="E34" s="455">
        <f>edate(D34,12)</f>
        <v>46302</v>
      </c>
      <c r="F34" s="456">
        <v>45937.0</v>
      </c>
      <c r="G34" s="455">
        <f t="shared" si="1"/>
        <v>46667</v>
      </c>
      <c r="H34" s="454">
        <v>45937.0</v>
      </c>
      <c r="I34" s="469">
        <v>45943.0</v>
      </c>
      <c r="J34" s="483">
        <v>4885.0</v>
      </c>
      <c r="L34" s="457" t="s">
        <v>3486</v>
      </c>
      <c r="M34" s="484">
        <v>45937.0</v>
      </c>
      <c r="N34" s="485" t="s">
        <v>3493</v>
      </c>
      <c r="O34" s="486"/>
      <c r="P34" s="487"/>
      <c r="Q34" s="457" t="s">
        <v>3494</v>
      </c>
      <c r="R34" s="488"/>
      <c r="S34" s="489"/>
      <c r="T34" s="489"/>
      <c r="U34" s="460" t="s">
        <v>3476</v>
      </c>
      <c r="V34" s="489"/>
      <c r="W34" s="489"/>
      <c r="X34" s="489"/>
      <c r="Y34" s="489"/>
      <c r="Z34" s="489"/>
      <c r="AA34" s="489"/>
      <c r="AB34" s="489"/>
      <c r="AC34" s="489"/>
      <c r="AD34" s="489"/>
      <c r="AE34" s="489"/>
      <c r="AF34" s="489"/>
      <c r="AG34" s="489"/>
    </row>
    <row r="35">
      <c r="A35" s="457" t="s">
        <v>2663</v>
      </c>
      <c r="B35" s="479">
        <v>0.7</v>
      </c>
      <c r="C35" s="471">
        <v>45965.0</v>
      </c>
      <c r="D35" s="471">
        <v>45965.0</v>
      </c>
      <c r="E35" s="471">
        <v>45965.0</v>
      </c>
      <c r="F35" s="471">
        <v>45965.0</v>
      </c>
      <c r="G35" s="455">
        <f t="shared" si="1"/>
        <v>46330</v>
      </c>
      <c r="H35" s="490">
        <v>45968.0</v>
      </c>
      <c r="I35" s="363">
        <v>45980.0</v>
      </c>
      <c r="J35" s="491"/>
      <c r="K35" s="491"/>
      <c r="L35" s="457" t="s">
        <v>52</v>
      </c>
      <c r="M35" s="471">
        <v>45971.0</v>
      </c>
      <c r="N35" s="457" t="s">
        <v>3474</v>
      </c>
      <c r="O35" s="451"/>
      <c r="P35" s="481"/>
      <c r="Q35" s="457" t="s">
        <v>3475</v>
      </c>
      <c r="R35" s="481"/>
      <c r="S35" s="57"/>
      <c r="T35" s="57"/>
      <c r="U35" s="57"/>
      <c r="V35" s="57"/>
      <c r="W35" s="57"/>
      <c r="X35" s="57"/>
      <c r="Y35" s="57"/>
      <c r="Z35" s="57"/>
      <c r="AA35" s="57"/>
      <c r="AB35" s="57"/>
      <c r="AC35" s="57"/>
      <c r="AD35" s="57"/>
      <c r="AE35" s="57"/>
      <c r="AF35" s="57"/>
      <c r="AG35" s="57"/>
    </row>
    <row r="36">
      <c r="A36" s="457" t="s">
        <v>1337</v>
      </c>
      <c r="B36" s="479">
        <v>0.7</v>
      </c>
      <c r="C36" s="471">
        <v>45985.0</v>
      </c>
      <c r="D36" s="471">
        <v>45985.0</v>
      </c>
      <c r="E36" s="492" t="s">
        <v>3495</v>
      </c>
      <c r="F36" s="471">
        <v>45985.0</v>
      </c>
      <c r="G36" s="455">
        <f t="shared" si="1"/>
        <v>46350</v>
      </c>
      <c r="H36" s="471">
        <v>45995.0</v>
      </c>
      <c r="I36" s="493">
        <v>46008.0</v>
      </c>
      <c r="J36" s="461">
        <v>2910.0</v>
      </c>
      <c r="K36" s="491"/>
      <c r="L36" s="477" t="s">
        <v>172</v>
      </c>
      <c r="M36" s="471"/>
      <c r="N36" s="457" t="s">
        <v>3496</v>
      </c>
      <c r="O36" s="472">
        <v>5.0</v>
      </c>
      <c r="P36" s="492"/>
      <c r="Q36" s="457" t="s">
        <v>3475</v>
      </c>
      <c r="R36" s="481"/>
      <c r="S36" s="57"/>
      <c r="T36" s="37" t="s">
        <v>3497</v>
      </c>
      <c r="U36" s="37" t="s">
        <v>3474</v>
      </c>
      <c r="V36" s="57"/>
      <c r="W36" s="57"/>
      <c r="X36" s="57"/>
      <c r="Y36" s="57"/>
      <c r="Z36" s="57"/>
      <c r="AA36" s="57"/>
      <c r="AB36" s="57"/>
      <c r="AC36" s="57"/>
      <c r="AD36" s="57"/>
      <c r="AE36" s="57"/>
      <c r="AF36" s="57"/>
      <c r="AG36" s="57"/>
    </row>
    <row r="37">
      <c r="A37" s="457" t="s">
        <v>3498</v>
      </c>
      <c r="B37" s="479">
        <v>0.7</v>
      </c>
      <c r="C37" s="457" t="s">
        <v>3499</v>
      </c>
      <c r="D37" s="471">
        <v>45999.0</v>
      </c>
      <c r="E37" s="471">
        <v>45999.0</v>
      </c>
      <c r="F37" s="471">
        <v>45999.0</v>
      </c>
      <c r="G37" s="455">
        <f t="shared" si="1"/>
        <v>46364</v>
      </c>
      <c r="H37" s="471">
        <v>46001.0</v>
      </c>
      <c r="I37" s="493">
        <v>46012.0</v>
      </c>
      <c r="J37" s="491"/>
      <c r="K37" s="457" t="s">
        <v>3500</v>
      </c>
      <c r="L37" s="457" t="s">
        <v>3501</v>
      </c>
      <c r="M37" s="471"/>
      <c r="N37" s="457" t="s">
        <v>3502</v>
      </c>
      <c r="O37" s="451"/>
      <c r="P37" s="481"/>
      <c r="Q37" s="457" t="s">
        <v>3475</v>
      </c>
      <c r="R37" s="481"/>
      <c r="S37" s="57"/>
      <c r="T37" s="37" t="s">
        <v>201</v>
      </c>
      <c r="U37" s="37" t="s">
        <v>3474</v>
      </c>
      <c r="V37" s="57"/>
      <c r="W37" s="57"/>
      <c r="X37" s="57"/>
      <c r="Y37" s="57"/>
      <c r="Z37" s="57"/>
      <c r="AA37" s="57"/>
      <c r="AB37" s="57"/>
      <c r="AC37" s="57"/>
      <c r="AD37" s="57"/>
      <c r="AE37" s="57"/>
      <c r="AF37" s="57"/>
      <c r="AG37" s="57"/>
    </row>
    <row r="38">
      <c r="A38" s="494" t="s">
        <v>574</v>
      </c>
      <c r="B38" s="479">
        <v>0.85</v>
      </c>
      <c r="C38" s="471">
        <v>46006.0</v>
      </c>
      <c r="D38" s="471">
        <v>46006.0</v>
      </c>
      <c r="E38" s="492" t="s">
        <v>3503</v>
      </c>
      <c r="F38" s="471">
        <v>46006.0</v>
      </c>
      <c r="G38" s="455">
        <f t="shared" si="1"/>
        <v>46371</v>
      </c>
      <c r="H38" s="471">
        <v>46007.0</v>
      </c>
      <c r="I38" s="493">
        <v>46036.0</v>
      </c>
      <c r="J38" s="463">
        <v>5628.0</v>
      </c>
      <c r="K38" s="491"/>
      <c r="L38" s="477" t="s">
        <v>52</v>
      </c>
      <c r="M38" s="471"/>
      <c r="N38" s="457" t="s">
        <v>3474</v>
      </c>
      <c r="O38" s="451"/>
      <c r="P38" s="481"/>
      <c r="Q38" s="457" t="s">
        <v>3475</v>
      </c>
      <c r="R38" s="481"/>
      <c r="S38" s="57"/>
      <c r="T38" s="37" t="s">
        <v>3497</v>
      </c>
      <c r="U38" s="57"/>
      <c r="V38" s="57"/>
      <c r="W38" s="57"/>
      <c r="X38" s="57"/>
      <c r="Y38" s="57"/>
      <c r="Z38" s="57"/>
      <c r="AA38" s="57"/>
      <c r="AB38" s="57"/>
      <c r="AC38" s="57"/>
      <c r="AD38" s="57"/>
      <c r="AE38" s="57"/>
      <c r="AF38" s="57"/>
      <c r="AG38" s="57"/>
    </row>
    <row r="39">
      <c r="A39" s="495" t="s">
        <v>3504</v>
      </c>
      <c r="B39" s="479">
        <v>0.9</v>
      </c>
      <c r="C39" s="457" t="s">
        <v>3505</v>
      </c>
      <c r="D39" s="471">
        <v>46020.0</v>
      </c>
      <c r="E39" s="471">
        <v>46020.0</v>
      </c>
      <c r="F39" s="471">
        <v>46020.0</v>
      </c>
      <c r="G39" s="455">
        <f t="shared" si="1"/>
        <v>46385</v>
      </c>
      <c r="H39" s="471">
        <v>46030.0</v>
      </c>
      <c r="I39" s="493">
        <v>46036.0</v>
      </c>
      <c r="J39" s="496"/>
      <c r="K39" s="491"/>
      <c r="L39" s="477" t="s">
        <v>73</v>
      </c>
      <c r="M39" s="471"/>
      <c r="N39" s="457" t="s">
        <v>3474</v>
      </c>
      <c r="O39" s="451"/>
      <c r="P39" s="497" t="s">
        <v>3506</v>
      </c>
      <c r="Q39" s="457" t="s">
        <v>3475</v>
      </c>
      <c r="R39" s="481"/>
      <c r="S39" s="57"/>
      <c r="T39" s="37" t="s">
        <v>3497</v>
      </c>
      <c r="U39" s="37" t="s">
        <v>3474</v>
      </c>
      <c r="V39" s="57"/>
      <c r="W39" s="57"/>
      <c r="X39" s="57"/>
      <c r="Y39" s="57"/>
      <c r="Z39" s="57"/>
      <c r="AA39" s="57"/>
      <c r="AB39" s="57"/>
      <c r="AC39" s="57"/>
      <c r="AD39" s="57"/>
      <c r="AE39" s="57"/>
      <c r="AF39" s="57"/>
      <c r="AG39" s="57"/>
    </row>
    <row r="40">
      <c r="A40" s="495" t="s">
        <v>3507</v>
      </c>
      <c r="B40" s="479">
        <v>0.8</v>
      </c>
      <c r="C40" s="457" t="s">
        <v>3505</v>
      </c>
      <c r="D40" s="471">
        <v>46020.0</v>
      </c>
      <c r="E40" s="471">
        <v>46020.0</v>
      </c>
      <c r="F40" s="471">
        <v>46020.0</v>
      </c>
      <c r="G40" s="455">
        <f t="shared" si="1"/>
        <v>46385</v>
      </c>
      <c r="H40" s="471">
        <v>46030.0</v>
      </c>
      <c r="I40" s="493">
        <v>46036.0</v>
      </c>
      <c r="J40" s="463"/>
      <c r="K40" s="491"/>
      <c r="L40" s="457" t="s">
        <v>52</v>
      </c>
      <c r="M40" s="471"/>
      <c r="N40" s="457" t="s">
        <v>3474</v>
      </c>
      <c r="O40" s="451"/>
      <c r="P40" s="481"/>
      <c r="Q40" s="457" t="s">
        <v>3475</v>
      </c>
      <c r="R40" s="481"/>
      <c r="S40" s="57"/>
      <c r="T40" s="37" t="s">
        <v>201</v>
      </c>
      <c r="U40" s="37" t="s">
        <v>3474</v>
      </c>
      <c r="V40" s="57"/>
      <c r="W40" s="57"/>
      <c r="X40" s="57"/>
      <c r="Y40" s="57"/>
      <c r="Z40" s="57"/>
      <c r="AA40" s="57"/>
      <c r="AB40" s="57"/>
      <c r="AC40" s="57"/>
      <c r="AD40" s="57"/>
      <c r="AE40" s="57"/>
      <c r="AF40" s="57"/>
      <c r="AG40" s="57"/>
    </row>
    <row r="41">
      <c r="A41" s="457" t="s">
        <v>1073</v>
      </c>
      <c r="B41" s="479">
        <v>0.8</v>
      </c>
      <c r="C41" s="457" t="s">
        <v>3499</v>
      </c>
      <c r="D41" s="471">
        <v>46034.0</v>
      </c>
      <c r="E41" s="471">
        <v>46034.0</v>
      </c>
      <c r="F41" s="471">
        <v>46034.0</v>
      </c>
      <c r="G41" s="455">
        <f t="shared" si="1"/>
        <v>46399</v>
      </c>
      <c r="H41" s="471">
        <v>46044.0</v>
      </c>
      <c r="I41" s="493">
        <v>46042.0</v>
      </c>
      <c r="J41" s="463">
        <v>3925.0</v>
      </c>
      <c r="K41" s="457" t="s">
        <v>680</v>
      </c>
      <c r="L41" s="477" t="s">
        <v>73</v>
      </c>
      <c r="M41" s="471"/>
      <c r="N41" s="457" t="s">
        <v>3474</v>
      </c>
      <c r="O41" s="451"/>
      <c r="P41" s="481"/>
      <c r="Q41" s="457" t="s">
        <v>3475</v>
      </c>
      <c r="R41" s="481"/>
      <c r="S41" s="57"/>
      <c r="T41" s="37" t="s">
        <v>3497</v>
      </c>
      <c r="U41" s="37" t="s">
        <v>3474</v>
      </c>
      <c r="V41" s="57"/>
      <c r="W41" s="57"/>
      <c r="X41" s="57"/>
      <c r="Y41" s="57"/>
      <c r="Z41" s="57"/>
      <c r="AA41" s="57"/>
      <c r="AB41" s="57"/>
      <c r="AC41" s="57"/>
      <c r="AD41" s="57"/>
      <c r="AE41" s="57"/>
      <c r="AF41" s="57"/>
      <c r="AG41" s="57"/>
    </row>
    <row r="42">
      <c r="A42" s="457" t="s">
        <v>226</v>
      </c>
      <c r="B42" s="479">
        <v>0.9</v>
      </c>
      <c r="C42" s="457" t="s">
        <v>3499</v>
      </c>
      <c r="D42" s="471">
        <v>46034.0</v>
      </c>
      <c r="E42" s="471">
        <v>46034.0</v>
      </c>
      <c r="F42" s="471">
        <v>46034.0</v>
      </c>
      <c r="G42" s="455">
        <f t="shared" si="1"/>
        <v>46399</v>
      </c>
      <c r="H42" s="471">
        <v>46035.0</v>
      </c>
      <c r="I42" s="493">
        <v>46042.0</v>
      </c>
      <c r="J42" s="461">
        <v>2175.0</v>
      </c>
      <c r="K42" s="491"/>
      <c r="L42" s="457" t="s">
        <v>52</v>
      </c>
      <c r="M42" s="471"/>
      <c r="N42" s="457" t="s">
        <v>3474</v>
      </c>
      <c r="O42" s="451"/>
      <c r="P42" s="497" t="s">
        <v>3508</v>
      </c>
      <c r="Q42" s="457" t="s">
        <v>3475</v>
      </c>
      <c r="R42" s="481"/>
      <c r="S42" s="57"/>
      <c r="T42" s="37" t="s">
        <v>3497</v>
      </c>
      <c r="U42" s="37" t="s">
        <v>3474</v>
      </c>
      <c r="V42" s="57"/>
      <c r="W42" s="57"/>
      <c r="X42" s="57"/>
      <c r="Y42" s="57"/>
      <c r="Z42" s="57"/>
      <c r="AA42" s="57"/>
      <c r="AB42" s="57"/>
      <c r="AC42" s="57"/>
      <c r="AD42" s="57"/>
      <c r="AE42" s="57"/>
      <c r="AF42" s="57"/>
      <c r="AG42" s="57"/>
    </row>
    <row r="43">
      <c r="A43" s="457" t="s">
        <v>3509</v>
      </c>
      <c r="B43" s="479">
        <v>0.7</v>
      </c>
      <c r="C43" s="457" t="s">
        <v>3505</v>
      </c>
      <c r="D43" s="471">
        <v>46020.0</v>
      </c>
      <c r="E43" s="471">
        <v>46020.0</v>
      </c>
      <c r="F43" s="471">
        <v>46020.0</v>
      </c>
      <c r="G43" s="455">
        <f t="shared" si="1"/>
        <v>46385</v>
      </c>
      <c r="H43" s="471">
        <v>46036.0</v>
      </c>
      <c r="I43" s="498">
        <v>46036.0</v>
      </c>
      <c r="J43" s="491"/>
      <c r="K43" s="491"/>
      <c r="L43" s="457" t="s">
        <v>3501</v>
      </c>
      <c r="M43" s="471"/>
      <c r="N43" s="457" t="s">
        <v>3496</v>
      </c>
      <c r="O43" s="457">
        <v>2.0</v>
      </c>
      <c r="P43" s="481"/>
      <c r="Q43" s="457" t="s">
        <v>3475</v>
      </c>
      <c r="R43" s="481"/>
      <c r="S43" s="57"/>
      <c r="T43" s="37" t="s">
        <v>3497</v>
      </c>
      <c r="U43" s="57"/>
      <c r="V43" s="57"/>
      <c r="W43" s="57"/>
      <c r="X43" s="57"/>
      <c r="Y43" s="57"/>
      <c r="Z43" s="57"/>
      <c r="AA43" s="57"/>
      <c r="AB43" s="57"/>
      <c r="AC43" s="57"/>
      <c r="AD43" s="57"/>
      <c r="AE43" s="57"/>
      <c r="AF43" s="57"/>
      <c r="AG43" s="57"/>
    </row>
    <row r="44">
      <c r="A44" s="457" t="s">
        <v>542</v>
      </c>
      <c r="B44" s="479">
        <v>0.85</v>
      </c>
      <c r="C44" s="457" t="s">
        <v>3499</v>
      </c>
      <c r="D44" s="471">
        <v>46076.0</v>
      </c>
      <c r="E44" s="471">
        <v>46076.0</v>
      </c>
      <c r="F44" s="471">
        <v>46076.0</v>
      </c>
      <c r="G44" s="467">
        <v>46513.0</v>
      </c>
      <c r="H44" s="471">
        <v>46079.0</v>
      </c>
      <c r="I44" s="471">
        <v>46093.0</v>
      </c>
      <c r="J44" s="461">
        <v>2542.5</v>
      </c>
      <c r="K44" s="491"/>
      <c r="L44" s="457" t="s">
        <v>3510</v>
      </c>
      <c r="M44" s="471"/>
      <c r="N44" s="457" t="s">
        <v>3496</v>
      </c>
      <c r="O44" s="457">
        <v>3.0</v>
      </c>
      <c r="P44" s="481"/>
      <c r="Q44" s="457" t="s">
        <v>3475</v>
      </c>
      <c r="R44" s="481"/>
      <c r="S44" s="57"/>
      <c r="T44" s="57"/>
      <c r="U44" s="37" t="s">
        <v>3474</v>
      </c>
      <c r="V44" s="54" t="s">
        <v>3511</v>
      </c>
      <c r="W44" s="57"/>
      <c r="X44" s="57"/>
      <c r="Y44" s="57"/>
      <c r="Z44" s="57"/>
      <c r="AA44" s="57"/>
      <c r="AB44" s="57"/>
      <c r="AC44" s="57"/>
      <c r="AD44" s="57"/>
      <c r="AE44" s="57"/>
      <c r="AF44" s="57"/>
      <c r="AG44" s="57"/>
    </row>
    <row r="45">
      <c r="A45" s="457" t="s">
        <v>3512</v>
      </c>
      <c r="B45" s="479">
        <v>0.7</v>
      </c>
      <c r="C45" s="457" t="s">
        <v>3499</v>
      </c>
      <c r="D45" s="471">
        <v>46076.0</v>
      </c>
      <c r="E45" s="471">
        <v>46076.0</v>
      </c>
      <c r="F45" s="471">
        <v>46076.0</v>
      </c>
      <c r="G45" s="455">
        <f t="shared" ref="G45:G60" si="2">edate(E45,12)</f>
        <v>46441</v>
      </c>
      <c r="H45" s="471">
        <v>46079.0</v>
      </c>
      <c r="I45" s="471">
        <v>46101.0</v>
      </c>
      <c r="J45" s="491"/>
      <c r="K45" s="491"/>
      <c r="L45" s="457" t="s">
        <v>3510</v>
      </c>
      <c r="M45" s="471"/>
      <c r="N45" s="457" t="s">
        <v>3496</v>
      </c>
      <c r="O45" s="451"/>
      <c r="P45" s="481"/>
      <c r="Q45" s="457" t="s">
        <v>3475</v>
      </c>
      <c r="R45" s="481"/>
      <c r="S45" s="57"/>
      <c r="T45" s="57"/>
      <c r="U45" s="499"/>
      <c r="V45" s="57"/>
      <c r="W45" s="57"/>
      <c r="X45" s="57"/>
      <c r="Y45" s="57"/>
      <c r="Z45" s="57"/>
      <c r="AA45" s="57"/>
      <c r="AB45" s="57"/>
      <c r="AC45" s="57"/>
      <c r="AD45" s="57"/>
      <c r="AE45" s="57"/>
      <c r="AF45" s="57"/>
      <c r="AG45" s="57"/>
    </row>
    <row r="46">
      <c r="A46" s="457" t="s">
        <v>540</v>
      </c>
      <c r="B46" s="479">
        <v>0.9</v>
      </c>
      <c r="C46" s="457" t="s">
        <v>3499</v>
      </c>
      <c r="D46" s="471">
        <v>46077.0</v>
      </c>
      <c r="E46" s="471">
        <v>46077.0</v>
      </c>
      <c r="F46" s="471">
        <v>46077.0</v>
      </c>
      <c r="G46" s="455">
        <f t="shared" si="2"/>
        <v>46442</v>
      </c>
      <c r="H46" s="471">
        <v>46084.0</v>
      </c>
      <c r="I46" s="471">
        <v>46112.0</v>
      </c>
      <c r="J46" s="491"/>
      <c r="K46" s="491"/>
      <c r="L46" s="457" t="s">
        <v>3510</v>
      </c>
      <c r="M46" s="471"/>
      <c r="N46" s="457" t="s">
        <v>3496</v>
      </c>
      <c r="O46" s="457">
        <v>1.0</v>
      </c>
      <c r="P46" s="492" t="s">
        <v>3513</v>
      </c>
      <c r="Q46" s="457" t="s">
        <v>3475</v>
      </c>
      <c r="R46" s="481"/>
      <c r="S46" s="57"/>
      <c r="T46" s="57"/>
      <c r="U46" s="37" t="s">
        <v>3474</v>
      </c>
      <c r="V46" s="54" t="s">
        <v>3514</v>
      </c>
      <c r="W46" s="57"/>
      <c r="X46" s="57"/>
      <c r="Y46" s="57"/>
      <c r="Z46" s="57"/>
      <c r="AA46" s="57"/>
      <c r="AB46" s="57"/>
      <c r="AC46" s="57"/>
      <c r="AD46" s="57"/>
      <c r="AE46" s="57"/>
      <c r="AF46" s="57"/>
      <c r="AG46" s="57"/>
    </row>
    <row r="47">
      <c r="A47" s="457" t="s">
        <v>1490</v>
      </c>
      <c r="B47" s="479">
        <v>0.9</v>
      </c>
      <c r="C47" s="457" t="s">
        <v>3505</v>
      </c>
      <c r="D47" s="471">
        <v>46088.0</v>
      </c>
      <c r="E47" s="492" t="s">
        <v>3515</v>
      </c>
      <c r="F47" s="492" t="s">
        <v>3515</v>
      </c>
      <c r="G47" s="455">
        <f t="shared" si="2"/>
        <v>46453</v>
      </c>
      <c r="H47" s="471">
        <v>46119.0</v>
      </c>
      <c r="I47" s="471">
        <v>46111.0</v>
      </c>
      <c r="J47" s="491"/>
      <c r="K47" s="491"/>
      <c r="L47" s="457" t="s">
        <v>52</v>
      </c>
      <c r="M47" s="471"/>
      <c r="N47" s="457" t="s">
        <v>3474</v>
      </c>
      <c r="O47" s="451"/>
      <c r="P47" s="481"/>
      <c r="Q47" s="457" t="s">
        <v>3475</v>
      </c>
      <c r="R47" s="481"/>
      <c r="S47" s="57"/>
      <c r="T47" s="57"/>
      <c r="U47" s="57"/>
      <c r="V47" s="57"/>
      <c r="W47" s="57"/>
      <c r="X47" s="57"/>
      <c r="Y47" s="57"/>
      <c r="Z47" s="57"/>
      <c r="AA47" s="57"/>
      <c r="AB47" s="57"/>
      <c r="AC47" s="57"/>
      <c r="AD47" s="57"/>
      <c r="AE47" s="57"/>
      <c r="AF47" s="57"/>
      <c r="AG47" s="57"/>
    </row>
    <row r="48">
      <c r="A48" s="500" t="s">
        <v>3516</v>
      </c>
      <c r="B48" s="479">
        <v>0.7</v>
      </c>
      <c r="C48" s="457" t="s">
        <v>3499</v>
      </c>
      <c r="D48" s="471">
        <v>46112.0</v>
      </c>
      <c r="E48" s="471">
        <v>46112.0</v>
      </c>
      <c r="F48" s="471">
        <v>46112.0</v>
      </c>
      <c r="G48" s="455">
        <f t="shared" si="2"/>
        <v>46477</v>
      </c>
      <c r="H48" s="471">
        <v>46120.0</v>
      </c>
      <c r="I48" s="471">
        <v>46121.0</v>
      </c>
      <c r="J48" s="491"/>
      <c r="K48" s="491"/>
      <c r="L48" s="457" t="s">
        <v>3510</v>
      </c>
      <c r="M48" s="471"/>
      <c r="N48" s="457" t="s">
        <v>3517</v>
      </c>
      <c r="O48" s="451"/>
      <c r="P48" s="481"/>
      <c r="Q48" s="457"/>
      <c r="R48" s="481"/>
      <c r="S48" s="57"/>
      <c r="T48" s="57"/>
      <c r="U48" s="37" t="s">
        <v>3474</v>
      </c>
      <c r="V48" s="57"/>
      <c r="W48" s="57"/>
      <c r="X48" s="57"/>
      <c r="Y48" s="57"/>
      <c r="Z48" s="57"/>
      <c r="AA48" s="57"/>
      <c r="AB48" s="57"/>
      <c r="AC48" s="57"/>
      <c r="AD48" s="57"/>
      <c r="AE48" s="57"/>
      <c r="AF48" s="57"/>
      <c r="AG48" s="57"/>
    </row>
    <row r="49">
      <c r="A49" s="501" t="s">
        <v>488</v>
      </c>
      <c r="B49" s="479">
        <v>0.7</v>
      </c>
      <c r="C49" s="457" t="s">
        <v>3499</v>
      </c>
      <c r="D49" s="471">
        <v>46118.0</v>
      </c>
      <c r="E49" s="471">
        <v>46118.0</v>
      </c>
      <c r="F49" s="471">
        <v>46118.0</v>
      </c>
      <c r="G49" s="455">
        <f t="shared" si="2"/>
        <v>46483</v>
      </c>
      <c r="H49" s="471">
        <v>46119.0</v>
      </c>
      <c r="I49" s="471">
        <v>46125.0</v>
      </c>
      <c r="J49" s="491"/>
      <c r="K49" s="457" t="s">
        <v>3411</v>
      </c>
      <c r="L49" s="457" t="s">
        <v>3510</v>
      </c>
      <c r="M49" s="471"/>
      <c r="N49" s="457" t="s">
        <v>3496</v>
      </c>
      <c r="O49" s="451"/>
      <c r="P49" s="481"/>
      <c r="Q49" s="492" t="s">
        <v>3475</v>
      </c>
      <c r="R49" s="481"/>
      <c r="S49" s="57"/>
      <c r="T49" s="57"/>
      <c r="U49" s="37" t="s">
        <v>3474</v>
      </c>
      <c r="V49" s="57"/>
      <c r="W49" s="57"/>
      <c r="X49" s="57"/>
      <c r="Y49" s="57"/>
      <c r="Z49" s="57"/>
      <c r="AA49" s="57"/>
      <c r="AB49" s="57"/>
      <c r="AC49" s="57"/>
      <c r="AD49" s="57"/>
      <c r="AE49" s="57"/>
      <c r="AF49" s="57"/>
      <c r="AG49" s="57"/>
    </row>
    <row r="50">
      <c r="A50" s="502" t="s">
        <v>3518</v>
      </c>
      <c r="B50" s="479">
        <v>0.8</v>
      </c>
      <c r="C50" s="457" t="s">
        <v>3499</v>
      </c>
      <c r="D50" s="471">
        <v>46125.0</v>
      </c>
      <c r="E50" s="471">
        <v>46125.0</v>
      </c>
      <c r="F50" s="471">
        <v>46125.0</v>
      </c>
      <c r="G50" s="455">
        <f t="shared" si="2"/>
        <v>46490</v>
      </c>
      <c r="H50" s="471">
        <v>46136.0</v>
      </c>
      <c r="I50" s="471">
        <v>46140.0</v>
      </c>
      <c r="J50" s="491"/>
      <c r="K50" s="491"/>
      <c r="L50" s="451"/>
      <c r="M50" s="471"/>
      <c r="N50" s="451"/>
      <c r="O50" s="451"/>
      <c r="P50" s="481"/>
      <c r="Q50" s="481"/>
      <c r="R50" s="481"/>
      <c r="S50" s="57"/>
      <c r="T50" s="57"/>
      <c r="U50" s="48"/>
      <c r="V50" s="54" t="s">
        <v>3519</v>
      </c>
      <c r="W50" s="57"/>
      <c r="X50" s="57"/>
      <c r="Y50" s="57"/>
      <c r="Z50" s="57"/>
      <c r="AA50" s="57"/>
      <c r="AB50" s="57"/>
      <c r="AC50" s="57"/>
      <c r="AD50" s="57"/>
      <c r="AE50" s="57"/>
      <c r="AF50" s="57"/>
      <c r="AG50" s="57"/>
    </row>
    <row r="51">
      <c r="A51" s="457" t="s">
        <v>3520</v>
      </c>
      <c r="B51" s="479">
        <v>0.7</v>
      </c>
      <c r="C51" s="457" t="s">
        <v>3499</v>
      </c>
      <c r="D51" s="471">
        <v>46138.0</v>
      </c>
      <c r="E51" s="471">
        <v>46138.0</v>
      </c>
      <c r="F51" s="471">
        <v>46138.0</v>
      </c>
      <c r="G51" s="455">
        <f t="shared" si="2"/>
        <v>46503</v>
      </c>
      <c r="H51" s="471">
        <v>46140.0</v>
      </c>
      <c r="I51" s="471">
        <v>46142.0</v>
      </c>
      <c r="J51" s="491"/>
      <c r="K51" s="491"/>
      <c r="L51" s="457" t="s">
        <v>3510</v>
      </c>
      <c r="M51" s="471"/>
      <c r="N51" s="457" t="s">
        <v>3496</v>
      </c>
      <c r="O51" s="451"/>
      <c r="P51" s="481"/>
      <c r="Q51" s="481"/>
      <c r="R51" s="481"/>
      <c r="S51" s="57"/>
      <c r="T51" s="57"/>
      <c r="U51" s="37" t="s">
        <v>3474</v>
      </c>
      <c r="V51" s="57"/>
      <c r="W51" s="57"/>
      <c r="X51" s="57"/>
      <c r="Y51" s="57"/>
      <c r="Z51" s="57"/>
      <c r="AA51" s="57"/>
      <c r="AB51" s="57"/>
      <c r="AC51" s="57"/>
      <c r="AD51" s="57"/>
      <c r="AE51" s="57"/>
      <c r="AF51" s="57"/>
      <c r="AG51" s="57"/>
    </row>
    <row r="52">
      <c r="A52" s="457" t="s">
        <v>3521</v>
      </c>
      <c r="B52" s="479">
        <v>0.8</v>
      </c>
      <c r="C52" s="457" t="s">
        <v>3499</v>
      </c>
      <c r="D52" s="471">
        <v>46139.0</v>
      </c>
      <c r="E52" s="471">
        <v>46139.0</v>
      </c>
      <c r="F52" s="471">
        <v>46139.0</v>
      </c>
      <c r="G52" s="455">
        <f t="shared" si="2"/>
        <v>46504</v>
      </c>
      <c r="H52" s="471">
        <v>46140.0</v>
      </c>
      <c r="I52" s="471">
        <v>46141.0</v>
      </c>
      <c r="J52" s="491"/>
      <c r="K52" s="491"/>
      <c r="L52" s="457" t="s">
        <v>3510</v>
      </c>
      <c r="M52" s="471"/>
      <c r="N52" s="457" t="s">
        <v>3496</v>
      </c>
      <c r="O52" s="451"/>
      <c r="P52" s="481"/>
      <c r="Q52" s="481"/>
      <c r="R52" s="481"/>
      <c r="S52" s="57"/>
      <c r="T52" s="57"/>
      <c r="U52" s="57"/>
      <c r="V52" s="57"/>
      <c r="W52" s="57"/>
      <c r="X52" s="57"/>
      <c r="Y52" s="57"/>
      <c r="Z52" s="57"/>
      <c r="AA52" s="57"/>
      <c r="AB52" s="57"/>
      <c r="AC52" s="57"/>
      <c r="AD52" s="57"/>
      <c r="AE52" s="57"/>
      <c r="AF52" s="57"/>
      <c r="AG52" s="57"/>
    </row>
    <row r="53">
      <c r="A53" s="457" t="s">
        <v>3522</v>
      </c>
      <c r="B53" s="479">
        <v>0.8</v>
      </c>
      <c r="C53" s="457" t="s">
        <v>3499</v>
      </c>
      <c r="D53" s="471">
        <v>46139.0</v>
      </c>
      <c r="E53" s="471">
        <v>46139.0</v>
      </c>
      <c r="F53" s="471">
        <v>46139.0</v>
      </c>
      <c r="G53" s="455">
        <f t="shared" si="2"/>
        <v>46504</v>
      </c>
      <c r="H53" s="471">
        <v>46143.0</v>
      </c>
      <c r="I53" s="471">
        <v>46142.0</v>
      </c>
      <c r="J53" s="491"/>
      <c r="K53" s="491"/>
      <c r="L53" s="457" t="s">
        <v>3510</v>
      </c>
      <c r="M53" s="471"/>
      <c r="N53" s="457" t="s">
        <v>3496</v>
      </c>
      <c r="O53" s="451"/>
      <c r="P53" s="481"/>
      <c r="Q53" s="481"/>
      <c r="R53" s="481"/>
      <c r="S53" s="57"/>
      <c r="T53" s="57"/>
      <c r="U53" s="57"/>
      <c r="V53" s="57"/>
      <c r="W53" s="57"/>
      <c r="X53" s="57"/>
      <c r="Y53" s="57"/>
      <c r="Z53" s="57"/>
      <c r="AA53" s="57"/>
      <c r="AB53" s="57"/>
      <c r="AC53" s="57"/>
      <c r="AD53" s="57"/>
      <c r="AE53" s="57"/>
      <c r="AF53" s="57"/>
      <c r="AG53" s="57"/>
    </row>
    <row r="54">
      <c r="A54" s="503" t="s">
        <v>407</v>
      </c>
      <c r="B54" s="479">
        <v>0.9</v>
      </c>
      <c r="C54" s="457" t="s">
        <v>3499</v>
      </c>
      <c r="D54" s="471">
        <v>46139.0</v>
      </c>
      <c r="E54" s="471">
        <v>46139.0</v>
      </c>
      <c r="F54" s="471">
        <v>46139.0</v>
      </c>
      <c r="G54" s="455">
        <f t="shared" si="2"/>
        <v>46504</v>
      </c>
      <c r="H54" s="471">
        <v>46143.0</v>
      </c>
      <c r="I54" s="471">
        <v>46141.0</v>
      </c>
      <c r="J54" s="491"/>
      <c r="K54" s="491"/>
      <c r="L54" s="457" t="s">
        <v>52</v>
      </c>
      <c r="M54" s="471"/>
      <c r="N54" s="457" t="s">
        <v>3494</v>
      </c>
      <c r="O54" s="451"/>
      <c r="P54" s="481"/>
      <c r="Q54" s="481"/>
      <c r="R54" s="481"/>
      <c r="S54" s="57"/>
      <c r="T54" s="57"/>
      <c r="U54" s="37" t="s">
        <v>3474</v>
      </c>
      <c r="V54" s="57"/>
      <c r="W54" s="57"/>
      <c r="X54" s="57"/>
      <c r="Y54" s="57"/>
      <c r="Z54" s="57"/>
      <c r="AA54" s="57"/>
      <c r="AB54" s="57"/>
      <c r="AC54" s="57"/>
      <c r="AD54" s="57"/>
      <c r="AE54" s="57"/>
      <c r="AF54" s="57"/>
      <c r="AG54" s="57"/>
    </row>
    <row r="55">
      <c r="A55" s="504" t="s">
        <v>3523</v>
      </c>
      <c r="B55" s="479">
        <v>0.8</v>
      </c>
      <c r="C55" s="457" t="s">
        <v>3499</v>
      </c>
      <c r="D55" s="471">
        <v>46146.0</v>
      </c>
      <c r="E55" s="471">
        <v>46146.0</v>
      </c>
      <c r="F55" s="471">
        <v>46146.0</v>
      </c>
      <c r="G55" s="455">
        <f t="shared" si="2"/>
        <v>46511</v>
      </c>
      <c r="H55" s="471">
        <v>46170.0</v>
      </c>
      <c r="I55" s="471">
        <v>46176.0</v>
      </c>
      <c r="J55" s="491"/>
      <c r="K55" s="491"/>
      <c r="L55" s="457" t="s">
        <v>3510</v>
      </c>
      <c r="M55" s="471"/>
      <c r="N55" s="457" t="s">
        <v>3496</v>
      </c>
      <c r="O55" s="451"/>
      <c r="P55" s="481"/>
      <c r="Q55" s="481"/>
      <c r="R55" s="481"/>
      <c r="S55" s="57"/>
      <c r="T55" s="57"/>
      <c r="U55" s="37" t="s">
        <v>3474</v>
      </c>
      <c r="V55" s="57"/>
      <c r="W55" s="57"/>
      <c r="X55" s="57"/>
      <c r="Y55" s="57"/>
      <c r="Z55" s="57"/>
      <c r="AA55" s="57"/>
      <c r="AB55" s="57"/>
      <c r="AC55" s="57"/>
      <c r="AD55" s="57"/>
      <c r="AE55" s="57"/>
      <c r="AF55" s="57"/>
      <c r="AG55" s="57"/>
    </row>
    <row r="56">
      <c r="A56" s="505" t="s">
        <v>477</v>
      </c>
      <c r="B56" s="479">
        <v>0.75</v>
      </c>
      <c r="C56" s="457" t="s">
        <v>3499</v>
      </c>
      <c r="D56" s="471">
        <v>46146.0</v>
      </c>
      <c r="E56" s="471">
        <v>46146.0</v>
      </c>
      <c r="F56" s="471">
        <v>46146.0</v>
      </c>
      <c r="G56" s="455">
        <f t="shared" si="2"/>
        <v>46511</v>
      </c>
      <c r="H56" s="471">
        <v>46150.0</v>
      </c>
      <c r="I56" s="471">
        <v>46148.0</v>
      </c>
      <c r="J56" s="491"/>
      <c r="K56" s="491"/>
      <c r="L56" s="457" t="s">
        <v>3510</v>
      </c>
      <c r="M56" s="471"/>
      <c r="N56" s="457" t="s">
        <v>3496</v>
      </c>
      <c r="O56" s="451"/>
      <c r="P56" s="481"/>
      <c r="Q56" s="481"/>
      <c r="R56" s="481"/>
      <c r="S56" s="57"/>
      <c r="T56" s="57"/>
      <c r="U56" s="37" t="s">
        <v>3474</v>
      </c>
      <c r="V56" s="57"/>
      <c r="W56" s="57"/>
      <c r="X56" s="57"/>
      <c r="Y56" s="57"/>
      <c r="Z56" s="57"/>
      <c r="AA56" s="57"/>
      <c r="AB56" s="57"/>
      <c r="AC56" s="57"/>
      <c r="AD56" s="57"/>
      <c r="AE56" s="57"/>
      <c r="AF56" s="57"/>
      <c r="AG56" s="57"/>
    </row>
    <row r="57">
      <c r="A57" s="505" t="s">
        <v>3524</v>
      </c>
      <c r="B57" s="479">
        <v>0.75</v>
      </c>
      <c r="C57" s="457" t="s">
        <v>3499</v>
      </c>
      <c r="D57" s="471">
        <v>46153.0</v>
      </c>
      <c r="E57" s="471">
        <v>46153.0</v>
      </c>
      <c r="F57" s="471">
        <v>46153.0</v>
      </c>
      <c r="G57" s="455">
        <f t="shared" si="2"/>
        <v>46518</v>
      </c>
      <c r="H57" s="471">
        <v>46188.0</v>
      </c>
      <c r="I57" s="506"/>
      <c r="J57" s="491"/>
      <c r="K57" s="491"/>
      <c r="L57" s="457" t="s">
        <v>3510</v>
      </c>
      <c r="M57" s="471"/>
      <c r="N57" s="457" t="s">
        <v>3496</v>
      </c>
      <c r="O57" s="451"/>
      <c r="P57" s="481"/>
      <c r="Q57" s="481"/>
      <c r="R57" s="481"/>
      <c r="S57" s="57"/>
      <c r="T57" s="57"/>
      <c r="U57" s="57"/>
      <c r="V57" s="57"/>
      <c r="W57" s="57"/>
      <c r="X57" s="57"/>
      <c r="Y57" s="57"/>
      <c r="Z57" s="57"/>
      <c r="AA57" s="57"/>
      <c r="AB57" s="57"/>
      <c r="AC57" s="57"/>
      <c r="AD57" s="57"/>
      <c r="AE57" s="57"/>
      <c r="AF57" s="57"/>
      <c r="AG57" s="57"/>
    </row>
    <row r="58">
      <c r="A58" s="505" t="s">
        <v>3525</v>
      </c>
      <c r="B58" s="479">
        <v>0.8</v>
      </c>
      <c r="C58" s="457" t="s">
        <v>3499</v>
      </c>
      <c r="D58" s="471">
        <v>46160.0</v>
      </c>
      <c r="E58" s="471">
        <v>46160.0</v>
      </c>
      <c r="F58" s="471">
        <v>46160.0</v>
      </c>
      <c r="G58" s="455">
        <f t="shared" si="2"/>
        <v>46525</v>
      </c>
      <c r="H58" s="471">
        <v>46163.0</v>
      </c>
      <c r="I58" s="471">
        <v>46170.0</v>
      </c>
      <c r="J58" s="491"/>
      <c r="K58" s="491"/>
      <c r="L58" s="457" t="s">
        <v>3510</v>
      </c>
      <c r="M58" s="471"/>
      <c r="N58" s="457" t="s">
        <v>3496</v>
      </c>
      <c r="O58" s="451"/>
      <c r="P58" s="481"/>
      <c r="Q58" s="481"/>
      <c r="R58" s="481"/>
      <c r="S58" s="57"/>
      <c r="T58" s="57"/>
      <c r="U58" s="499"/>
      <c r="V58" s="57"/>
      <c r="W58" s="57"/>
      <c r="X58" s="57"/>
      <c r="Y58" s="57"/>
      <c r="Z58" s="57"/>
      <c r="AA58" s="57"/>
      <c r="AB58" s="57"/>
      <c r="AC58" s="57"/>
      <c r="AD58" s="57"/>
      <c r="AE58" s="57"/>
      <c r="AF58" s="57"/>
      <c r="AG58" s="57"/>
    </row>
    <row r="59">
      <c r="A59" s="507" t="s">
        <v>3526</v>
      </c>
      <c r="B59" s="479">
        <v>0.9</v>
      </c>
      <c r="C59" s="457" t="s">
        <v>3505</v>
      </c>
      <c r="D59" s="471">
        <v>46175.0</v>
      </c>
      <c r="E59" s="471">
        <v>46175.0</v>
      </c>
      <c r="F59" s="471">
        <v>46175.0</v>
      </c>
      <c r="G59" s="455">
        <f t="shared" si="2"/>
        <v>46540</v>
      </c>
      <c r="H59" s="471">
        <v>46175.0</v>
      </c>
      <c r="I59" s="471">
        <v>46183.0</v>
      </c>
      <c r="J59" s="491"/>
      <c r="K59" s="491"/>
      <c r="L59" s="457" t="s">
        <v>52</v>
      </c>
      <c r="M59" s="471"/>
      <c r="N59" s="451"/>
      <c r="O59" s="451"/>
      <c r="P59" s="481"/>
      <c r="Q59" s="481"/>
      <c r="R59" s="481"/>
      <c r="S59" s="57"/>
      <c r="T59" s="57"/>
      <c r="U59" s="57"/>
      <c r="V59" s="57"/>
      <c r="W59" s="57"/>
      <c r="X59" s="57"/>
      <c r="Y59" s="57"/>
      <c r="Z59" s="57"/>
      <c r="AA59" s="57"/>
      <c r="AB59" s="57"/>
      <c r="AC59" s="57"/>
      <c r="AD59" s="57"/>
      <c r="AE59" s="57"/>
      <c r="AF59" s="57"/>
      <c r="AG59" s="57"/>
    </row>
    <row r="60">
      <c r="A60" s="503" t="s">
        <v>3527</v>
      </c>
      <c r="B60" s="479">
        <v>0.7</v>
      </c>
      <c r="C60" s="457" t="s">
        <v>3499</v>
      </c>
      <c r="D60" s="471">
        <v>46188.0</v>
      </c>
      <c r="E60" s="471">
        <v>46188.0</v>
      </c>
      <c r="F60" s="471">
        <v>46188.0</v>
      </c>
      <c r="G60" s="455">
        <f t="shared" si="2"/>
        <v>46553</v>
      </c>
      <c r="H60" s="506"/>
      <c r="I60" s="506"/>
      <c r="J60" s="491"/>
      <c r="K60" s="491"/>
      <c r="L60" s="457" t="s">
        <v>3510</v>
      </c>
      <c r="M60" s="471"/>
      <c r="N60" s="457" t="s">
        <v>3502</v>
      </c>
      <c r="O60" s="451"/>
      <c r="P60" s="481"/>
      <c r="Q60" s="481"/>
      <c r="R60" s="481"/>
      <c r="S60" s="57"/>
      <c r="T60" s="57"/>
      <c r="U60" s="57"/>
      <c r="V60" s="57"/>
      <c r="W60" s="57"/>
      <c r="X60" s="57"/>
      <c r="Y60" s="57"/>
      <c r="Z60" s="57"/>
      <c r="AA60" s="57"/>
      <c r="AB60" s="57"/>
      <c r="AC60" s="57"/>
      <c r="AD60" s="57"/>
      <c r="AE60" s="57"/>
      <c r="AF60" s="57"/>
      <c r="AG60" s="57"/>
    </row>
    <row r="61">
      <c r="A61" s="508"/>
      <c r="B61" s="452"/>
      <c r="C61" s="454"/>
      <c r="D61" s="454"/>
      <c r="E61" s="481"/>
      <c r="F61" s="454"/>
      <c r="G61" s="455"/>
      <c r="H61" s="454"/>
      <c r="I61" s="454"/>
      <c r="J61" s="491"/>
      <c r="K61" s="491"/>
      <c r="L61" s="451"/>
      <c r="M61" s="471"/>
      <c r="N61" s="451"/>
      <c r="O61" s="451"/>
      <c r="P61" s="481"/>
      <c r="Q61" s="481"/>
      <c r="R61" s="481"/>
      <c r="S61" s="57"/>
      <c r="T61" s="57"/>
      <c r="U61" s="57"/>
      <c r="V61" s="57"/>
      <c r="W61" s="57"/>
      <c r="X61" s="57"/>
      <c r="Y61" s="57"/>
      <c r="Z61" s="57"/>
      <c r="AA61" s="57"/>
      <c r="AB61" s="57"/>
      <c r="AC61" s="57"/>
      <c r="AD61" s="57"/>
      <c r="AE61" s="57"/>
      <c r="AF61" s="57"/>
      <c r="AG61" s="57"/>
    </row>
    <row r="62">
      <c r="A62" s="451"/>
      <c r="B62" s="452"/>
      <c r="C62" s="454"/>
      <c r="D62" s="454"/>
      <c r="E62" s="481"/>
      <c r="F62" s="454"/>
      <c r="G62" s="455"/>
      <c r="H62" s="454"/>
      <c r="I62" s="454"/>
      <c r="J62" s="491"/>
      <c r="K62" s="491"/>
      <c r="L62" s="451"/>
      <c r="M62" s="471"/>
      <c r="N62" s="451"/>
      <c r="O62" s="451"/>
      <c r="P62" s="481"/>
      <c r="Q62" s="481"/>
      <c r="R62" s="481"/>
      <c r="S62" s="57"/>
      <c r="T62" s="57"/>
      <c r="U62" s="57"/>
      <c r="V62" s="57"/>
      <c r="W62" s="57"/>
      <c r="X62" s="57"/>
      <c r="Y62" s="57"/>
      <c r="Z62" s="57"/>
      <c r="AA62" s="57"/>
      <c r="AB62" s="57"/>
      <c r="AC62" s="57"/>
      <c r="AD62" s="57"/>
      <c r="AE62" s="57"/>
      <c r="AF62" s="57"/>
      <c r="AG62" s="57"/>
    </row>
    <row r="63">
      <c r="A63" s="451"/>
      <c r="B63" s="452"/>
      <c r="C63" s="454"/>
      <c r="D63" s="454"/>
      <c r="E63" s="481"/>
      <c r="F63" s="454"/>
      <c r="G63" s="455"/>
      <c r="H63" s="454"/>
      <c r="I63" s="454"/>
      <c r="J63" s="491"/>
      <c r="K63" s="491"/>
      <c r="L63" s="451"/>
      <c r="M63" s="471"/>
      <c r="N63" s="451"/>
      <c r="O63" s="451"/>
      <c r="P63" s="481"/>
      <c r="Q63" s="481"/>
      <c r="R63" s="481"/>
      <c r="S63" s="57"/>
      <c r="T63" s="57"/>
      <c r="U63" s="57"/>
      <c r="V63" s="57"/>
      <c r="W63" s="57"/>
      <c r="X63" s="57"/>
      <c r="Y63" s="57"/>
      <c r="Z63" s="57"/>
      <c r="AA63" s="57"/>
      <c r="AB63" s="57"/>
      <c r="AC63" s="57"/>
      <c r="AD63" s="57"/>
      <c r="AE63" s="57"/>
      <c r="AF63" s="57"/>
      <c r="AG63" s="57"/>
    </row>
    <row r="64">
      <c r="A64" s="451"/>
      <c r="B64" s="452"/>
      <c r="C64" s="454"/>
      <c r="D64" s="454"/>
      <c r="E64" s="481"/>
      <c r="F64" s="454"/>
      <c r="G64" s="455"/>
      <c r="H64" s="454"/>
      <c r="I64" s="454"/>
      <c r="J64" s="491"/>
      <c r="K64" s="491"/>
      <c r="L64" s="451"/>
      <c r="M64" s="471"/>
      <c r="N64" s="451"/>
      <c r="O64" s="451"/>
      <c r="P64" s="481"/>
      <c r="Q64" s="481"/>
      <c r="R64" s="481"/>
      <c r="S64" s="57"/>
      <c r="T64" s="57"/>
      <c r="U64" s="57"/>
      <c r="V64" s="57"/>
      <c r="W64" s="57"/>
      <c r="X64" s="57"/>
      <c r="Y64" s="57"/>
      <c r="Z64" s="57"/>
      <c r="AA64" s="57"/>
      <c r="AB64" s="57"/>
      <c r="AC64" s="57"/>
      <c r="AD64" s="57"/>
      <c r="AE64" s="57"/>
      <c r="AF64" s="57"/>
      <c r="AG64" s="57"/>
    </row>
    <row r="65">
      <c r="A65" s="451"/>
      <c r="B65" s="452"/>
      <c r="C65" s="454"/>
      <c r="D65" s="454"/>
      <c r="E65" s="481"/>
      <c r="F65" s="454"/>
      <c r="G65" s="455"/>
      <c r="H65" s="454"/>
      <c r="I65" s="454"/>
      <c r="J65" s="491"/>
      <c r="K65" s="491"/>
      <c r="L65" s="451"/>
      <c r="M65" s="471"/>
      <c r="N65" s="451"/>
      <c r="O65" s="451"/>
      <c r="P65" s="481"/>
      <c r="Q65" s="481"/>
      <c r="R65" s="481"/>
      <c r="S65" s="57"/>
      <c r="T65" s="57"/>
      <c r="U65" s="57"/>
      <c r="V65" s="57"/>
      <c r="W65" s="57"/>
      <c r="X65" s="57"/>
      <c r="Y65" s="57"/>
      <c r="Z65" s="57"/>
      <c r="AA65" s="57"/>
      <c r="AB65" s="57"/>
      <c r="AC65" s="57"/>
      <c r="AD65" s="57"/>
      <c r="AE65" s="57"/>
      <c r="AF65" s="57"/>
      <c r="AG65" s="57"/>
    </row>
    <row r="66">
      <c r="A66" s="451"/>
      <c r="B66" s="452"/>
      <c r="C66" s="454"/>
      <c r="D66" s="454"/>
      <c r="E66" s="481"/>
      <c r="F66" s="454"/>
      <c r="G66" s="455"/>
      <c r="H66" s="454"/>
      <c r="I66" s="454"/>
      <c r="J66" s="491"/>
      <c r="K66" s="491"/>
      <c r="L66" s="451"/>
      <c r="M66" s="471"/>
      <c r="N66" s="451"/>
      <c r="O66" s="451"/>
      <c r="P66" s="481"/>
      <c r="Q66" s="481"/>
      <c r="R66" s="481"/>
      <c r="S66" s="57"/>
      <c r="T66" s="57"/>
      <c r="U66" s="57"/>
      <c r="V66" s="57"/>
      <c r="W66" s="57"/>
      <c r="X66" s="57"/>
      <c r="Y66" s="57"/>
      <c r="Z66" s="57"/>
      <c r="AA66" s="57"/>
      <c r="AB66" s="57"/>
      <c r="AC66" s="57"/>
      <c r="AD66" s="57"/>
      <c r="AE66" s="57"/>
      <c r="AF66" s="57"/>
      <c r="AG66" s="57"/>
    </row>
    <row r="67">
      <c r="A67" s="509" t="s">
        <v>3528</v>
      </c>
      <c r="B67" s="510"/>
      <c r="C67" s="510"/>
      <c r="D67" s="510"/>
      <c r="E67" s="510"/>
      <c r="F67" s="510"/>
      <c r="G67" s="510"/>
      <c r="H67" s="510"/>
      <c r="I67" s="510"/>
      <c r="J67" s="510"/>
      <c r="K67" s="510"/>
      <c r="L67" s="510"/>
      <c r="M67" s="510"/>
      <c r="N67" s="510"/>
      <c r="O67" s="510"/>
      <c r="P67" s="510"/>
      <c r="Q67" s="510"/>
      <c r="R67" s="510"/>
      <c r="S67" s="510"/>
      <c r="T67" s="510"/>
      <c r="U67" s="510"/>
      <c r="V67" s="510"/>
      <c r="W67" s="510"/>
      <c r="X67" s="510"/>
      <c r="Y67" s="510"/>
      <c r="Z67" s="510"/>
      <c r="AA67" s="510"/>
      <c r="AB67" s="510"/>
      <c r="AC67" s="510"/>
      <c r="AD67" s="510"/>
      <c r="AE67" s="510"/>
      <c r="AF67" s="510"/>
      <c r="AG67" s="510"/>
    </row>
    <row r="68">
      <c r="A68" s="37" t="s">
        <v>3529</v>
      </c>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row>
    <row r="69">
      <c r="A69" s="37" t="s">
        <v>3530</v>
      </c>
      <c r="B69" s="57"/>
      <c r="C69" s="57"/>
      <c r="D69" s="57"/>
      <c r="E69" s="57"/>
      <c r="F69" s="57"/>
      <c r="G69" s="57"/>
      <c r="H69" s="57"/>
      <c r="I69" s="57"/>
      <c r="J69" s="57"/>
      <c r="K69" s="37" t="s">
        <v>3321</v>
      </c>
      <c r="L69" s="57"/>
      <c r="M69" s="57"/>
      <c r="N69" s="57"/>
      <c r="O69" s="57"/>
      <c r="P69" s="57"/>
      <c r="Q69" s="57"/>
      <c r="R69" s="57"/>
      <c r="S69" s="57"/>
      <c r="T69" s="57"/>
      <c r="U69" s="57"/>
      <c r="V69" s="57"/>
      <c r="W69" s="57"/>
      <c r="X69" s="57"/>
      <c r="Y69" s="57"/>
      <c r="Z69" s="57"/>
      <c r="AA69" s="57"/>
      <c r="AB69" s="57"/>
      <c r="AC69" s="57"/>
      <c r="AD69" s="57"/>
      <c r="AE69" s="57"/>
      <c r="AF69" s="57"/>
      <c r="AG69" s="57"/>
    </row>
    <row r="70">
      <c r="A70" s="511" t="s">
        <v>3531</v>
      </c>
      <c r="B70" s="479">
        <v>0.75</v>
      </c>
      <c r="C70" s="457" t="s">
        <v>3499</v>
      </c>
      <c r="D70" s="471">
        <v>46023.0</v>
      </c>
      <c r="E70" s="471">
        <v>46023.0</v>
      </c>
      <c r="F70" s="471">
        <v>46023.0</v>
      </c>
      <c r="G70" s="455">
        <f t="shared" ref="G70:G71" si="3">edate(E70,12)</f>
        <v>46388</v>
      </c>
      <c r="H70" s="512"/>
      <c r="I70" s="512"/>
      <c r="J70" s="491"/>
      <c r="K70" s="491"/>
      <c r="L70" s="457" t="s">
        <v>52</v>
      </c>
      <c r="M70" s="471"/>
      <c r="N70" s="457" t="s">
        <v>3474</v>
      </c>
      <c r="O70" s="451"/>
      <c r="P70" s="481"/>
      <c r="Q70" s="481"/>
      <c r="R70" s="481"/>
      <c r="S70" s="57"/>
      <c r="T70" s="37" t="s">
        <v>3532</v>
      </c>
      <c r="U70" s="57"/>
      <c r="V70" s="57"/>
      <c r="W70" s="57"/>
      <c r="X70" s="57"/>
      <c r="Y70" s="57"/>
      <c r="Z70" s="57"/>
      <c r="AA70" s="57"/>
      <c r="AB70" s="57"/>
      <c r="AC70" s="57"/>
      <c r="AD70" s="57"/>
      <c r="AE70" s="57"/>
      <c r="AF70" s="57"/>
      <c r="AG70" s="57"/>
    </row>
    <row r="71">
      <c r="A71" s="457" t="s">
        <v>3533</v>
      </c>
      <c r="B71" s="479">
        <v>0.75</v>
      </c>
      <c r="C71" s="457" t="s">
        <v>3499</v>
      </c>
      <c r="D71" s="471">
        <v>46034.0</v>
      </c>
      <c r="E71" s="471">
        <v>46034.0</v>
      </c>
      <c r="F71" s="471">
        <v>46034.0</v>
      </c>
      <c r="G71" s="455">
        <f t="shared" si="3"/>
        <v>46399</v>
      </c>
      <c r="H71" s="506"/>
      <c r="I71" s="506"/>
      <c r="J71" s="491"/>
      <c r="K71" s="491"/>
      <c r="L71" s="457" t="s">
        <v>3501</v>
      </c>
      <c r="M71" s="471">
        <v>46034.0</v>
      </c>
      <c r="N71" s="457" t="s">
        <v>3496</v>
      </c>
      <c r="O71" s="451"/>
      <c r="P71" s="481"/>
      <c r="Q71" s="481"/>
      <c r="R71" s="481"/>
      <c r="S71" s="57"/>
      <c r="T71" s="37" t="s">
        <v>3497</v>
      </c>
      <c r="U71" s="57"/>
      <c r="V71" s="57"/>
      <c r="W71" s="57"/>
      <c r="X71" s="57"/>
      <c r="Y71" s="57"/>
      <c r="Z71" s="57"/>
      <c r="AA71" s="57"/>
      <c r="AB71" s="57"/>
      <c r="AC71" s="57"/>
      <c r="AD71" s="57"/>
      <c r="AE71" s="57"/>
      <c r="AF71" s="57"/>
      <c r="AG71" s="57"/>
    </row>
    <row r="72">
      <c r="A72" s="457" t="s">
        <v>3534</v>
      </c>
      <c r="B72" s="479">
        <v>0.75</v>
      </c>
      <c r="C72" s="457" t="s">
        <v>3499</v>
      </c>
      <c r="D72" s="471">
        <v>46055.0</v>
      </c>
      <c r="E72" s="471">
        <v>46055.0</v>
      </c>
      <c r="F72" s="454"/>
      <c r="G72" s="455"/>
      <c r="H72" s="506"/>
      <c r="I72" s="506"/>
      <c r="J72" s="491"/>
      <c r="K72" s="491"/>
      <c r="L72" s="451"/>
      <c r="M72" s="471"/>
      <c r="N72" s="457" t="s">
        <v>3474</v>
      </c>
      <c r="O72" s="451"/>
      <c r="P72" s="481"/>
      <c r="Q72" s="481"/>
      <c r="R72" s="481"/>
      <c r="S72" s="57"/>
      <c r="T72" s="57"/>
      <c r="U72" s="57"/>
      <c r="V72" s="57"/>
      <c r="W72" s="57"/>
      <c r="X72" s="57"/>
      <c r="Y72" s="57"/>
      <c r="Z72" s="57"/>
      <c r="AA72" s="57"/>
      <c r="AB72" s="57"/>
      <c r="AC72" s="57"/>
      <c r="AD72" s="57"/>
      <c r="AE72" s="57"/>
      <c r="AF72" s="57"/>
      <c r="AG72" s="57"/>
    </row>
    <row r="73">
      <c r="A73" s="457" t="s">
        <v>3535</v>
      </c>
      <c r="B73" s="452"/>
      <c r="C73" s="454"/>
      <c r="D73" s="471">
        <v>46062.0</v>
      </c>
      <c r="E73" s="471">
        <v>46062.0</v>
      </c>
      <c r="F73" s="471">
        <v>46062.0</v>
      </c>
      <c r="G73" s="455"/>
      <c r="H73" s="454"/>
      <c r="I73" s="454"/>
      <c r="J73" s="491"/>
      <c r="K73" s="491"/>
      <c r="L73" s="451"/>
      <c r="M73" s="471"/>
      <c r="N73" s="451"/>
      <c r="O73" s="451"/>
      <c r="P73" s="481"/>
      <c r="Q73" s="481"/>
      <c r="R73" s="481"/>
      <c r="S73" s="57"/>
      <c r="T73" s="57"/>
      <c r="U73" s="57"/>
      <c r="V73" s="57"/>
      <c r="W73" s="57"/>
      <c r="X73" s="57"/>
      <c r="Y73" s="57"/>
      <c r="Z73" s="57"/>
      <c r="AA73" s="57"/>
      <c r="AB73" s="57"/>
      <c r="AC73" s="57"/>
      <c r="AD73" s="57"/>
      <c r="AE73" s="57"/>
      <c r="AF73" s="57"/>
      <c r="AG73" s="57"/>
    </row>
    <row r="74">
      <c r="A74" s="457" t="s">
        <v>3536</v>
      </c>
      <c r="B74" s="479">
        <v>0.8</v>
      </c>
      <c r="C74" s="457" t="s">
        <v>3499</v>
      </c>
      <c r="D74" s="471">
        <v>46076.0</v>
      </c>
      <c r="E74" s="471">
        <v>46076.0</v>
      </c>
      <c r="F74" s="471">
        <v>46076.0</v>
      </c>
      <c r="G74" s="455">
        <f>edate(E74,12)</f>
        <v>46441</v>
      </c>
      <c r="H74" s="506"/>
      <c r="I74" s="506"/>
      <c r="J74" s="491"/>
      <c r="K74" s="491"/>
      <c r="L74" s="457" t="s">
        <v>3510</v>
      </c>
      <c r="M74" s="471"/>
      <c r="N74" s="457" t="s">
        <v>3496</v>
      </c>
      <c r="O74" s="451"/>
      <c r="P74" s="481"/>
      <c r="Q74" s="481"/>
      <c r="R74" s="481"/>
      <c r="S74" s="57"/>
      <c r="T74" s="57"/>
      <c r="U74" s="57"/>
      <c r="V74" s="57"/>
      <c r="W74" s="57"/>
      <c r="X74" s="57"/>
      <c r="Y74" s="57"/>
      <c r="Z74" s="57"/>
      <c r="AA74" s="57"/>
      <c r="AB74" s="57"/>
      <c r="AC74" s="57"/>
      <c r="AD74" s="57"/>
      <c r="AE74" s="57"/>
      <c r="AF74" s="57"/>
      <c r="AG74" s="57"/>
    </row>
    <row r="75">
      <c r="A75" s="3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row>
    <row r="76">
      <c r="A76" s="3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row>
    <row r="77">
      <c r="A77" s="513" t="s">
        <v>3537</v>
      </c>
      <c r="B77" s="510"/>
      <c r="C77" s="510"/>
      <c r="D77" s="510"/>
      <c r="E77" s="510"/>
      <c r="F77" s="510"/>
      <c r="G77" s="510"/>
      <c r="H77" s="510"/>
      <c r="I77" s="510"/>
      <c r="J77" s="510"/>
      <c r="K77" s="510"/>
      <c r="L77" s="510"/>
      <c r="M77" s="510"/>
      <c r="N77" s="510"/>
      <c r="O77" s="510"/>
      <c r="P77" s="510"/>
      <c r="Q77" s="510"/>
      <c r="R77" s="510"/>
      <c r="S77" s="510"/>
      <c r="T77" s="510"/>
      <c r="U77" s="510"/>
      <c r="V77" s="510"/>
      <c r="W77" s="510"/>
      <c r="X77" s="510"/>
      <c r="Y77" s="510"/>
      <c r="Z77" s="510"/>
      <c r="AA77" s="510"/>
      <c r="AB77" s="510"/>
      <c r="AC77" s="510"/>
      <c r="AD77" s="510"/>
      <c r="AE77" s="510"/>
      <c r="AF77" s="510"/>
      <c r="AG77" s="510"/>
    </row>
    <row r="78">
      <c r="A78" s="451" t="s">
        <v>719</v>
      </c>
      <c r="B78" s="452">
        <v>0.8</v>
      </c>
      <c r="C78" s="453">
        <v>45910.0</v>
      </c>
      <c r="D78" s="453">
        <v>45911.0</v>
      </c>
      <c r="E78" s="455">
        <v>45911.0</v>
      </c>
      <c r="F78" s="456">
        <v>45911.0</v>
      </c>
      <c r="G78" s="455">
        <f t="shared" ref="G78:G106" si="4">edate(E78,12)</f>
        <v>46276</v>
      </c>
      <c r="H78" s="467">
        <v>45911.0</v>
      </c>
      <c r="I78" s="514">
        <v>45932.0</v>
      </c>
      <c r="J78" s="461">
        <v>5440.0</v>
      </c>
      <c r="K78" s="451"/>
      <c r="L78" s="457" t="s">
        <v>3538</v>
      </c>
      <c r="M78" s="455">
        <v>45911.0</v>
      </c>
      <c r="N78" s="454">
        <v>45911.0</v>
      </c>
      <c r="O78" s="472">
        <v>5.0</v>
      </c>
      <c r="P78" s="455"/>
      <c r="Q78" s="457" t="s">
        <v>3475</v>
      </c>
      <c r="R78" s="455"/>
      <c r="S78" s="57"/>
      <c r="T78" s="57"/>
      <c r="U78" s="57"/>
      <c r="V78" s="57"/>
      <c r="W78" s="57"/>
      <c r="X78" s="57"/>
      <c r="Y78" s="57"/>
      <c r="Z78" s="57"/>
      <c r="AA78" s="57"/>
      <c r="AB78" s="57"/>
      <c r="AC78" s="57"/>
      <c r="AD78" s="57"/>
      <c r="AE78" s="57"/>
      <c r="AF78" s="57"/>
      <c r="AG78" s="57"/>
    </row>
    <row r="79">
      <c r="A79" s="451" t="s">
        <v>742</v>
      </c>
      <c r="B79" s="452">
        <v>0.7</v>
      </c>
      <c r="C79" s="453">
        <v>45911.0</v>
      </c>
      <c r="D79" s="453">
        <v>45911.0</v>
      </c>
      <c r="E79" s="455">
        <v>45931.0</v>
      </c>
      <c r="F79" s="456">
        <v>45911.0</v>
      </c>
      <c r="G79" s="455">
        <f t="shared" si="4"/>
        <v>46296</v>
      </c>
      <c r="H79" s="467">
        <v>45917.0</v>
      </c>
      <c r="I79" s="515">
        <v>45917.0</v>
      </c>
      <c r="J79" s="465">
        <v>13272.0</v>
      </c>
      <c r="K79" s="472" t="s">
        <v>3539</v>
      </c>
      <c r="L79" s="457" t="s">
        <v>172</v>
      </c>
      <c r="M79" s="455">
        <v>45911.0</v>
      </c>
      <c r="N79" s="457" t="s">
        <v>3474</v>
      </c>
      <c r="O79" s="451"/>
      <c r="P79" s="455"/>
      <c r="Q79" s="455"/>
      <c r="R79" s="455"/>
      <c r="S79" s="57"/>
      <c r="T79" s="57"/>
      <c r="U79" s="57"/>
      <c r="V79" s="57"/>
      <c r="W79" s="57"/>
      <c r="X79" s="57"/>
      <c r="Y79" s="57"/>
      <c r="Z79" s="57"/>
      <c r="AA79" s="57"/>
      <c r="AB79" s="57"/>
      <c r="AC79" s="57"/>
      <c r="AD79" s="57"/>
      <c r="AE79" s="57"/>
      <c r="AF79" s="57"/>
      <c r="AG79" s="57"/>
    </row>
    <row r="80">
      <c r="A80" s="451" t="s">
        <v>867</v>
      </c>
      <c r="B80" s="452">
        <v>0.7</v>
      </c>
      <c r="C80" s="454">
        <v>45937.0</v>
      </c>
      <c r="D80" s="454">
        <v>45938.0</v>
      </c>
      <c r="E80" s="454">
        <v>45938.0</v>
      </c>
      <c r="F80" s="454">
        <v>45938.0</v>
      </c>
      <c r="G80" s="455">
        <f t="shared" si="4"/>
        <v>46303</v>
      </c>
      <c r="H80" s="471">
        <v>45939.0</v>
      </c>
      <c r="I80" s="471">
        <v>45957.0</v>
      </c>
      <c r="J80" s="451"/>
      <c r="K80" s="451"/>
      <c r="L80" s="457" t="s">
        <v>3501</v>
      </c>
      <c r="M80" s="454">
        <v>45937.0</v>
      </c>
      <c r="N80" s="454">
        <v>45937.0</v>
      </c>
      <c r="O80" s="451"/>
      <c r="P80" s="451"/>
      <c r="Q80" s="451"/>
      <c r="R80" s="451"/>
      <c r="S80" s="57"/>
      <c r="T80" s="57"/>
      <c r="U80" s="57"/>
      <c r="V80" s="57"/>
      <c r="W80" s="57"/>
      <c r="X80" s="57"/>
      <c r="Y80" s="57"/>
      <c r="Z80" s="57"/>
      <c r="AA80" s="57"/>
      <c r="AB80" s="57"/>
      <c r="AC80" s="57"/>
      <c r="AD80" s="57"/>
      <c r="AE80" s="57"/>
      <c r="AF80" s="57"/>
      <c r="AG80" s="57"/>
    </row>
    <row r="81">
      <c r="A81" s="457" t="s">
        <v>3540</v>
      </c>
      <c r="B81" s="479">
        <v>0.7</v>
      </c>
      <c r="C81" s="471">
        <v>45952.0</v>
      </c>
      <c r="D81" s="471">
        <v>45952.0</v>
      </c>
      <c r="E81" s="492" t="s">
        <v>3541</v>
      </c>
      <c r="F81" s="471">
        <v>45952.0</v>
      </c>
      <c r="G81" s="455">
        <f t="shared" si="4"/>
        <v>46317</v>
      </c>
      <c r="H81" s="471">
        <v>45955.0</v>
      </c>
      <c r="I81" s="471"/>
      <c r="J81" s="491"/>
      <c r="K81" s="457" t="s">
        <v>680</v>
      </c>
      <c r="L81" s="457" t="s">
        <v>172</v>
      </c>
      <c r="M81" s="471"/>
      <c r="N81" s="451"/>
      <c r="O81" s="451"/>
      <c r="P81" s="481"/>
      <c r="Q81" s="481"/>
      <c r="R81" s="481"/>
      <c r="S81" s="57"/>
      <c r="T81" s="57"/>
      <c r="U81" s="57"/>
      <c r="V81" s="57"/>
      <c r="W81" s="57"/>
      <c r="X81" s="57"/>
      <c r="Y81" s="57"/>
      <c r="Z81" s="57"/>
      <c r="AA81" s="57"/>
      <c r="AB81" s="57"/>
      <c r="AC81" s="57"/>
      <c r="AD81" s="57"/>
      <c r="AE81" s="57"/>
      <c r="AF81" s="57"/>
      <c r="AG81" s="57"/>
    </row>
    <row r="82">
      <c r="A82" s="457" t="s">
        <v>1138</v>
      </c>
      <c r="B82" s="479">
        <v>0.7</v>
      </c>
      <c r="C82" s="471">
        <v>45967.0</v>
      </c>
      <c r="D82" s="471">
        <v>45967.0</v>
      </c>
      <c r="E82" s="471">
        <v>45967.0</v>
      </c>
      <c r="F82" s="471">
        <v>45967.0</v>
      </c>
      <c r="G82" s="455">
        <f t="shared" si="4"/>
        <v>46332</v>
      </c>
      <c r="H82" s="471">
        <v>45983.0</v>
      </c>
      <c r="I82" s="493">
        <v>46008.0</v>
      </c>
      <c r="J82" s="491"/>
      <c r="K82" s="491"/>
      <c r="L82" s="457" t="s">
        <v>3510</v>
      </c>
      <c r="M82" s="471">
        <v>45983.0</v>
      </c>
      <c r="N82" s="457" t="s">
        <v>3502</v>
      </c>
      <c r="O82" s="457">
        <v>1.0</v>
      </c>
      <c r="P82" s="481"/>
      <c r="Q82" s="457" t="s">
        <v>3475</v>
      </c>
      <c r="R82" s="481"/>
      <c r="S82" s="57"/>
      <c r="T82" s="57"/>
      <c r="U82" s="57"/>
      <c r="V82" s="57"/>
      <c r="W82" s="57"/>
      <c r="X82" s="57"/>
      <c r="Y82" s="57"/>
      <c r="Z82" s="57"/>
      <c r="AA82" s="57"/>
      <c r="AB82" s="57"/>
      <c r="AC82" s="57"/>
      <c r="AD82" s="57"/>
      <c r="AE82" s="57"/>
      <c r="AF82" s="57"/>
      <c r="AG82" s="57"/>
    </row>
    <row r="83">
      <c r="A83" s="495" t="s">
        <v>2298</v>
      </c>
      <c r="B83" s="479">
        <v>0.7</v>
      </c>
      <c r="C83" s="457" t="s">
        <v>3499</v>
      </c>
      <c r="D83" s="471">
        <v>46043.0</v>
      </c>
      <c r="E83" s="471">
        <v>46043.0</v>
      </c>
      <c r="F83" s="471">
        <v>46043.0</v>
      </c>
      <c r="G83" s="455">
        <f t="shared" si="4"/>
        <v>46408</v>
      </c>
      <c r="H83" s="471">
        <v>46050.0</v>
      </c>
      <c r="I83" s="471">
        <v>46062.0</v>
      </c>
      <c r="J83" s="491"/>
      <c r="K83" s="491"/>
      <c r="L83" s="457" t="s">
        <v>3501</v>
      </c>
      <c r="M83" s="471"/>
      <c r="N83" s="457" t="s">
        <v>3496</v>
      </c>
      <c r="O83" s="451"/>
      <c r="P83" s="481"/>
      <c r="Q83" s="457" t="s">
        <v>3475</v>
      </c>
      <c r="R83" s="481"/>
      <c r="S83" s="57"/>
      <c r="T83" s="37" t="s">
        <v>3497</v>
      </c>
      <c r="U83" s="57"/>
      <c r="V83" s="57"/>
      <c r="W83" s="57"/>
      <c r="X83" s="57"/>
      <c r="Y83" s="57"/>
      <c r="Z83" s="57"/>
      <c r="AA83" s="57"/>
      <c r="AB83" s="57"/>
      <c r="AC83" s="57"/>
      <c r="AD83" s="57"/>
      <c r="AE83" s="57"/>
      <c r="AF83" s="57"/>
      <c r="AG83" s="57"/>
    </row>
    <row r="84">
      <c r="A84" s="457" t="s">
        <v>3542</v>
      </c>
      <c r="B84" s="479">
        <v>0.8</v>
      </c>
      <c r="C84" s="457" t="s">
        <v>3499</v>
      </c>
      <c r="D84" s="471">
        <v>46043.0</v>
      </c>
      <c r="E84" s="471">
        <v>46043.0</v>
      </c>
      <c r="F84" s="471">
        <v>46043.0</v>
      </c>
      <c r="G84" s="455">
        <f t="shared" si="4"/>
        <v>46408</v>
      </c>
      <c r="H84" s="471">
        <v>46050.0</v>
      </c>
      <c r="I84" s="471">
        <v>46058.0</v>
      </c>
      <c r="J84" s="491"/>
      <c r="K84" s="491"/>
      <c r="L84" s="457" t="s">
        <v>52</v>
      </c>
      <c r="M84" s="471"/>
      <c r="N84" s="457" t="s">
        <v>3474</v>
      </c>
      <c r="O84" s="451"/>
      <c r="P84" s="481"/>
      <c r="Q84" s="457" t="s">
        <v>3475</v>
      </c>
      <c r="R84" s="481"/>
      <c r="S84" s="57"/>
      <c r="T84" s="37" t="s">
        <v>3497</v>
      </c>
      <c r="U84" s="57"/>
      <c r="V84" s="57"/>
      <c r="W84" s="57"/>
      <c r="X84" s="57"/>
      <c r="Y84" s="57"/>
      <c r="Z84" s="57"/>
      <c r="AA84" s="57"/>
      <c r="AB84" s="57"/>
      <c r="AC84" s="57"/>
      <c r="AD84" s="57"/>
      <c r="AE84" s="57"/>
      <c r="AF84" s="57"/>
      <c r="AG84" s="57"/>
    </row>
    <row r="85">
      <c r="A85" s="516" t="s">
        <v>3543</v>
      </c>
      <c r="B85" s="479">
        <v>0.7</v>
      </c>
      <c r="C85" s="457" t="s">
        <v>3499</v>
      </c>
      <c r="D85" s="471">
        <v>46043.0</v>
      </c>
      <c r="E85" s="471">
        <v>46043.0</v>
      </c>
      <c r="F85" s="471">
        <v>46043.0</v>
      </c>
      <c r="G85" s="455">
        <f t="shared" si="4"/>
        <v>46408</v>
      </c>
      <c r="H85" s="471">
        <v>46059.0</v>
      </c>
      <c r="I85" s="471">
        <v>46076.0</v>
      </c>
      <c r="J85" s="491"/>
      <c r="K85" s="491"/>
      <c r="L85" s="457" t="s">
        <v>3501</v>
      </c>
      <c r="M85" s="471"/>
      <c r="N85" s="457" t="s">
        <v>3496</v>
      </c>
      <c r="O85" s="451"/>
      <c r="P85" s="481"/>
      <c r="Q85" s="481"/>
      <c r="R85" s="481"/>
      <c r="S85" s="57"/>
      <c r="T85" s="37" t="s">
        <v>3497</v>
      </c>
      <c r="U85" s="57"/>
      <c r="V85" s="57"/>
      <c r="W85" s="57"/>
      <c r="X85" s="57"/>
      <c r="Y85" s="57"/>
      <c r="Z85" s="57"/>
      <c r="AA85" s="57"/>
      <c r="AB85" s="57"/>
      <c r="AC85" s="57"/>
      <c r="AD85" s="57"/>
      <c r="AE85" s="57"/>
      <c r="AF85" s="57"/>
      <c r="AG85" s="57"/>
    </row>
    <row r="86">
      <c r="A86" s="457" t="s">
        <v>3544</v>
      </c>
      <c r="B86" s="479">
        <v>0.9</v>
      </c>
      <c r="C86" s="457" t="s">
        <v>3499</v>
      </c>
      <c r="D86" s="471">
        <v>46055.0</v>
      </c>
      <c r="E86" s="471">
        <v>46055.0</v>
      </c>
      <c r="F86" s="471">
        <v>46055.0</v>
      </c>
      <c r="G86" s="517">
        <f t="shared" si="4"/>
        <v>46420</v>
      </c>
      <c r="H86" s="518">
        <v>46064.0</v>
      </c>
      <c r="I86" s="519">
        <v>46072.0</v>
      </c>
      <c r="J86" s="491"/>
      <c r="K86" s="457" t="s">
        <v>172</v>
      </c>
      <c r="L86" s="457" t="s">
        <v>52</v>
      </c>
      <c r="M86" s="471"/>
      <c r="N86" s="457" t="s">
        <v>3474</v>
      </c>
      <c r="O86" s="451"/>
      <c r="P86" s="481"/>
      <c r="Q86" s="481"/>
      <c r="R86" s="481"/>
      <c r="S86" s="57"/>
      <c r="T86" s="57"/>
      <c r="U86" s="57"/>
      <c r="V86" s="57"/>
      <c r="W86" s="57"/>
      <c r="X86" s="57"/>
      <c r="Y86" s="57"/>
      <c r="Z86" s="57"/>
      <c r="AA86" s="57"/>
      <c r="AB86" s="57"/>
      <c r="AC86" s="57"/>
      <c r="AD86" s="57"/>
      <c r="AE86" s="57"/>
      <c r="AF86" s="57"/>
      <c r="AG86" s="57"/>
    </row>
    <row r="87">
      <c r="A87" s="457" t="s">
        <v>1809</v>
      </c>
      <c r="B87" s="479">
        <v>0.85</v>
      </c>
      <c r="C87" s="457" t="s">
        <v>3499</v>
      </c>
      <c r="D87" s="471">
        <v>46055.0</v>
      </c>
      <c r="E87" s="471">
        <v>46055.0</v>
      </c>
      <c r="F87" s="471">
        <v>46055.0</v>
      </c>
      <c r="G87" s="455">
        <f t="shared" si="4"/>
        <v>46420</v>
      </c>
      <c r="H87" s="471">
        <v>46064.0</v>
      </c>
      <c r="I87" s="471">
        <v>46063.0</v>
      </c>
      <c r="J87" s="461">
        <v>5107.5</v>
      </c>
      <c r="K87" s="491"/>
      <c r="L87" s="457" t="s">
        <v>52</v>
      </c>
      <c r="M87" s="471"/>
      <c r="N87" s="457" t="s">
        <v>3474</v>
      </c>
      <c r="O87" s="451"/>
      <c r="P87" s="481"/>
      <c r="Q87" s="457" t="s">
        <v>3475</v>
      </c>
      <c r="R87" s="481"/>
      <c r="S87" s="57"/>
      <c r="T87" s="57"/>
      <c r="U87" s="57"/>
      <c r="V87" s="57"/>
      <c r="W87" s="57"/>
      <c r="X87" s="57"/>
      <c r="Y87" s="57"/>
      <c r="Z87" s="57"/>
      <c r="AA87" s="57"/>
      <c r="AB87" s="57"/>
      <c r="AC87" s="57"/>
      <c r="AD87" s="57"/>
      <c r="AE87" s="57"/>
      <c r="AF87" s="57"/>
      <c r="AG87" s="57"/>
    </row>
    <row r="88">
      <c r="A88" s="457" t="s">
        <v>3545</v>
      </c>
      <c r="B88" s="479">
        <v>0.8</v>
      </c>
      <c r="C88" s="457" t="s">
        <v>3499</v>
      </c>
      <c r="D88" s="471">
        <v>46083.0</v>
      </c>
      <c r="E88" s="471">
        <v>46083.0</v>
      </c>
      <c r="F88" s="471">
        <v>46083.0</v>
      </c>
      <c r="G88" s="455">
        <f t="shared" si="4"/>
        <v>46448</v>
      </c>
      <c r="H88" s="471">
        <v>46086.0</v>
      </c>
      <c r="I88" s="506"/>
      <c r="J88" s="491"/>
      <c r="K88" s="491"/>
      <c r="L88" s="457" t="s">
        <v>52</v>
      </c>
      <c r="M88" s="471"/>
      <c r="N88" s="457" t="s">
        <v>3474</v>
      </c>
      <c r="O88" s="451"/>
      <c r="P88" s="481"/>
      <c r="Q88" s="457" t="s">
        <v>3475</v>
      </c>
      <c r="R88" s="481"/>
      <c r="S88" s="57"/>
      <c r="T88" s="57"/>
      <c r="U88" s="57"/>
      <c r="V88" s="57"/>
      <c r="W88" s="57"/>
      <c r="X88" s="57"/>
      <c r="Y88" s="57"/>
      <c r="Z88" s="57"/>
      <c r="AA88" s="57"/>
      <c r="AB88" s="57"/>
      <c r="AC88" s="57"/>
      <c r="AD88" s="57"/>
      <c r="AE88" s="57"/>
      <c r="AF88" s="57"/>
      <c r="AG88" s="57"/>
    </row>
    <row r="89">
      <c r="A89" s="457" t="s">
        <v>3546</v>
      </c>
      <c r="B89" s="479">
        <v>0.7</v>
      </c>
      <c r="C89" s="457" t="s">
        <v>3499</v>
      </c>
      <c r="D89" s="471">
        <v>46083.0</v>
      </c>
      <c r="E89" s="471">
        <v>46083.0</v>
      </c>
      <c r="F89" s="471">
        <v>46083.0</v>
      </c>
      <c r="G89" s="455">
        <f t="shared" si="4"/>
        <v>46448</v>
      </c>
      <c r="H89" s="471">
        <v>46087.0</v>
      </c>
      <c r="I89" s="520">
        <v>46097.0</v>
      </c>
      <c r="J89" s="491"/>
      <c r="K89" s="491"/>
      <c r="L89" s="457" t="s">
        <v>3510</v>
      </c>
      <c r="M89" s="471"/>
      <c r="N89" s="457" t="s">
        <v>3496</v>
      </c>
      <c r="O89" s="451"/>
      <c r="P89" s="481"/>
      <c r="Q89" s="481"/>
      <c r="R89" s="481"/>
      <c r="S89" s="57"/>
      <c r="T89" s="57"/>
      <c r="U89" s="57"/>
      <c r="V89" s="57"/>
      <c r="W89" s="57"/>
      <c r="X89" s="57"/>
      <c r="Y89" s="57"/>
      <c r="Z89" s="57"/>
      <c r="AA89" s="57"/>
      <c r="AB89" s="57"/>
      <c r="AC89" s="57"/>
      <c r="AD89" s="57"/>
      <c r="AE89" s="57"/>
      <c r="AF89" s="57"/>
      <c r="AG89" s="57"/>
    </row>
    <row r="90">
      <c r="A90" s="457" t="s">
        <v>3547</v>
      </c>
      <c r="B90" s="479">
        <v>0.8</v>
      </c>
      <c r="C90" s="457" t="s">
        <v>3499</v>
      </c>
      <c r="D90" s="471">
        <v>46083.0</v>
      </c>
      <c r="E90" s="471">
        <v>46083.0</v>
      </c>
      <c r="F90" s="471">
        <v>46083.0</v>
      </c>
      <c r="G90" s="455">
        <f t="shared" si="4"/>
        <v>46448</v>
      </c>
      <c r="H90" s="471">
        <v>46090.0</v>
      </c>
      <c r="I90" s="471">
        <v>46101.0</v>
      </c>
      <c r="J90" s="491"/>
      <c r="K90" s="491"/>
      <c r="L90" s="457" t="s">
        <v>52</v>
      </c>
      <c r="M90" s="471"/>
      <c r="N90" s="451"/>
      <c r="O90" s="451"/>
      <c r="P90" s="481"/>
      <c r="Q90" s="457" t="s">
        <v>3475</v>
      </c>
      <c r="R90" s="481"/>
      <c r="S90" s="57"/>
      <c r="T90" s="57"/>
      <c r="U90" s="57"/>
      <c r="V90" s="57"/>
      <c r="W90" s="57"/>
      <c r="X90" s="57"/>
      <c r="Y90" s="57"/>
      <c r="Z90" s="57"/>
      <c r="AA90" s="57"/>
      <c r="AB90" s="57"/>
      <c r="AC90" s="57"/>
      <c r="AD90" s="57"/>
      <c r="AE90" s="57"/>
      <c r="AF90" s="57"/>
      <c r="AG90" s="57"/>
    </row>
    <row r="91">
      <c r="A91" s="457" t="s">
        <v>3548</v>
      </c>
      <c r="B91" s="479">
        <v>0.7</v>
      </c>
      <c r="C91" s="457" t="s">
        <v>3499</v>
      </c>
      <c r="D91" s="471">
        <v>46111.0</v>
      </c>
      <c r="E91" s="471">
        <v>46111.0</v>
      </c>
      <c r="F91" s="471">
        <v>46111.0</v>
      </c>
      <c r="G91" s="455">
        <f t="shared" si="4"/>
        <v>46476</v>
      </c>
      <c r="H91" s="471">
        <v>46113.0</v>
      </c>
      <c r="I91" s="471">
        <v>46112.0</v>
      </c>
      <c r="J91" s="491"/>
      <c r="K91" s="491"/>
      <c r="L91" s="457" t="s">
        <v>3510</v>
      </c>
      <c r="M91" s="471"/>
      <c r="N91" s="457" t="s">
        <v>3496</v>
      </c>
      <c r="O91" s="451"/>
      <c r="P91" s="481"/>
      <c r="Q91" s="457" t="s">
        <v>3475</v>
      </c>
      <c r="R91" s="481"/>
      <c r="S91" s="57"/>
      <c r="T91" s="57"/>
      <c r="U91" s="57"/>
      <c r="V91" s="57"/>
      <c r="W91" s="57"/>
      <c r="X91" s="57"/>
      <c r="Y91" s="57"/>
      <c r="Z91" s="57"/>
      <c r="AA91" s="57"/>
      <c r="AB91" s="57"/>
      <c r="AC91" s="57"/>
      <c r="AD91" s="57"/>
      <c r="AE91" s="57"/>
      <c r="AF91" s="57"/>
      <c r="AG91" s="57"/>
    </row>
    <row r="92">
      <c r="A92" s="521" t="s">
        <v>3549</v>
      </c>
      <c r="B92" s="479">
        <v>0.7</v>
      </c>
      <c r="C92" s="457" t="s">
        <v>3499</v>
      </c>
      <c r="D92" s="471">
        <v>46111.0</v>
      </c>
      <c r="E92" s="471">
        <v>46111.0</v>
      </c>
      <c r="F92" s="471">
        <v>46111.0</v>
      </c>
      <c r="G92" s="455">
        <f t="shared" si="4"/>
        <v>46476</v>
      </c>
      <c r="H92" s="471">
        <v>46125.0</v>
      </c>
      <c r="I92" s="471">
        <v>46113.0</v>
      </c>
      <c r="J92" s="491"/>
      <c r="K92" s="491"/>
      <c r="L92" s="457" t="s">
        <v>3510</v>
      </c>
      <c r="M92" s="471"/>
      <c r="N92" s="457" t="s">
        <v>3496</v>
      </c>
      <c r="O92" s="451"/>
      <c r="P92" s="481"/>
      <c r="Q92" s="457" t="s">
        <v>3475</v>
      </c>
      <c r="R92" s="481"/>
      <c r="S92" s="57"/>
      <c r="T92" s="57"/>
      <c r="U92" s="57"/>
      <c r="V92" s="57"/>
      <c r="W92" s="57"/>
      <c r="X92" s="57"/>
      <c r="Y92" s="57"/>
      <c r="Z92" s="57"/>
      <c r="AA92" s="57"/>
      <c r="AB92" s="57"/>
      <c r="AC92" s="57"/>
      <c r="AD92" s="57"/>
      <c r="AE92" s="57"/>
      <c r="AF92" s="57"/>
      <c r="AG92" s="57"/>
    </row>
    <row r="93">
      <c r="A93" s="451" t="s">
        <v>3550</v>
      </c>
      <c r="B93" s="452">
        <v>0.8</v>
      </c>
      <c r="C93" s="453">
        <v>45923.0</v>
      </c>
      <c r="D93" s="453">
        <v>45923.0</v>
      </c>
      <c r="E93" s="455">
        <v>45923.0</v>
      </c>
      <c r="F93" s="456">
        <v>45923.0</v>
      </c>
      <c r="G93" s="455">
        <f t="shared" si="4"/>
        <v>46288</v>
      </c>
      <c r="H93" s="457" t="s">
        <v>680</v>
      </c>
      <c r="I93" s="457"/>
      <c r="J93" s="451"/>
      <c r="K93" s="451"/>
      <c r="L93" s="451" t="s">
        <v>3481</v>
      </c>
      <c r="M93" s="455">
        <v>45923.0</v>
      </c>
      <c r="N93" s="457" t="s">
        <v>3474</v>
      </c>
      <c r="O93" s="451"/>
      <c r="P93" s="455"/>
      <c r="Q93" s="455"/>
      <c r="R93" s="455"/>
      <c r="S93" s="57"/>
      <c r="T93" s="57"/>
      <c r="U93" s="57"/>
      <c r="V93" s="57"/>
      <c r="W93" s="57"/>
      <c r="X93" s="57"/>
      <c r="Y93" s="57"/>
      <c r="Z93" s="57"/>
      <c r="AA93" s="57"/>
      <c r="AB93" s="57"/>
      <c r="AC93" s="57"/>
      <c r="AD93" s="57"/>
      <c r="AE93" s="57"/>
      <c r="AF93" s="57"/>
      <c r="AG93" s="57"/>
    </row>
    <row r="94">
      <c r="A94" s="451" t="s">
        <v>3551</v>
      </c>
      <c r="B94" s="452">
        <v>0.7</v>
      </c>
      <c r="C94" s="454">
        <v>45937.0</v>
      </c>
      <c r="D94" s="471">
        <v>45944.0</v>
      </c>
      <c r="E94" s="471">
        <v>45944.0</v>
      </c>
      <c r="F94" s="471">
        <v>45944.0</v>
      </c>
      <c r="G94" s="455">
        <f t="shared" si="4"/>
        <v>46309</v>
      </c>
      <c r="H94" s="457" t="s">
        <v>680</v>
      </c>
      <c r="I94" s="457"/>
      <c r="J94" s="451"/>
      <c r="K94" s="451"/>
      <c r="L94" s="451" t="s">
        <v>172</v>
      </c>
      <c r="M94" s="471">
        <v>45944.0</v>
      </c>
      <c r="N94" s="457" t="s">
        <v>3474</v>
      </c>
      <c r="O94" s="451"/>
      <c r="P94" s="451"/>
      <c r="Q94" s="451"/>
      <c r="R94" s="451"/>
      <c r="S94" s="57"/>
      <c r="T94" s="57"/>
      <c r="U94" s="57"/>
      <c r="V94" s="57"/>
      <c r="W94" s="57"/>
      <c r="X94" s="57"/>
      <c r="Y94" s="57"/>
      <c r="Z94" s="57"/>
      <c r="AA94" s="57"/>
      <c r="AB94" s="57"/>
      <c r="AC94" s="57"/>
      <c r="AD94" s="57"/>
      <c r="AE94" s="57"/>
      <c r="AF94" s="57"/>
      <c r="AG94" s="57"/>
    </row>
    <row r="95">
      <c r="A95" s="451" t="s">
        <v>1303</v>
      </c>
      <c r="B95" s="452">
        <v>0.7</v>
      </c>
      <c r="C95" s="453">
        <v>45911.0</v>
      </c>
      <c r="D95" s="453">
        <v>45915.0</v>
      </c>
      <c r="E95" s="455">
        <v>45931.0</v>
      </c>
      <c r="F95" s="456">
        <v>45614.0</v>
      </c>
      <c r="G95" s="455">
        <f t="shared" si="4"/>
        <v>46296</v>
      </c>
      <c r="H95" s="453"/>
      <c r="I95" s="453"/>
      <c r="J95" s="496">
        <v>4170.000000000001</v>
      </c>
      <c r="K95" s="451"/>
      <c r="L95" s="451" t="s">
        <v>3486</v>
      </c>
      <c r="M95" s="455">
        <v>45924.0</v>
      </c>
      <c r="N95" s="454">
        <v>45925.0</v>
      </c>
      <c r="O95" s="457">
        <v>2.0</v>
      </c>
      <c r="P95" s="455"/>
      <c r="Q95" s="455"/>
      <c r="R95" s="455"/>
      <c r="S95" s="57"/>
      <c r="T95" s="57"/>
      <c r="U95" s="57"/>
      <c r="V95" s="57"/>
      <c r="W95" s="57"/>
      <c r="X95" s="57"/>
      <c r="Y95" s="57"/>
      <c r="Z95" s="57"/>
      <c r="AA95" s="57"/>
      <c r="AB95" s="57"/>
      <c r="AC95" s="57"/>
      <c r="AD95" s="57"/>
      <c r="AE95" s="57"/>
      <c r="AF95" s="57"/>
      <c r="AG95" s="57"/>
    </row>
    <row r="96">
      <c r="A96" s="324" t="s">
        <v>3552</v>
      </c>
      <c r="B96" s="452">
        <v>0.7</v>
      </c>
      <c r="C96" s="453">
        <v>45923.0</v>
      </c>
      <c r="D96" s="453">
        <v>45924.0</v>
      </c>
      <c r="E96" s="455">
        <v>45931.0</v>
      </c>
      <c r="F96" s="462">
        <v>45418.0</v>
      </c>
      <c r="G96" s="455">
        <f t="shared" si="4"/>
        <v>46296</v>
      </c>
      <c r="H96" s="453"/>
      <c r="I96" s="453"/>
      <c r="J96" s="451"/>
      <c r="K96" s="451"/>
      <c r="L96" s="451" t="s">
        <v>3481</v>
      </c>
      <c r="M96" s="455">
        <v>45923.0</v>
      </c>
      <c r="N96" s="457" t="s">
        <v>3474</v>
      </c>
      <c r="O96" s="451"/>
      <c r="P96" s="455"/>
      <c r="Q96" s="455"/>
      <c r="R96" s="455"/>
      <c r="S96" s="57"/>
      <c r="T96" s="57"/>
      <c r="U96" s="57"/>
      <c r="V96" s="57"/>
      <c r="W96" s="57"/>
      <c r="X96" s="57"/>
      <c r="Y96" s="57"/>
      <c r="Z96" s="57"/>
      <c r="AA96" s="57"/>
      <c r="AB96" s="57"/>
      <c r="AC96" s="57"/>
      <c r="AD96" s="57"/>
      <c r="AE96" s="57"/>
      <c r="AF96" s="57"/>
      <c r="AG96" s="57"/>
    </row>
    <row r="97">
      <c r="A97" s="457" t="s">
        <v>3553</v>
      </c>
      <c r="B97" s="479">
        <v>0.7</v>
      </c>
      <c r="C97" s="457" t="s">
        <v>3499</v>
      </c>
      <c r="D97" s="471">
        <v>46055.0</v>
      </c>
      <c r="E97" s="471">
        <v>46055.0</v>
      </c>
      <c r="F97" s="471">
        <v>46055.0</v>
      </c>
      <c r="G97" s="455">
        <f t="shared" si="4"/>
        <v>46420</v>
      </c>
      <c r="H97" s="506"/>
      <c r="I97" s="506"/>
      <c r="J97" s="491"/>
      <c r="K97" s="491"/>
      <c r="L97" s="457" t="s">
        <v>3501</v>
      </c>
      <c r="M97" s="471"/>
      <c r="N97" s="457" t="s">
        <v>3496</v>
      </c>
      <c r="O97" s="451"/>
      <c r="P97" s="481"/>
      <c r="Q97" s="481"/>
      <c r="R97" s="481"/>
      <c r="S97" s="57"/>
      <c r="T97" s="57"/>
      <c r="U97" s="57"/>
      <c r="V97" s="57"/>
      <c r="W97" s="57"/>
      <c r="X97" s="57"/>
      <c r="Y97" s="57"/>
      <c r="Z97" s="57"/>
      <c r="AA97" s="57"/>
      <c r="AB97" s="57"/>
      <c r="AC97" s="57"/>
      <c r="AD97" s="57"/>
      <c r="AE97" s="57"/>
      <c r="AF97" s="57"/>
      <c r="AG97" s="57"/>
    </row>
    <row r="98">
      <c r="A98" s="457" t="s">
        <v>3554</v>
      </c>
      <c r="B98" s="479">
        <v>0.7</v>
      </c>
      <c r="C98" s="457" t="s">
        <v>3499</v>
      </c>
      <c r="D98" s="471">
        <v>46071.0</v>
      </c>
      <c r="E98" s="471">
        <v>46071.0</v>
      </c>
      <c r="F98" s="471">
        <v>46071.0</v>
      </c>
      <c r="G98" s="455">
        <f t="shared" si="4"/>
        <v>46436</v>
      </c>
      <c r="H98" s="506"/>
      <c r="I98" s="506"/>
      <c r="J98" s="491"/>
      <c r="K98" s="491"/>
      <c r="L98" s="457" t="s">
        <v>3510</v>
      </c>
      <c r="M98" s="471"/>
      <c r="N98" s="457" t="s">
        <v>3555</v>
      </c>
      <c r="O98" s="451"/>
      <c r="P98" s="481"/>
      <c r="Q98" s="481"/>
      <c r="R98" s="481"/>
      <c r="S98" s="57"/>
      <c r="T98" s="57"/>
      <c r="U98" s="57"/>
      <c r="V98" s="57"/>
      <c r="W98" s="57"/>
      <c r="X98" s="57"/>
      <c r="Y98" s="57"/>
      <c r="Z98" s="57"/>
      <c r="AA98" s="57"/>
      <c r="AB98" s="57"/>
      <c r="AC98" s="57"/>
      <c r="AD98" s="57"/>
      <c r="AE98" s="57"/>
      <c r="AF98" s="57"/>
      <c r="AG98" s="57"/>
    </row>
    <row r="99">
      <c r="A99" s="521" t="s">
        <v>3556</v>
      </c>
      <c r="B99" s="479">
        <v>0.9</v>
      </c>
      <c r="C99" s="457" t="s">
        <v>3499</v>
      </c>
      <c r="D99" s="471">
        <v>46076.0</v>
      </c>
      <c r="E99" s="471">
        <v>46076.0</v>
      </c>
      <c r="F99" s="471">
        <v>46076.0</v>
      </c>
      <c r="G99" s="455">
        <f t="shared" si="4"/>
        <v>46441</v>
      </c>
      <c r="H99" s="506"/>
      <c r="I99" s="506"/>
      <c r="J99" s="491"/>
      <c r="K99" s="491"/>
      <c r="L99" s="457" t="s">
        <v>52</v>
      </c>
      <c r="M99" s="471"/>
      <c r="N99" s="457" t="s">
        <v>3474</v>
      </c>
      <c r="O99" s="451"/>
      <c r="P99" s="481"/>
      <c r="Q99" s="481"/>
      <c r="R99" s="481"/>
      <c r="S99" s="57"/>
      <c r="T99" s="57"/>
      <c r="U99" s="57"/>
      <c r="V99" s="57"/>
      <c r="W99" s="57"/>
      <c r="X99" s="57"/>
      <c r="Y99" s="57"/>
      <c r="Z99" s="57"/>
      <c r="AA99" s="57"/>
      <c r="AB99" s="57"/>
      <c r="AC99" s="57"/>
      <c r="AD99" s="57"/>
      <c r="AE99" s="57"/>
      <c r="AF99" s="57"/>
      <c r="AG99" s="57"/>
    </row>
    <row r="100">
      <c r="A100" s="451" t="s">
        <v>3557</v>
      </c>
      <c r="B100" s="452">
        <v>0.7</v>
      </c>
      <c r="C100" s="454">
        <v>45932.0</v>
      </c>
      <c r="D100" s="454">
        <v>45937.0</v>
      </c>
      <c r="E100" s="454">
        <v>45931.0</v>
      </c>
      <c r="F100" s="462">
        <v>45314.0</v>
      </c>
      <c r="G100" s="455">
        <f t="shared" si="4"/>
        <v>46296</v>
      </c>
      <c r="H100" s="454"/>
      <c r="I100" s="522">
        <v>45327.0</v>
      </c>
      <c r="J100" s="451"/>
      <c r="K100" s="451"/>
      <c r="L100" s="451" t="s">
        <v>3481</v>
      </c>
      <c r="M100" s="455">
        <v>45894.0</v>
      </c>
      <c r="N100" s="457" t="s">
        <v>3474</v>
      </c>
      <c r="O100" s="451"/>
      <c r="P100" s="451"/>
      <c r="Q100" s="451"/>
      <c r="R100" s="451"/>
      <c r="S100" s="57"/>
      <c r="T100" s="57"/>
      <c r="U100" s="57"/>
      <c r="V100" s="57"/>
      <c r="W100" s="57"/>
      <c r="X100" s="57"/>
      <c r="Y100" s="57"/>
      <c r="Z100" s="57"/>
      <c r="AA100" s="57"/>
      <c r="AB100" s="57"/>
      <c r="AC100" s="57"/>
      <c r="AD100" s="57"/>
      <c r="AE100" s="57"/>
      <c r="AF100" s="57"/>
      <c r="AG100" s="57"/>
    </row>
    <row r="101">
      <c r="A101" s="457" t="s">
        <v>3558</v>
      </c>
      <c r="B101" s="479">
        <v>0.7</v>
      </c>
      <c r="C101" s="457" t="s">
        <v>3499</v>
      </c>
      <c r="D101" s="471">
        <v>46071.0</v>
      </c>
      <c r="E101" s="471">
        <v>46071.0</v>
      </c>
      <c r="F101" s="471">
        <v>46071.0</v>
      </c>
      <c r="G101" s="455">
        <f t="shared" si="4"/>
        <v>46436</v>
      </c>
      <c r="H101" s="506"/>
      <c r="I101" s="506"/>
      <c r="J101" s="491"/>
      <c r="K101" s="491"/>
      <c r="L101" s="457" t="s">
        <v>52</v>
      </c>
      <c r="M101" s="471"/>
      <c r="N101" s="457" t="s">
        <v>3474</v>
      </c>
      <c r="O101" s="451"/>
      <c r="P101" s="481"/>
      <c r="Q101" s="481"/>
      <c r="R101" s="481"/>
      <c r="S101" s="57"/>
      <c r="T101" s="57"/>
      <c r="U101" s="57"/>
      <c r="V101" s="57"/>
      <c r="W101" s="57"/>
      <c r="X101" s="57"/>
      <c r="Y101" s="57"/>
      <c r="Z101" s="57"/>
      <c r="AA101" s="57"/>
      <c r="AB101" s="57"/>
      <c r="AC101" s="57"/>
      <c r="AD101" s="57"/>
      <c r="AE101" s="57"/>
      <c r="AF101" s="57"/>
      <c r="AG101" s="57"/>
    </row>
    <row r="102">
      <c r="A102" s="457" t="s">
        <v>3559</v>
      </c>
      <c r="B102" s="479">
        <v>0.7</v>
      </c>
      <c r="C102" s="457" t="s">
        <v>3499</v>
      </c>
      <c r="D102" s="471">
        <v>46071.0</v>
      </c>
      <c r="E102" s="471">
        <v>46071.0</v>
      </c>
      <c r="F102" s="471">
        <v>46071.0</v>
      </c>
      <c r="G102" s="455">
        <f t="shared" si="4"/>
        <v>46436</v>
      </c>
      <c r="H102" s="506"/>
      <c r="I102" s="523"/>
      <c r="J102" s="491"/>
      <c r="K102" s="491"/>
      <c r="L102" s="457" t="s">
        <v>52</v>
      </c>
      <c r="M102" s="471"/>
      <c r="N102" s="457" t="s">
        <v>3474</v>
      </c>
      <c r="O102" s="451"/>
      <c r="P102" s="481"/>
      <c r="Q102" s="481"/>
      <c r="R102" s="481"/>
      <c r="S102" s="57"/>
      <c r="T102" s="57"/>
      <c r="U102" s="57"/>
      <c r="V102" s="57"/>
      <c r="W102" s="57"/>
      <c r="X102" s="57"/>
      <c r="Y102" s="57"/>
      <c r="Z102" s="57"/>
      <c r="AA102" s="57"/>
      <c r="AB102" s="57"/>
      <c r="AC102" s="57"/>
      <c r="AD102" s="57"/>
      <c r="AE102" s="57"/>
      <c r="AF102" s="57"/>
      <c r="AG102" s="57"/>
    </row>
    <row r="103" ht="15.0" customHeight="1">
      <c r="A103" s="451" t="s">
        <v>72</v>
      </c>
      <c r="B103" s="452">
        <v>0.7</v>
      </c>
      <c r="C103" s="453">
        <v>45911.0</v>
      </c>
      <c r="D103" s="453">
        <v>45911.0</v>
      </c>
      <c r="E103" s="455">
        <v>45931.0</v>
      </c>
      <c r="F103" s="456">
        <v>45628.0</v>
      </c>
      <c r="G103" s="455">
        <f t="shared" si="4"/>
        <v>46296</v>
      </c>
      <c r="H103" s="453"/>
      <c r="I103" s="522">
        <v>45630.0</v>
      </c>
      <c r="J103" s="463">
        <v>6970.5</v>
      </c>
      <c r="K103" s="451"/>
      <c r="L103" s="451" t="s">
        <v>172</v>
      </c>
      <c r="M103" s="455">
        <v>45813.0</v>
      </c>
      <c r="N103" s="457" t="s">
        <v>3474</v>
      </c>
      <c r="O103" s="451"/>
      <c r="P103" s="455"/>
      <c r="Q103" s="457" t="s">
        <v>3475</v>
      </c>
      <c r="R103" s="455"/>
      <c r="S103" s="57"/>
      <c r="T103" s="57"/>
      <c r="U103" s="57"/>
      <c r="V103" s="57"/>
      <c r="W103" s="57"/>
      <c r="X103" s="57"/>
      <c r="Y103" s="57"/>
      <c r="Z103" s="57"/>
      <c r="AA103" s="57"/>
      <c r="AB103" s="57"/>
      <c r="AC103" s="57"/>
      <c r="AD103" s="57"/>
      <c r="AE103" s="57"/>
      <c r="AF103" s="57"/>
      <c r="AG103" s="57"/>
    </row>
    <row r="104">
      <c r="A104" s="521" t="s">
        <v>3560</v>
      </c>
      <c r="B104" s="479">
        <v>0.8</v>
      </c>
      <c r="C104" s="457" t="s">
        <v>3499</v>
      </c>
      <c r="D104" s="471">
        <v>46111.0</v>
      </c>
      <c r="E104" s="471">
        <v>46111.0</v>
      </c>
      <c r="F104" s="471">
        <v>46111.0</v>
      </c>
      <c r="G104" s="455">
        <f t="shared" si="4"/>
        <v>46476</v>
      </c>
      <c r="H104" s="506"/>
      <c r="I104" s="506"/>
      <c r="J104" s="491"/>
      <c r="K104" s="491"/>
      <c r="L104" s="457" t="s">
        <v>3510</v>
      </c>
      <c r="M104" s="471"/>
      <c r="N104" s="457" t="s">
        <v>3496</v>
      </c>
      <c r="O104" s="451"/>
      <c r="P104" s="481"/>
      <c r="Q104" s="457" t="s">
        <v>3475</v>
      </c>
      <c r="R104" s="481"/>
      <c r="S104" s="57"/>
      <c r="T104" s="57"/>
      <c r="U104" s="57"/>
      <c r="V104" s="57"/>
      <c r="W104" s="57"/>
      <c r="X104" s="57"/>
      <c r="Y104" s="57"/>
      <c r="Z104" s="57"/>
      <c r="AA104" s="57"/>
      <c r="AB104" s="57"/>
      <c r="AC104" s="57"/>
      <c r="AD104" s="57"/>
      <c r="AE104" s="57"/>
      <c r="AF104" s="57"/>
      <c r="AG104" s="57"/>
    </row>
    <row r="105">
      <c r="A105" s="524" t="s">
        <v>3561</v>
      </c>
      <c r="B105" s="479">
        <v>0.8</v>
      </c>
      <c r="C105" s="457" t="s">
        <v>3499</v>
      </c>
      <c r="D105" s="471">
        <v>46160.0</v>
      </c>
      <c r="E105" s="471">
        <v>46160.0</v>
      </c>
      <c r="F105" s="471">
        <v>46160.0</v>
      </c>
      <c r="G105" s="455">
        <f t="shared" si="4"/>
        <v>46525</v>
      </c>
      <c r="H105" s="506"/>
      <c r="I105" s="506"/>
      <c r="J105" s="491"/>
      <c r="K105" s="491"/>
      <c r="L105" s="457" t="s">
        <v>3510</v>
      </c>
      <c r="M105" s="471"/>
      <c r="N105" s="457" t="s">
        <v>3496</v>
      </c>
      <c r="O105" s="451"/>
      <c r="P105" s="481"/>
      <c r="Q105" s="481"/>
      <c r="R105" s="481"/>
      <c r="S105" s="57"/>
      <c r="T105" s="57"/>
      <c r="U105" s="57"/>
      <c r="V105" s="57"/>
      <c r="W105" s="57"/>
      <c r="X105" s="57"/>
      <c r="Y105" s="57"/>
      <c r="Z105" s="57"/>
      <c r="AA105" s="57"/>
      <c r="AB105" s="57"/>
      <c r="AC105" s="57"/>
      <c r="AD105" s="57"/>
      <c r="AE105" s="57"/>
      <c r="AF105" s="57"/>
      <c r="AG105" s="57"/>
    </row>
    <row r="106">
      <c r="A106" s="451" t="s">
        <v>981</v>
      </c>
      <c r="B106" s="452">
        <v>0.7</v>
      </c>
      <c r="C106" s="453">
        <v>45924.0</v>
      </c>
      <c r="D106" s="454">
        <v>45926.0</v>
      </c>
      <c r="E106" s="455">
        <v>45931.0</v>
      </c>
      <c r="F106" s="456">
        <v>45677.0</v>
      </c>
      <c r="G106" s="455">
        <f t="shared" si="4"/>
        <v>46296</v>
      </c>
      <c r="H106" s="453"/>
      <c r="I106" s="468">
        <v>45679.0</v>
      </c>
      <c r="J106" s="461">
        <v>8362.5</v>
      </c>
      <c r="K106" s="451"/>
      <c r="L106" s="457" t="s">
        <v>52</v>
      </c>
      <c r="M106" s="455">
        <v>45894.0</v>
      </c>
      <c r="N106" s="457" t="s">
        <v>3474</v>
      </c>
      <c r="O106" s="451"/>
      <c r="P106" s="455"/>
      <c r="Q106" s="457" t="s">
        <v>2622</v>
      </c>
      <c r="R106" s="455"/>
      <c r="S106" s="57"/>
      <c r="T106" s="57"/>
      <c r="U106" s="57"/>
      <c r="V106" s="57"/>
      <c r="W106" s="57"/>
      <c r="X106" s="57"/>
      <c r="Y106" s="57"/>
      <c r="Z106" s="57"/>
      <c r="AA106" s="57"/>
      <c r="AB106" s="57"/>
      <c r="AC106" s="57"/>
      <c r="AD106" s="57"/>
      <c r="AE106" s="57"/>
      <c r="AF106" s="57"/>
      <c r="AG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c r="AA1001" s="57"/>
      <c r="AB1001" s="57"/>
      <c r="AC1001" s="57"/>
      <c r="AD1001" s="57"/>
      <c r="AE1001" s="57"/>
      <c r="AF1001" s="57"/>
      <c r="AG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c r="AA1002" s="57"/>
      <c r="AB1002" s="57"/>
      <c r="AC1002" s="57"/>
      <c r="AD1002" s="57"/>
      <c r="AE1002" s="57"/>
      <c r="AF1002" s="57"/>
      <c r="AG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c r="AA1003" s="57"/>
      <c r="AB1003" s="57"/>
      <c r="AC1003" s="57"/>
      <c r="AD1003" s="57"/>
      <c r="AE1003" s="57"/>
      <c r="AF1003" s="57"/>
      <c r="AG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c r="AA1004" s="57"/>
      <c r="AB1004" s="57"/>
      <c r="AC1004" s="57"/>
      <c r="AD1004" s="57"/>
      <c r="AE1004" s="57"/>
      <c r="AF1004" s="57"/>
      <c r="AG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c r="X1005" s="57"/>
      <c r="Y1005" s="57"/>
      <c r="Z1005" s="57"/>
      <c r="AA1005" s="57"/>
      <c r="AB1005" s="57"/>
      <c r="AC1005" s="57"/>
      <c r="AD1005" s="57"/>
      <c r="AE1005" s="57"/>
      <c r="AF1005" s="57"/>
      <c r="AG1005" s="57"/>
    </row>
    <row r="1006">
      <c r="A1006" s="57"/>
      <c r="B1006" s="57"/>
      <c r="C1006" s="57"/>
      <c r="D1006" s="57"/>
      <c r="E1006" s="57"/>
      <c r="F1006" s="57"/>
      <c r="G1006" s="57"/>
      <c r="H1006" s="57"/>
      <c r="I1006" s="57"/>
      <c r="J1006" s="57"/>
      <c r="K1006" s="57"/>
      <c r="L1006" s="57"/>
      <c r="M1006" s="57"/>
      <c r="N1006" s="57"/>
      <c r="O1006" s="57"/>
      <c r="P1006" s="57"/>
      <c r="Q1006" s="57"/>
      <c r="R1006" s="57"/>
      <c r="S1006" s="57"/>
      <c r="T1006" s="57"/>
      <c r="U1006" s="57"/>
      <c r="V1006" s="57"/>
      <c r="W1006" s="57"/>
      <c r="X1006" s="57"/>
      <c r="Y1006" s="57"/>
      <c r="Z1006" s="57"/>
      <c r="AA1006" s="57"/>
      <c r="AB1006" s="57"/>
      <c r="AC1006" s="57"/>
      <c r="AD1006" s="57"/>
      <c r="AE1006" s="57"/>
      <c r="AF1006" s="57"/>
      <c r="AG1006" s="57"/>
    </row>
    <row r="1007">
      <c r="A1007" s="57"/>
      <c r="B1007" s="57"/>
      <c r="C1007" s="57"/>
      <c r="D1007" s="57"/>
      <c r="E1007" s="57"/>
      <c r="F1007" s="57"/>
      <c r="G1007" s="57"/>
      <c r="H1007" s="57"/>
      <c r="I1007" s="57"/>
      <c r="J1007" s="57"/>
      <c r="K1007" s="57"/>
      <c r="L1007" s="57"/>
      <c r="M1007" s="57"/>
      <c r="N1007" s="57"/>
      <c r="O1007" s="57"/>
      <c r="P1007" s="57"/>
      <c r="Q1007" s="57"/>
      <c r="R1007" s="57"/>
      <c r="S1007" s="57"/>
      <c r="T1007" s="57"/>
      <c r="U1007" s="57"/>
      <c r="V1007" s="57"/>
      <c r="W1007" s="57"/>
      <c r="X1007" s="57"/>
      <c r="Y1007" s="57"/>
      <c r="Z1007" s="57"/>
      <c r="AA1007" s="57"/>
      <c r="AB1007" s="57"/>
      <c r="AC1007" s="57"/>
      <c r="AD1007" s="57"/>
      <c r="AE1007" s="57"/>
      <c r="AF1007" s="57"/>
      <c r="AG1007" s="57"/>
    </row>
    <row r="1008">
      <c r="A1008" s="57"/>
      <c r="B1008" s="57"/>
      <c r="C1008" s="57"/>
      <c r="D1008" s="57"/>
      <c r="E1008" s="57"/>
      <c r="F1008" s="57"/>
      <c r="G1008" s="57"/>
      <c r="H1008" s="57"/>
      <c r="I1008" s="57"/>
      <c r="J1008" s="57"/>
      <c r="K1008" s="57"/>
      <c r="L1008" s="57"/>
      <c r="M1008" s="57"/>
      <c r="N1008" s="57"/>
      <c r="O1008" s="57"/>
      <c r="P1008" s="57"/>
      <c r="Q1008" s="57"/>
      <c r="R1008" s="57"/>
      <c r="S1008" s="57"/>
      <c r="T1008" s="57"/>
      <c r="U1008" s="57"/>
      <c r="V1008" s="57"/>
      <c r="W1008" s="57"/>
      <c r="X1008" s="57"/>
      <c r="Y1008" s="57"/>
      <c r="Z1008" s="57"/>
      <c r="AA1008" s="57"/>
      <c r="AB1008" s="57"/>
      <c r="AC1008" s="57"/>
      <c r="AD1008" s="57"/>
      <c r="AE1008" s="57"/>
      <c r="AF1008" s="57"/>
      <c r="AG1008" s="57"/>
    </row>
    <row r="1009">
      <c r="A1009" s="57"/>
      <c r="B1009" s="57"/>
      <c r="C1009" s="57"/>
      <c r="D1009" s="57"/>
      <c r="E1009" s="57"/>
      <c r="F1009" s="57"/>
      <c r="G1009" s="57"/>
      <c r="H1009" s="57"/>
      <c r="I1009" s="57"/>
      <c r="J1009" s="57"/>
      <c r="K1009" s="57"/>
      <c r="L1009" s="57"/>
      <c r="M1009" s="57"/>
      <c r="N1009" s="57"/>
      <c r="O1009" s="57"/>
      <c r="P1009" s="57"/>
      <c r="Q1009" s="57"/>
      <c r="R1009" s="57"/>
      <c r="S1009" s="57"/>
      <c r="T1009" s="57"/>
      <c r="U1009" s="57"/>
      <c r="V1009" s="57"/>
      <c r="W1009" s="57"/>
      <c r="X1009" s="57"/>
      <c r="Y1009" s="57"/>
      <c r="Z1009" s="57"/>
      <c r="AA1009" s="57"/>
      <c r="AB1009" s="57"/>
      <c r="AC1009" s="57"/>
      <c r="AD1009" s="57"/>
      <c r="AE1009" s="57"/>
      <c r="AF1009" s="57"/>
      <c r="AG1009" s="57"/>
    </row>
    <row r="1010">
      <c r="A1010" s="57"/>
      <c r="B1010" s="57"/>
      <c r="C1010" s="57"/>
      <c r="D1010" s="57"/>
      <c r="E1010" s="57"/>
      <c r="F1010" s="57"/>
      <c r="G1010" s="57"/>
      <c r="H1010" s="57"/>
      <c r="I1010" s="57"/>
      <c r="J1010" s="57"/>
      <c r="K1010" s="57"/>
      <c r="L1010" s="57"/>
      <c r="M1010" s="57"/>
      <c r="N1010" s="57"/>
      <c r="O1010" s="57"/>
      <c r="P1010" s="57"/>
      <c r="Q1010" s="57"/>
      <c r="R1010" s="57"/>
      <c r="S1010" s="57"/>
      <c r="T1010" s="57"/>
      <c r="U1010" s="57"/>
      <c r="V1010" s="57"/>
      <c r="W1010" s="57"/>
      <c r="X1010" s="57"/>
      <c r="Y1010" s="57"/>
      <c r="Z1010" s="57"/>
      <c r="AA1010" s="57"/>
      <c r="AB1010" s="57"/>
      <c r="AC1010" s="57"/>
      <c r="AD1010" s="57"/>
      <c r="AE1010" s="57"/>
      <c r="AF1010" s="57"/>
      <c r="AG1010" s="57"/>
    </row>
  </sheetData>
  <autoFilter ref="$A$77:$AG$106">
    <sortState ref="A77:AG106">
      <sortCondition ref="H77:H106"/>
    </sortState>
  </autoFilter>
  <conditionalFormatting sqref="J1:J1010">
    <cfRule type="cellIs" dxfId="4" priority="1" operator="greaterThanOrEqual">
      <formula>20000</formula>
    </cfRule>
  </conditionalFormatting>
  <hyperlinks>
    <hyperlink r:id="rId4" ref="J1"/>
  </hyperlinks>
  <drawing r:id="rId5"/>
  <legacyDrawing r:id="rId6"/>
  <tableParts count="1">
    <tablePart r:id="rId8"/>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6" t="s">
        <v>3562</v>
      </c>
    </row>
    <row r="4">
      <c r="A4" s="525" t="s">
        <v>3563</v>
      </c>
    </row>
    <row r="5">
      <c r="A5" s="526">
        <v>46058.0</v>
      </c>
      <c r="B5" s="66" t="s">
        <v>3564</v>
      </c>
    </row>
    <row r="6">
      <c r="A6" s="526">
        <v>46058.0</v>
      </c>
      <c r="B6" s="527" t="s">
        <v>3565</v>
      </c>
    </row>
    <row r="7">
      <c r="A7" s="526">
        <v>46058.0</v>
      </c>
      <c r="B7" s="66" t="s">
        <v>3566</v>
      </c>
    </row>
    <row r="8">
      <c r="A8" s="526">
        <v>46071.0</v>
      </c>
      <c r="B8" s="66" t="s">
        <v>3567</v>
      </c>
    </row>
    <row r="9">
      <c r="A9" s="526">
        <v>46079.0</v>
      </c>
      <c r="B9" s="66" t="s">
        <v>3568</v>
      </c>
    </row>
    <row r="10">
      <c r="A10" s="526">
        <v>46045.0</v>
      </c>
      <c r="B10" s="66" t="s">
        <v>3569</v>
      </c>
    </row>
    <row r="11">
      <c r="A11" s="526">
        <v>46084.0</v>
      </c>
      <c r="B11" s="66" t="s">
        <v>3570</v>
      </c>
    </row>
    <row r="12">
      <c r="A12" s="526">
        <v>46113.0</v>
      </c>
      <c r="B12" s="66" t="s">
        <v>3571</v>
      </c>
    </row>
  </sheetData>
  <mergeCells count="1">
    <mergeCell ref="B6:K6"/>
  </mergeCells>
  <drawing r:id="rId1"/>
</worksheet>
</file>